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1.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https://sigmaonline-my.sharepoint.com/personal/seguridadsabinas_sigma-alimentos_com/Documents/Desktop/HRN/"/>
    </mc:Choice>
  </mc:AlternateContent>
  <xr:revisionPtr revIDLastSave="0" documentId="8_{C323C561-AD4C-460E-89AC-35CDE7D2F3A4}" xr6:coauthVersionLast="47" xr6:coauthVersionMax="47" xr10:uidLastSave="{00000000-0000-0000-0000-000000000000}"/>
  <bookViews>
    <workbookView xWindow="-120" yWindow="-120" windowWidth="29040" windowHeight="15720" tabRatio="773" activeTab="10" xr2:uid="{3166B541-A856-4146-B163-EEB47D34FB74}"/>
  </bookViews>
  <sheets>
    <sheet name="Dashboard" sheetId="8" r:id="rId1"/>
    <sheet name="Matriz" sheetId="19" state="hidden" r:id="rId2"/>
    <sheet name="Sheet7" sheetId="21" state="hidden" r:id="rId3"/>
    <sheet name="Estandares Implementados" sheetId="13" state="hidden" r:id="rId4"/>
    <sheet name="Peligros Identificados" sheetId="12" state="hidden" r:id="rId5"/>
    <sheet name="Grafica Área" sheetId="11" state="hidden" r:id="rId6"/>
    <sheet name="Graficas Nivel Riesgo y Estatus" sheetId="10" state="hidden" r:id="rId7"/>
    <sheet name="1.-Inventario para HRN" sheetId="1" r:id="rId8"/>
    <sheet name="2.-HRN" sheetId="31" r:id="rId9"/>
    <sheet name="Tablas" sheetId="4" state="hidden" r:id="rId10"/>
    <sheet name="Instrucciones-Concepto del HRN" sheetId="7" r:id="rId11"/>
    <sheet name="Tablas de cálculo" sheetId="3" r:id="rId12"/>
    <sheet name="Catálogo Peligros" sheetId="23" r:id="rId13"/>
    <sheet name="Contr &amp; Def" sheetId="22" r:id="rId14"/>
  </sheets>
  <externalReferences>
    <externalReference r:id="rId15"/>
  </externalReferences>
  <definedNames>
    <definedName name="_Fill" localSheetId="13" hidden="1">#REF!</definedName>
    <definedName name="_Fill" hidden="1">#REF!</definedName>
    <definedName name="_xlnm._FilterDatabase" localSheetId="8" hidden="1">'2.-HRN'!$B$5:$AQ$102</definedName>
    <definedName name="_xlnm._FilterDatabase" localSheetId="10" hidden="1">'Instrucciones-Concepto del HRN'!$C$5:$AO$5</definedName>
    <definedName name="_xlnm._FilterDatabase" localSheetId="1" hidden="1">Matriz!$A$1:$E$1842</definedName>
    <definedName name="_Key1" localSheetId="13" hidden="1">#REF!</definedName>
    <definedName name="_Key1" hidden="1">#REF!</definedName>
    <definedName name="_Key2" localSheetId="13" hidden="1">#REF!</definedName>
    <definedName name="_Key2" hidden="1">#REF!</definedName>
    <definedName name="_Order1" hidden="1">255</definedName>
    <definedName name="_Order2" hidden="1">255</definedName>
    <definedName name="_Sort" localSheetId="13" hidden="1">#REF!</definedName>
    <definedName name="_Sort" hidden="1">#REF!</definedName>
    <definedName name="_Table1_In1" localSheetId="13" hidden="1">#REF!</definedName>
    <definedName name="_Table1_In1" hidden="1">#REF!</definedName>
    <definedName name="HTML_CodePage" hidden="1">1252</definedName>
    <definedName name="HTML_Control" localSheetId="13" hidden="1">{"'Supply Chain'!$B$1:$AB$13"}</definedName>
    <definedName name="HTML_Control" hidden="1">{"'Supply Chain'!$B$1:$AB$13"}</definedName>
    <definedName name="HTML_Control1" localSheetId="13" hidden="1">{"'Supply Chain'!$B$1:$AB$13"}</definedName>
    <definedName name="HTML_Control1" hidden="1">{"'Supply Chain'!$B$1:$AB$13"}</definedName>
    <definedName name="HTML_Description" hidden="1">",JHGLHI}Ý"</definedName>
    <definedName name="HTML_Email" hidden="1">"CAROLINA.NOYOLA@UNILEVER.COM"</definedName>
    <definedName name="HTML_Header" hidden="1">"Programas"</definedName>
    <definedName name="HTML_LastUpdate" hidden="1">"5/04/02"</definedName>
    <definedName name="HTML_LineAfter" hidden="1">FALSE</definedName>
    <definedName name="HTML_LineBefore" hidden="1">FALSE</definedName>
    <definedName name="HTML_Name" hidden="1">"carolina noyola hernandez"</definedName>
    <definedName name="HTML_OBDlg2" hidden="1">TRUE</definedName>
    <definedName name="HTML_OBDlg4" hidden="1">TRUE</definedName>
    <definedName name="HTML_OS" hidden="1">0</definedName>
    <definedName name="HTML_PathFile" hidden="1">"M:\HTML.htm"</definedName>
    <definedName name="HTML_Title" hidden="1">"Avance  de Programa Maquilas  Abril_02"</definedName>
    <definedName name="PETRP" localSheetId="13" hidden="1">{"'Supply Chain'!$B$1:$AB$13"}</definedName>
    <definedName name="PETRP" hidden="1">{"'Supply Chain'!$B$1:$AB$13"}</definedName>
    <definedName name="PETSia04" localSheetId="13" hidden="1">{"'Supply Chain'!$B$1:$AB$13"}</definedName>
    <definedName name="PETSia04" hidden="1">{"'Supply Chain'!$B$1:$AB$13"}</definedName>
    <definedName name="_xlnm.Print_Area" localSheetId="7">'1.-Inventario para HRN'!$A$1:$F$15</definedName>
    <definedName name="_xlnm.Print_Area" localSheetId="8">'2.-HRN'!$C$1:$AO$9</definedName>
    <definedName name="_xlnm.Print_Area" localSheetId="10">'Instrucciones-Concepto del HRN'!$C$1:$AO$15</definedName>
    <definedName name="_xlnm.Print_Area" localSheetId="11">'Tablas de cálculo'!$A$1:$H$52</definedName>
    <definedName name="_xlnm.Print_Titles" localSheetId="7">'1.-Inventario para HRN'!$1:$4</definedName>
    <definedName name="_xlnm.Print_Titles" localSheetId="8">'2.-HRN'!$2:$5</definedName>
    <definedName name="_xlnm.Print_Titles" localSheetId="10">'Instrucciones-Concepto del HRN'!$2:$5</definedName>
    <definedName name="prueba" localSheetId="13" hidden="1">#REF!</definedName>
    <definedName name="prueba" hidden="1">#REF!</definedName>
    <definedName name="RPSIA" localSheetId="13" hidden="1">{"'Supply Chain'!$B$1:$AB$13"}</definedName>
    <definedName name="RPSIA" hidden="1">{"'Supply Chain'!$B$1:$AB$13"}</definedName>
    <definedName name="Sistemas_de_enfriamiento_de_agua">[1]Incidentes!#REF!</definedName>
    <definedName name="Slicer_Área">#N/A</definedName>
    <definedName name="Slicer_Estatus">#N/A</definedName>
    <definedName name="Slicer_Mecanismo_de_lesión__Ligar_tabla">#N/A</definedName>
    <definedName name="Slicer_Peligros_identificados">#N/A</definedName>
    <definedName name="Slicer_Piramide_de_Contramedidas">#N/A</definedName>
    <definedName name="Slicer_Planta">#N/A</definedName>
    <definedName name="Slicer_Planta1">#N/A</definedName>
    <definedName name="Slicer_Tiempo_de_acción">#N/A</definedName>
    <definedName name="table1" localSheetId="13" hidden="1">#REF!</definedName>
    <definedName name="table1" hidden="1">#REF!</definedName>
  </definedNames>
  <calcPr calcId="191029"/>
  <pivotCaches>
    <pivotCache cacheId="15"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02" i="31" l="1"/>
  <c r="AK102" i="31"/>
  <c r="AI102" i="31"/>
  <c r="AG102" i="31"/>
  <c r="U102" i="31"/>
  <c r="V102" i="31" s="1" a="1"/>
  <c r="V102" i="31" s="1"/>
  <c r="W102" i="31" s="1" a="1"/>
  <c r="W102" i="31" s="1"/>
  <c r="T102" i="31"/>
  <c r="R102" i="31"/>
  <c r="P102" i="31"/>
  <c r="N102" i="31"/>
  <c r="AM101" i="31"/>
  <c r="AK101" i="31"/>
  <c r="AI101" i="31"/>
  <c r="AG101" i="31"/>
  <c r="T101" i="31"/>
  <c r="R101" i="31"/>
  <c r="P101" i="31"/>
  <c r="N101" i="31"/>
  <c r="AM100" i="31"/>
  <c r="AK100" i="31"/>
  <c r="AI100" i="31"/>
  <c r="AG100" i="31"/>
  <c r="T100" i="31"/>
  <c r="R100" i="31"/>
  <c r="P100" i="31"/>
  <c r="N100" i="31"/>
  <c r="AM99" i="31"/>
  <c r="AK99" i="31"/>
  <c r="AI99" i="31"/>
  <c r="AG99" i="31"/>
  <c r="T99" i="31"/>
  <c r="R99" i="31"/>
  <c r="P99" i="31"/>
  <c r="N99" i="31"/>
  <c r="U99" i="31" s="1"/>
  <c r="V99" i="31" s="1" a="1"/>
  <c r="V99" i="31" s="1"/>
  <c r="W99" i="31" s="1" a="1"/>
  <c r="W99" i="31" s="1"/>
  <c r="AM98" i="31"/>
  <c r="AK98" i="31"/>
  <c r="AI98" i="31"/>
  <c r="AG98" i="31"/>
  <c r="T98" i="31"/>
  <c r="R98" i="31"/>
  <c r="P98" i="31"/>
  <c r="N98" i="31"/>
  <c r="AM97" i="31"/>
  <c r="AK97" i="31"/>
  <c r="AI97" i="31"/>
  <c r="AG97" i="31"/>
  <c r="AN97" i="31" s="1"/>
  <c r="AO97" i="31" s="1" a="1"/>
  <c r="AO97" i="31" s="1"/>
  <c r="T97" i="31"/>
  <c r="R97" i="31"/>
  <c r="P97" i="31"/>
  <c r="N97" i="31"/>
  <c r="AM96" i="31"/>
  <c r="AK96" i="31"/>
  <c r="AI96" i="31"/>
  <c r="AG96" i="31"/>
  <c r="T96" i="31"/>
  <c r="R96" i="31"/>
  <c r="U96" i="31" s="1"/>
  <c r="V96" i="31" s="1" a="1"/>
  <c r="V96" i="31" s="1"/>
  <c r="W96" i="31" s="1" a="1"/>
  <c r="W96" i="31" s="1"/>
  <c r="P96" i="31"/>
  <c r="N96" i="31"/>
  <c r="AM95" i="31"/>
  <c r="AK95" i="31"/>
  <c r="AI95" i="31"/>
  <c r="AG95" i="31"/>
  <c r="T95" i="31"/>
  <c r="R95" i="31"/>
  <c r="P95" i="31"/>
  <c r="N95" i="31"/>
  <c r="AN94" i="31"/>
  <c r="AO94" i="31" s="1" a="1"/>
  <c r="AO94" i="31" s="1"/>
  <c r="AM94" i="31"/>
  <c r="AK94" i="31"/>
  <c r="AI94" i="31"/>
  <c r="AG94" i="31"/>
  <c r="T94" i="31"/>
  <c r="R94" i="31"/>
  <c r="P94" i="31"/>
  <c r="N94" i="31"/>
  <c r="AM93" i="31"/>
  <c r="AK93" i="31"/>
  <c r="AI93" i="31"/>
  <c r="AG93" i="31"/>
  <c r="T93" i="31"/>
  <c r="R93" i="31"/>
  <c r="P93" i="31"/>
  <c r="N93" i="31"/>
  <c r="U93" i="31" s="1"/>
  <c r="V93" i="31" s="1" a="1"/>
  <c r="V93" i="31" s="1"/>
  <c r="W93" i="31" s="1" a="1"/>
  <c r="W93" i="31" s="1"/>
  <c r="AM92" i="31"/>
  <c r="AK92" i="31"/>
  <c r="AI92" i="31"/>
  <c r="AG92" i="31"/>
  <c r="AN92" i="31" s="1"/>
  <c r="AO92" i="31" s="1" a="1"/>
  <c r="AO92" i="31" s="1"/>
  <c r="T92" i="31"/>
  <c r="R92" i="31"/>
  <c r="P92" i="31"/>
  <c r="N92" i="31"/>
  <c r="AM91" i="31"/>
  <c r="AK91" i="31"/>
  <c r="AI91" i="31"/>
  <c r="AG91" i="31"/>
  <c r="T91" i="31"/>
  <c r="R91" i="31"/>
  <c r="P91" i="31"/>
  <c r="N91" i="31"/>
  <c r="U91" i="31" s="1"/>
  <c r="V91" i="31" s="1" a="1"/>
  <c r="V91" i="31" s="1"/>
  <c r="W91" i="31" s="1" a="1"/>
  <c r="W91" i="31" s="1"/>
  <c r="AM90" i="31"/>
  <c r="AK90" i="31"/>
  <c r="AI90" i="31"/>
  <c r="AG90" i="31"/>
  <c r="U90" i="31"/>
  <c r="V90" i="31" s="1" a="1"/>
  <c r="V90" i="31" s="1"/>
  <c r="W90" i="31" s="1" a="1"/>
  <c r="W90" i="31" s="1"/>
  <c r="T90" i="31"/>
  <c r="R90" i="31"/>
  <c r="P90" i="31"/>
  <c r="N90" i="31"/>
  <c r="AM89" i="31"/>
  <c r="AK89" i="31"/>
  <c r="AI89" i="31"/>
  <c r="AG89" i="31"/>
  <c r="AN89" i="31" s="1"/>
  <c r="AO89" i="31" s="1" a="1"/>
  <c r="AO89" i="31" s="1"/>
  <c r="T89" i="31"/>
  <c r="R89" i="31"/>
  <c r="P89" i="31"/>
  <c r="N89" i="31"/>
  <c r="U89" i="31" s="1"/>
  <c r="V89" i="31" s="1" a="1"/>
  <c r="V89" i="31" s="1"/>
  <c r="W89" i="31" s="1" a="1"/>
  <c r="W89" i="31" s="1"/>
  <c r="AM88" i="31"/>
  <c r="AK88" i="31"/>
  <c r="AI88" i="31"/>
  <c r="AG88" i="31"/>
  <c r="AN88" i="31" s="1"/>
  <c r="AO88" i="31" s="1" a="1"/>
  <c r="AO88" i="31" s="1"/>
  <c r="T88" i="31"/>
  <c r="R88" i="31"/>
  <c r="P88" i="31"/>
  <c r="N88" i="31"/>
  <c r="AM87" i="31"/>
  <c r="AK87" i="31"/>
  <c r="AI87" i="31"/>
  <c r="AG87" i="31"/>
  <c r="T87" i="31"/>
  <c r="R87" i="31"/>
  <c r="P87" i="31"/>
  <c r="N87" i="31"/>
  <c r="U87" i="31" s="1"/>
  <c r="V87" i="31" s="1" a="1"/>
  <c r="V87" i="31" s="1"/>
  <c r="W87" i="31" s="1" a="1"/>
  <c r="W87" i="31" s="1"/>
  <c r="AO86" i="31" a="1"/>
  <c r="AO86" i="31" s="1"/>
  <c r="AM86" i="31"/>
  <c r="AK86" i="31"/>
  <c r="AI86" i="31"/>
  <c r="AG86" i="31"/>
  <c r="AN86" i="31" s="1"/>
  <c r="T86" i="31"/>
  <c r="R86" i="31"/>
  <c r="P86" i="31"/>
  <c r="N86" i="31"/>
  <c r="AM85" i="31"/>
  <c r="AK85" i="31"/>
  <c r="AI85" i="31"/>
  <c r="AG85" i="31"/>
  <c r="AN85" i="31" s="1"/>
  <c r="AO85" i="31" s="1" a="1"/>
  <c r="AO85" i="31" s="1"/>
  <c r="T85" i="31"/>
  <c r="R85" i="31"/>
  <c r="P85" i="31"/>
  <c r="N85" i="31"/>
  <c r="AM84" i="31"/>
  <c r="AK84" i="31"/>
  <c r="AI84" i="31"/>
  <c r="AG84" i="31"/>
  <c r="T84" i="31"/>
  <c r="R84" i="31"/>
  <c r="U84" i="31" s="1"/>
  <c r="V84" i="31" s="1" a="1"/>
  <c r="V84" i="31" s="1"/>
  <c r="W84" i="31" s="1" a="1"/>
  <c r="W84" i="31" s="1"/>
  <c r="P84" i="31"/>
  <c r="N84" i="31"/>
  <c r="AM83" i="31"/>
  <c r="AK83" i="31"/>
  <c r="AI83" i="31"/>
  <c r="AG83" i="31"/>
  <c r="T83" i="31"/>
  <c r="R83" i="31"/>
  <c r="P83" i="31"/>
  <c r="N83" i="31"/>
  <c r="AM82" i="31"/>
  <c r="AN82" i="31" s="1"/>
  <c r="AO82" i="31" s="1" a="1"/>
  <c r="AO82" i="31" s="1"/>
  <c r="AK82" i="31"/>
  <c r="AI82" i="31"/>
  <c r="AG82" i="31"/>
  <c r="V82" i="31"/>
  <c r="W82" i="31" s="1" a="1"/>
  <c r="W82" i="31" s="1"/>
  <c r="T82" i="31"/>
  <c r="R82" i="31"/>
  <c r="P82" i="31"/>
  <c r="N82" i="31"/>
  <c r="U82" i="31" s="1"/>
  <c r="V82" i="31" s="1" a="1"/>
  <c r="AM81" i="31"/>
  <c r="AK81" i="31"/>
  <c r="AI81" i="31"/>
  <c r="AG81" i="31"/>
  <c r="T81" i="31"/>
  <c r="R81" i="31"/>
  <c r="P81" i="31"/>
  <c r="N81" i="31"/>
  <c r="U81" i="31" s="1"/>
  <c r="V81" i="31" s="1" a="1"/>
  <c r="V81" i="31" s="1"/>
  <c r="W81" i="31" s="1" a="1"/>
  <c r="W81" i="31" s="1"/>
  <c r="AM80" i="31"/>
  <c r="AK80" i="31"/>
  <c r="AI80" i="31"/>
  <c r="AG80" i="31"/>
  <c r="T80" i="31"/>
  <c r="R80" i="31"/>
  <c r="P80" i="31"/>
  <c r="N80" i="31"/>
  <c r="AM79" i="31"/>
  <c r="AK79" i="31"/>
  <c r="AN79" i="31" s="1"/>
  <c r="AO79" i="31" s="1" a="1"/>
  <c r="AO79" i="31" s="1"/>
  <c r="AI79" i="31"/>
  <c r="AG79" i="31"/>
  <c r="T79" i="31"/>
  <c r="R79" i="31"/>
  <c r="P79" i="31"/>
  <c r="N79" i="31"/>
  <c r="U79" i="31" s="1"/>
  <c r="V79" i="31" s="1" a="1"/>
  <c r="V79" i="31" s="1"/>
  <c r="W79" i="31" s="1" a="1"/>
  <c r="W79" i="31" s="1"/>
  <c r="AM78" i="31"/>
  <c r="AK78" i="31"/>
  <c r="AI78" i="31"/>
  <c r="AG78" i="31"/>
  <c r="U78" i="31"/>
  <c r="V78" i="31" s="1" a="1"/>
  <c r="V78" i="31" s="1"/>
  <c r="W78" i="31" s="1" a="1"/>
  <c r="W78" i="31" s="1"/>
  <c r="T78" i="31"/>
  <c r="R78" i="31"/>
  <c r="P78" i="31"/>
  <c r="N78" i="31"/>
  <c r="AM77" i="31"/>
  <c r="AK77" i="31"/>
  <c r="AI77" i="31"/>
  <c r="AG77" i="31"/>
  <c r="T77" i="31"/>
  <c r="R77" i="31"/>
  <c r="P77" i="31"/>
  <c r="N77" i="31"/>
  <c r="AM76" i="31"/>
  <c r="AK76" i="31"/>
  <c r="AI76" i="31"/>
  <c r="AG76" i="31"/>
  <c r="AN76" i="31" s="1"/>
  <c r="AO76" i="31" s="1" a="1"/>
  <c r="AO76" i="31" s="1"/>
  <c r="T76" i="31"/>
  <c r="R76" i="31"/>
  <c r="P76" i="31"/>
  <c r="N76" i="31"/>
  <c r="AM75" i="31"/>
  <c r="AK75" i="31"/>
  <c r="AI75" i="31"/>
  <c r="AG75" i="31"/>
  <c r="T75" i="31"/>
  <c r="R75" i="31"/>
  <c r="P75" i="31"/>
  <c r="N75" i="31"/>
  <c r="U75" i="31" s="1"/>
  <c r="V75" i="31" s="1" a="1"/>
  <c r="V75" i="31" s="1"/>
  <c r="W75" i="31" s="1" a="1"/>
  <c r="W75" i="31" s="1"/>
  <c r="AO74" i="31" a="1"/>
  <c r="AO74" i="31" s="1"/>
  <c r="AM74" i="31"/>
  <c r="AK74" i="31"/>
  <c r="AI74" i="31"/>
  <c r="AG74" i="31"/>
  <c r="AN74" i="31" s="1"/>
  <c r="T74" i="31"/>
  <c r="R74" i="31"/>
  <c r="P74" i="31"/>
  <c r="N74" i="31"/>
  <c r="AM73" i="31"/>
  <c r="AK73" i="31"/>
  <c r="AI73" i="31"/>
  <c r="AG73" i="31"/>
  <c r="T73" i="31"/>
  <c r="R73" i="31"/>
  <c r="P73" i="31"/>
  <c r="N73" i="31"/>
  <c r="AM72" i="31"/>
  <c r="AK72" i="31"/>
  <c r="AI72" i="31"/>
  <c r="AG72" i="31"/>
  <c r="T72" i="31"/>
  <c r="R72" i="31"/>
  <c r="U72" i="31" s="1"/>
  <c r="V72" i="31" s="1" a="1"/>
  <c r="V72" i="31" s="1"/>
  <c r="W72" i="31" s="1" a="1"/>
  <c r="W72" i="31" s="1"/>
  <c r="P72" i="31"/>
  <c r="N72" i="31"/>
  <c r="AM71" i="31"/>
  <c r="AK71" i="31"/>
  <c r="AI71" i="31"/>
  <c r="AG71" i="31"/>
  <c r="T71" i="31"/>
  <c r="R71" i="31"/>
  <c r="P71" i="31"/>
  <c r="N71" i="31"/>
  <c r="U71" i="31" s="1"/>
  <c r="V71" i="31" s="1" a="1"/>
  <c r="V71" i="31" s="1"/>
  <c r="W71" i="31" s="1" a="1"/>
  <c r="W71" i="31" s="1"/>
  <c r="AM70" i="31"/>
  <c r="AN70" i="31" s="1"/>
  <c r="AO70" i="31" s="1" a="1"/>
  <c r="AO70" i="31" s="1"/>
  <c r="AK70" i="31"/>
  <c r="AI70" i="31"/>
  <c r="AG70" i="31"/>
  <c r="V70" i="31"/>
  <c r="W70" i="31" s="1" a="1"/>
  <c r="W70" i="31" s="1"/>
  <c r="T70" i="31"/>
  <c r="R70" i="31"/>
  <c r="P70" i="31"/>
  <c r="N70" i="31"/>
  <c r="U70" i="31" s="1"/>
  <c r="V70" i="31" s="1" a="1"/>
  <c r="AM69" i="31"/>
  <c r="AK69" i="31"/>
  <c r="AI69" i="31"/>
  <c r="AG69" i="31"/>
  <c r="T69" i="31"/>
  <c r="R69" i="31"/>
  <c r="P69" i="31"/>
  <c r="N69" i="31"/>
  <c r="U69" i="31" s="1"/>
  <c r="V69" i="31" s="1" a="1"/>
  <c r="V69" i="31" s="1"/>
  <c r="W69" i="31" s="1" a="1"/>
  <c r="W69" i="31" s="1"/>
  <c r="AM68" i="31"/>
  <c r="AK68" i="31"/>
  <c r="AI68" i="31"/>
  <c r="AG68" i="31"/>
  <c r="AN68" i="31" s="1"/>
  <c r="AO68" i="31" s="1" a="1"/>
  <c r="AO68" i="31" s="1"/>
  <c r="T68" i="31"/>
  <c r="R68" i="31"/>
  <c r="P68" i="31"/>
  <c r="N68" i="31"/>
  <c r="AM67" i="31"/>
  <c r="AK67" i="31"/>
  <c r="AI67" i="31"/>
  <c r="AG67" i="31"/>
  <c r="AN67" i="31" s="1"/>
  <c r="AO67" i="31" s="1" a="1"/>
  <c r="AO67" i="31" s="1"/>
  <c r="T67" i="31"/>
  <c r="R67" i="31"/>
  <c r="P67" i="31"/>
  <c r="N67" i="31"/>
  <c r="U67" i="31" s="1"/>
  <c r="V67" i="31" s="1" a="1"/>
  <c r="V67" i="31" s="1"/>
  <c r="W67" i="31" s="1" a="1"/>
  <c r="W67" i="31" s="1"/>
  <c r="AM66" i="31"/>
  <c r="AK66" i="31"/>
  <c r="AI66" i="31"/>
  <c r="AG66" i="31"/>
  <c r="U66" i="31"/>
  <c r="V66" i="31" s="1" a="1"/>
  <c r="V66" i="31" s="1"/>
  <c r="W66" i="31" s="1" a="1"/>
  <c r="W66" i="31" s="1"/>
  <c r="T66" i="31"/>
  <c r="R66" i="31"/>
  <c r="P66" i="31"/>
  <c r="N66" i="31"/>
  <c r="AM65" i="31"/>
  <c r="AK65" i="31"/>
  <c r="AI65" i="31"/>
  <c r="AG65" i="31"/>
  <c r="T65" i="31"/>
  <c r="R65" i="31"/>
  <c r="P65" i="31"/>
  <c r="N65" i="31"/>
  <c r="AM64" i="31"/>
  <c r="AK64" i="31"/>
  <c r="AI64" i="31"/>
  <c r="AG64" i="31"/>
  <c r="T64" i="31"/>
  <c r="R64" i="31"/>
  <c r="P64" i="31"/>
  <c r="N64" i="31"/>
  <c r="AM63" i="31"/>
  <c r="AK63" i="31"/>
  <c r="AI63" i="31"/>
  <c r="AG63" i="31"/>
  <c r="T63" i="31"/>
  <c r="R63" i="31"/>
  <c r="P63" i="31"/>
  <c r="N63" i="31"/>
  <c r="U63" i="31" s="1"/>
  <c r="V63" i="31" s="1" a="1"/>
  <c r="V63" i="31" s="1"/>
  <c r="W63" i="31" s="1" a="1"/>
  <c r="W63" i="31" s="1"/>
  <c r="AM62" i="31"/>
  <c r="AK62" i="31"/>
  <c r="AI62" i="31"/>
  <c r="AG62" i="31"/>
  <c r="T62" i="31"/>
  <c r="R62" i="31"/>
  <c r="P62" i="31"/>
  <c r="N62" i="31"/>
  <c r="AM61" i="31"/>
  <c r="AK61" i="31"/>
  <c r="AI61" i="31"/>
  <c r="AG61" i="31"/>
  <c r="AN61" i="31" s="1"/>
  <c r="AO61" i="31" s="1" a="1"/>
  <c r="AO61" i="31" s="1"/>
  <c r="T61" i="31"/>
  <c r="R61" i="31"/>
  <c r="P61" i="31"/>
  <c r="N61" i="31"/>
  <c r="AM60" i="31"/>
  <c r="AK60" i="31"/>
  <c r="AI60" i="31"/>
  <c r="AG60" i="31"/>
  <c r="T60" i="31"/>
  <c r="R60" i="31"/>
  <c r="U60" i="31" s="1"/>
  <c r="V60" i="31" s="1" a="1"/>
  <c r="V60" i="31" s="1"/>
  <c r="W60" i="31" s="1" a="1"/>
  <c r="W60" i="31" s="1"/>
  <c r="P60" i="31"/>
  <c r="N60" i="31"/>
  <c r="AM59" i="31"/>
  <c r="AK59" i="31"/>
  <c r="AI59" i="31"/>
  <c r="AG59" i="31"/>
  <c r="T59" i="31"/>
  <c r="R59" i="31"/>
  <c r="P59" i="31"/>
  <c r="N59" i="31"/>
  <c r="AN58" i="31"/>
  <c r="AO58" i="31" s="1" a="1"/>
  <c r="AO58" i="31" s="1"/>
  <c r="AM58" i="31"/>
  <c r="AK58" i="31"/>
  <c r="AI58" i="31"/>
  <c r="AG58" i="31"/>
  <c r="T58" i="31"/>
  <c r="R58" i="31"/>
  <c r="P58" i="31"/>
  <c r="N58" i="31"/>
  <c r="U58" i="31" s="1"/>
  <c r="V58" i="31" s="1" a="1"/>
  <c r="V58" i="31" s="1"/>
  <c r="W58" i="31" s="1" a="1"/>
  <c r="W58" i="31" s="1"/>
  <c r="AM57" i="31"/>
  <c r="AK57" i="31"/>
  <c r="AI57" i="31"/>
  <c r="AG57" i="31"/>
  <c r="AN57" i="31" s="1"/>
  <c r="AO57" i="31" s="1" a="1"/>
  <c r="AO57" i="31" s="1"/>
  <c r="T57" i="31"/>
  <c r="R57" i="31"/>
  <c r="P57" i="31"/>
  <c r="N57" i="31"/>
  <c r="U57" i="31" s="1"/>
  <c r="V57" i="31" s="1" a="1"/>
  <c r="V57" i="31" s="1"/>
  <c r="W57" i="31" s="1" a="1"/>
  <c r="W57" i="31" s="1"/>
  <c r="AM56" i="31"/>
  <c r="AK56" i="31"/>
  <c r="AI56" i="31"/>
  <c r="AG56" i="31"/>
  <c r="AN56" i="31" s="1"/>
  <c r="AO56" i="31" s="1" a="1"/>
  <c r="AO56" i="31" s="1"/>
  <c r="T56" i="31"/>
  <c r="R56" i="31"/>
  <c r="P56" i="31"/>
  <c r="N56" i="31"/>
  <c r="AM55" i="31"/>
  <c r="AK55" i="31"/>
  <c r="AI55" i="31"/>
  <c r="AG55" i="31"/>
  <c r="T55" i="31"/>
  <c r="R55" i="31"/>
  <c r="P55" i="31"/>
  <c r="N55" i="31"/>
  <c r="U55" i="31" s="1"/>
  <c r="V55" i="31" s="1" a="1"/>
  <c r="V55" i="31" s="1"/>
  <c r="W55" i="31" s="1" a="1"/>
  <c r="W55" i="31" s="1"/>
  <c r="AM54" i="31"/>
  <c r="AK54" i="31"/>
  <c r="AI54" i="31"/>
  <c r="AG54" i="31"/>
  <c r="U54" i="31"/>
  <c r="V54" i="31" s="1" a="1"/>
  <c r="V54" i="31" s="1"/>
  <c r="W54" i="31" s="1" a="1"/>
  <c r="W54" i="31" s="1"/>
  <c r="T54" i="31"/>
  <c r="R54" i="31"/>
  <c r="P54" i="31"/>
  <c r="N54" i="31"/>
  <c r="AM53" i="31"/>
  <c r="AK53" i="31"/>
  <c r="AI53" i="31"/>
  <c r="AG53" i="31"/>
  <c r="AN53" i="31" s="1"/>
  <c r="AO53" i="31" s="1" a="1"/>
  <c r="AO53" i="31" s="1"/>
  <c r="T53" i="31"/>
  <c r="R53" i="31"/>
  <c r="P53" i="31"/>
  <c r="N53" i="31"/>
  <c r="U53" i="31" s="1"/>
  <c r="V53" i="31" s="1" a="1"/>
  <c r="V53" i="31" s="1"/>
  <c r="W53" i="31" s="1" a="1"/>
  <c r="W53" i="31" s="1"/>
  <c r="AM52" i="31"/>
  <c r="AK52" i="31"/>
  <c r="AI52" i="31"/>
  <c r="AG52" i="31"/>
  <c r="AN52" i="31" s="1"/>
  <c r="AO52" i="31" s="1" a="1"/>
  <c r="AO52" i="31" s="1"/>
  <c r="T52" i="31"/>
  <c r="R52" i="31"/>
  <c r="P52" i="31"/>
  <c r="N52" i="31"/>
  <c r="AM51" i="31"/>
  <c r="AK51" i="31"/>
  <c r="AI51" i="31"/>
  <c r="AG51" i="31"/>
  <c r="T51" i="31"/>
  <c r="R51" i="31"/>
  <c r="P51" i="31"/>
  <c r="N51" i="31"/>
  <c r="U51" i="31" s="1"/>
  <c r="V51" i="31" s="1" a="1"/>
  <c r="V51" i="31" s="1"/>
  <c r="W51" i="31" s="1" a="1"/>
  <c r="W51" i="31" s="1"/>
  <c r="AO50" i="31" a="1"/>
  <c r="AO50" i="31" s="1"/>
  <c r="AM50" i="31"/>
  <c r="AK50" i="31"/>
  <c r="AI50" i="31"/>
  <c r="AG50" i="31"/>
  <c r="AN50" i="31" s="1"/>
  <c r="T50" i="31"/>
  <c r="R50" i="31"/>
  <c r="P50" i="31"/>
  <c r="N50" i="31"/>
  <c r="AM49" i="31"/>
  <c r="AK49" i="31"/>
  <c r="AI49" i="31"/>
  <c r="AG49" i="31"/>
  <c r="AN49" i="31" s="1"/>
  <c r="AO49" i="31" s="1" a="1"/>
  <c r="AO49" i="31" s="1"/>
  <c r="T49" i="31"/>
  <c r="R49" i="31"/>
  <c r="P49" i="31"/>
  <c r="N49" i="31"/>
  <c r="AM48" i="31"/>
  <c r="AK48" i="31"/>
  <c r="AI48" i="31"/>
  <c r="AG48" i="31"/>
  <c r="T48" i="31"/>
  <c r="R48" i="31"/>
  <c r="U48" i="31" s="1"/>
  <c r="V48" i="31" s="1" a="1"/>
  <c r="V48" i="31" s="1"/>
  <c r="W48" i="31" s="1" a="1"/>
  <c r="W48" i="31" s="1"/>
  <c r="P48" i="31"/>
  <c r="N48" i="31"/>
  <c r="AM47" i="31"/>
  <c r="AK47" i="31"/>
  <c r="AI47" i="31"/>
  <c r="AG47" i="31"/>
  <c r="T47" i="31"/>
  <c r="R47" i="31"/>
  <c r="P47" i="31"/>
  <c r="N47" i="31"/>
  <c r="AM46" i="31"/>
  <c r="AN46" i="31" s="1"/>
  <c r="AO46" i="31" s="1" a="1"/>
  <c r="AO46" i="31" s="1"/>
  <c r="AK46" i="31"/>
  <c r="AI46" i="31"/>
  <c r="AG46" i="31"/>
  <c r="V46" i="31"/>
  <c r="W46" i="31" s="1" a="1"/>
  <c r="W46" i="31" s="1"/>
  <c r="T46" i="31"/>
  <c r="R46" i="31"/>
  <c r="P46" i="31"/>
  <c r="N46" i="31"/>
  <c r="U46" i="31" s="1"/>
  <c r="V46" i="31" s="1" a="1"/>
  <c r="AM45" i="31"/>
  <c r="AK45" i="31"/>
  <c r="AI45" i="31"/>
  <c r="AG45" i="31"/>
  <c r="AN45" i="31" s="1"/>
  <c r="AO45" i="31" s="1" a="1"/>
  <c r="AO45" i="31" s="1"/>
  <c r="T45" i="31"/>
  <c r="R45" i="31"/>
  <c r="P45" i="31"/>
  <c r="N45" i="31"/>
  <c r="U45" i="31" s="1"/>
  <c r="V45" i="31" s="1" a="1"/>
  <c r="V45" i="31" s="1"/>
  <c r="W45" i="31" s="1" a="1"/>
  <c r="W45" i="31" s="1"/>
  <c r="AM44" i="31"/>
  <c r="AK44" i="31"/>
  <c r="AI44" i="31"/>
  <c r="AG44" i="31"/>
  <c r="T44" i="31"/>
  <c r="R44" i="31"/>
  <c r="P44" i="31"/>
  <c r="N44" i="31"/>
  <c r="AM43" i="31"/>
  <c r="AK43" i="31"/>
  <c r="AN43" i="31" s="1"/>
  <c r="AO43" i="31" s="1" a="1"/>
  <c r="AO43" i="31" s="1"/>
  <c r="AI43" i="31"/>
  <c r="AG43" i="31"/>
  <c r="T43" i="31"/>
  <c r="R43" i="31"/>
  <c r="P43" i="31"/>
  <c r="N43" i="31"/>
  <c r="U43" i="31" s="1"/>
  <c r="V43" i="31" s="1" a="1"/>
  <c r="V43" i="31" s="1"/>
  <c r="W43" i="31" s="1" a="1"/>
  <c r="W43" i="31" s="1"/>
  <c r="AM42" i="31"/>
  <c r="AK42" i="31"/>
  <c r="AI42" i="31"/>
  <c r="AG42" i="31"/>
  <c r="U42" i="31"/>
  <c r="V42" i="31" s="1" a="1"/>
  <c r="V42" i="31" s="1"/>
  <c r="W42" i="31" s="1" a="1"/>
  <c r="W42" i="31" s="1"/>
  <c r="T42" i="31"/>
  <c r="R42" i="31"/>
  <c r="P42" i="31"/>
  <c r="N42" i="31"/>
  <c r="AM41" i="31"/>
  <c r="AK41" i="31"/>
  <c r="AI41" i="31"/>
  <c r="AG41" i="31"/>
  <c r="T41" i="31"/>
  <c r="R41" i="31"/>
  <c r="P41" i="31"/>
  <c r="N41" i="31"/>
  <c r="AM40" i="31"/>
  <c r="AK40" i="31"/>
  <c r="AI40" i="31"/>
  <c r="AN40" i="31" s="1"/>
  <c r="AO40" i="31" s="1" a="1"/>
  <c r="AO40" i="31" s="1"/>
  <c r="AG40" i="31"/>
  <c r="T40" i="31"/>
  <c r="R40" i="31"/>
  <c r="U40" i="31" s="1"/>
  <c r="V40" i="31" s="1" a="1"/>
  <c r="V40" i="31" s="1"/>
  <c r="W40" i="31" s="1" a="1"/>
  <c r="W40" i="31" s="1"/>
  <c r="P40" i="31"/>
  <c r="N40" i="31"/>
  <c r="AM39" i="31"/>
  <c r="AK39" i="31"/>
  <c r="AI39" i="31"/>
  <c r="AG39" i="31"/>
  <c r="T39" i="31"/>
  <c r="R39" i="31"/>
  <c r="P39" i="31"/>
  <c r="N39" i="31"/>
  <c r="AM38" i="31"/>
  <c r="AN38" i="31" s="1"/>
  <c r="AO38" i="31" s="1" a="1"/>
  <c r="AO38" i="31" s="1"/>
  <c r="AK38" i="31"/>
  <c r="AI38" i="31"/>
  <c r="AG38" i="31"/>
  <c r="T38" i="31"/>
  <c r="R38" i="31"/>
  <c r="P38" i="31"/>
  <c r="N38" i="31"/>
  <c r="AM37" i="31"/>
  <c r="AK37" i="31"/>
  <c r="AI37" i="31"/>
  <c r="AG37" i="31"/>
  <c r="T37" i="31"/>
  <c r="R37" i="31"/>
  <c r="P37" i="31"/>
  <c r="N37" i="31"/>
  <c r="U37" i="31" s="1"/>
  <c r="V37" i="31" s="1" a="1"/>
  <c r="V37" i="31" s="1"/>
  <c r="W37" i="31" s="1" a="1"/>
  <c r="W37" i="31" s="1"/>
  <c r="AM36" i="31"/>
  <c r="AK36" i="31"/>
  <c r="AI36" i="31"/>
  <c r="AG36" i="31"/>
  <c r="AN36" i="31" s="1"/>
  <c r="AO36" i="31" s="1" a="1"/>
  <c r="AO36" i="31" s="1"/>
  <c r="T36" i="31"/>
  <c r="R36" i="31"/>
  <c r="P36" i="31"/>
  <c r="N36" i="31"/>
  <c r="AM35" i="31"/>
  <c r="AK35" i="31"/>
  <c r="AI35" i="31"/>
  <c r="AG35" i="31"/>
  <c r="AN35" i="31" s="1"/>
  <c r="AO35" i="31" s="1" a="1"/>
  <c r="AO35" i="31" s="1"/>
  <c r="T35" i="31"/>
  <c r="R35" i="31"/>
  <c r="P35" i="31"/>
  <c r="U35" i="31" s="1"/>
  <c r="V35" i="31" s="1" a="1"/>
  <c r="V35" i="31" s="1"/>
  <c r="W35" i="31" s="1" a="1"/>
  <c r="W35" i="31" s="1"/>
  <c r="N35" i="31"/>
  <c r="AM34" i="31"/>
  <c r="AK34" i="31"/>
  <c r="AI34" i="31"/>
  <c r="AG34" i="31"/>
  <c r="T34" i="31"/>
  <c r="R34" i="31"/>
  <c r="P34" i="31"/>
  <c r="N34" i="31"/>
  <c r="AM33" i="31"/>
  <c r="AK33" i="31"/>
  <c r="AI33" i="31"/>
  <c r="AG33" i="31"/>
  <c r="AN33" i="31" s="1"/>
  <c r="AO33" i="31" s="1" a="1"/>
  <c r="AO33" i="31" s="1"/>
  <c r="T33" i="31"/>
  <c r="U33" i="31" s="1"/>
  <c r="V33" i="31" s="1" a="1"/>
  <c r="V33" i="31" s="1"/>
  <c r="W33" i="31" s="1" a="1"/>
  <c r="W33" i="31" s="1"/>
  <c r="R33" i="31"/>
  <c r="P33" i="31"/>
  <c r="N33" i="31"/>
  <c r="AN32" i="31"/>
  <c r="AO32" i="31" s="1" a="1"/>
  <c r="AO32" i="31" s="1"/>
  <c r="AM32" i="31"/>
  <c r="AK32" i="31"/>
  <c r="AI32" i="31"/>
  <c r="AG32" i="31"/>
  <c r="T32" i="31"/>
  <c r="R32" i="31"/>
  <c r="P32" i="31"/>
  <c r="N32" i="31"/>
  <c r="AM31" i="31"/>
  <c r="AK31" i="31"/>
  <c r="AI31" i="31"/>
  <c r="AG31" i="31"/>
  <c r="T31" i="31"/>
  <c r="R31" i="31"/>
  <c r="P31" i="31"/>
  <c r="N31" i="31"/>
  <c r="AM30" i="31"/>
  <c r="AK30" i="31"/>
  <c r="AI30" i="31"/>
  <c r="AG30" i="31"/>
  <c r="T30" i="31"/>
  <c r="R30" i="31"/>
  <c r="P30" i="31"/>
  <c r="N30" i="31"/>
  <c r="AM29" i="31"/>
  <c r="AK29" i="31"/>
  <c r="AI29" i="31"/>
  <c r="AG29" i="31"/>
  <c r="AN29" i="31" s="1"/>
  <c r="AO29" i="31" s="1" a="1"/>
  <c r="AO29" i="31" s="1"/>
  <c r="T29" i="31"/>
  <c r="R29" i="31"/>
  <c r="P29" i="31"/>
  <c r="N29" i="31"/>
  <c r="AM28" i="31"/>
  <c r="AK28" i="31"/>
  <c r="AI28" i="31"/>
  <c r="AG28" i="31"/>
  <c r="T28" i="31"/>
  <c r="R28" i="31"/>
  <c r="P28" i="31"/>
  <c r="N28" i="31"/>
  <c r="U28" i="31" s="1"/>
  <c r="V28" i="31" s="1" a="1"/>
  <c r="V28" i="31" s="1"/>
  <c r="W28" i="31" s="1" a="1"/>
  <c r="W28" i="31" s="1"/>
  <c r="AM27" i="31"/>
  <c r="AK27" i="31"/>
  <c r="AI27" i="31"/>
  <c r="AG27" i="31"/>
  <c r="AN27" i="31" s="1"/>
  <c r="AO27" i="31" s="1" a="1"/>
  <c r="AO27" i="31" s="1"/>
  <c r="T27" i="31"/>
  <c r="R27" i="31"/>
  <c r="P27" i="31"/>
  <c r="N27" i="31"/>
  <c r="AM26" i="31"/>
  <c r="AK26" i="31"/>
  <c r="AI26" i="31"/>
  <c r="AG26" i="31"/>
  <c r="AN26" i="31" s="1"/>
  <c r="AO26" i="31" s="1" a="1"/>
  <c r="AO26" i="31" s="1"/>
  <c r="T26" i="31"/>
  <c r="R26" i="31"/>
  <c r="P26" i="31"/>
  <c r="N26" i="31"/>
  <c r="AM25" i="31"/>
  <c r="AK25" i="31"/>
  <c r="AI25" i="31"/>
  <c r="AG25" i="31"/>
  <c r="T25" i="31"/>
  <c r="R25" i="31"/>
  <c r="P25" i="31"/>
  <c r="N25" i="31"/>
  <c r="AM24" i="31"/>
  <c r="AK24" i="31"/>
  <c r="AI24" i="31"/>
  <c r="AG24" i="31"/>
  <c r="T24" i="31"/>
  <c r="R24" i="31"/>
  <c r="P24" i="31"/>
  <c r="N24" i="31"/>
  <c r="AN23" i="31"/>
  <c r="AO23" i="31" s="1" a="1"/>
  <c r="AO23" i="31" s="1"/>
  <c r="AM23" i="31"/>
  <c r="AK23" i="31"/>
  <c r="AI23" i="31"/>
  <c r="AG23" i="31"/>
  <c r="T23" i="31"/>
  <c r="R23" i="31"/>
  <c r="P23" i="31"/>
  <c r="N23" i="31"/>
  <c r="AM22" i="31"/>
  <c r="AK22" i="31"/>
  <c r="AI22" i="31"/>
  <c r="AG22" i="31"/>
  <c r="T22" i="31"/>
  <c r="R22" i="31"/>
  <c r="P22" i="31"/>
  <c r="N22" i="31"/>
  <c r="AM21" i="31"/>
  <c r="AK21" i="31"/>
  <c r="AI21" i="31"/>
  <c r="AG21" i="31"/>
  <c r="AN21" i="31" s="1"/>
  <c r="AO21" i="31" s="1" a="1"/>
  <c r="AO21" i="31" s="1"/>
  <c r="T21" i="31"/>
  <c r="R21" i="31"/>
  <c r="P21" i="31"/>
  <c r="N21" i="31"/>
  <c r="AM20" i="31"/>
  <c r="AK20" i="31"/>
  <c r="AI20" i="31"/>
  <c r="AG20" i="31"/>
  <c r="AN20" i="31" s="1"/>
  <c r="AO20" i="31" s="1" a="1"/>
  <c r="AO20" i="31" s="1"/>
  <c r="T20" i="31"/>
  <c r="R20" i="31"/>
  <c r="P20" i="31"/>
  <c r="N20" i="31"/>
  <c r="AM19" i="31"/>
  <c r="AK19" i="31"/>
  <c r="AI19" i="31"/>
  <c r="AG19" i="31"/>
  <c r="T19" i="31"/>
  <c r="R19" i="31"/>
  <c r="P19" i="31"/>
  <c r="N19" i="31"/>
  <c r="AM18" i="31"/>
  <c r="AK18" i="31"/>
  <c r="AI18" i="31"/>
  <c r="AG18" i="31"/>
  <c r="AN18" i="31" s="1"/>
  <c r="AO18" i="31" s="1" a="1"/>
  <c r="AO18" i="31" s="1"/>
  <c r="T18" i="31"/>
  <c r="U18" i="31" s="1"/>
  <c r="V18" i="31" s="1" a="1"/>
  <c r="V18" i="31" s="1"/>
  <c r="W18" i="31" s="1" a="1"/>
  <c r="W18" i="31" s="1"/>
  <c r="R18" i="31"/>
  <c r="P18" i="31"/>
  <c r="N18" i="31"/>
  <c r="AN17" i="31"/>
  <c r="AO17" i="31" s="1" a="1"/>
  <c r="AO17" i="31" s="1"/>
  <c r="AM17" i="31"/>
  <c r="AK17" i="31"/>
  <c r="AI17" i="31"/>
  <c r="AG17" i="31"/>
  <c r="T17" i="31"/>
  <c r="R17" i="31"/>
  <c r="P17" i="31"/>
  <c r="N17" i="31"/>
  <c r="AM16" i="31"/>
  <c r="AK16" i="31"/>
  <c r="AI16" i="31"/>
  <c r="AG16" i="31"/>
  <c r="T16" i="31"/>
  <c r="R16" i="31"/>
  <c r="P16" i="31"/>
  <c r="N16" i="31"/>
  <c r="AM15" i="31"/>
  <c r="AK15" i="31"/>
  <c r="AI15" i="31"/>
  <c r="AG15" i="31"/>
  <c r="T15" i="31"/>
  <c r="R15" i="31"/>
  <c r="P15" i="31"/>
  <c r="N15" i="31"/>
  <c r="AM14" i="31"/>
  <c r="AK14" i="31"/>
  <c r="AI14" i="31"/>
  <c r="AG14" i="31"/>
  <c r="AN14" i="31" s="1"/>
  <c r="AO14" i="31" s="1" a="1"/>
  <c r="AO14" i="31" s="1"/>
  <c r="T14" i="31"/>
  <c r="R14" i="31"/>
  <c r="P14" i="31"/>
  <c r="N14" i="31"/>
  <c r="AM13" i="31"/>
  <c r="AK13" i="31"/>
  <c r="AI13" i="31"/>
  <c r="AG13" i="31"/>
  <c r="T13" i="31"/>
  <c r="R13" i="31"/>
  <c r="P13" i="31"/>
  <c r="N13" i="31"/>
  <c r="U13" i="31" s="1"/>
  <c r="V13" i="31" s="1" a="1"/>
  <c r="V13" i="31" s="1"/>
  <c r="W13" i="31" s="1" a="1"/>
  <c r="W13" i="31" s="1"/>
  <c r="AM12" i="31"/>
  <c r="AK12" i="31"/>
  <c r="AI12" i="31"/>
  <c r="AG12" i="31"/>
  <c r="T12" i="31"/>
  <c r="R12" i="31"/>
  <c r="P12" i="31"/>
  <c r="N12" i="31"/>
  <c r="AM11" i="31"/>
  <c r="AK11" i="31"/>
  <c r="AN11" i="31" s="1"/>
  <c r="AO11" i="31" s="1" a="1"/>
  <c r="AO11" i="31" s="1"/>
  <c r="AI11" i="31"/>
  <c r="AG11" i="31"/>
  <c r="T11" i="31"/>
  <c r="R11" i="31"/>
  <c r="P11" i="31"/>
  <c r="N11" i="31"/>
  <c r="AM10" i="31"/>
  <c r="AK10" i="31"/>
  <c r="AI10" i="31"/>
  <c r="AG10" i="31"/>
  <c r="T10" i="31"/>
  <c r="R10" i="31"/>
  <c r="P10" i="31"/>
  <c r="N10" i="31"/>
  <c r="AM9" i="31"/>
  <c r="AK9" i="31"/>
  <c r="AN9" i="31" s="1"/>
  <c r="AO9" i="31" s="1" a="1"/>
  <c r="AO9" i="31" s="1"/>
  <c r="AI9" i="31"/>
  <c r="AG9" i="31"/>
  <c r="T9" i="31"/>
  <c r="R9" i="31"/>
  <c r="P9" i="31"/>
  <c r="N9" i="31"/>
  <c r="U9" i="31" s="1"/>
  <c r="V9" i="31" s="1" a="1"/>
  <c r="V9" i="31" s="1"/>
  <c r="W9" i="31" s="1" a="1"/>
  <c r="W9" i="31" s="1"/>
  <c r="AM8" i="31"/>
  <c r="AK8" i="31"/>
  <c r="AI8" i="31"/>
  <c r="AG8" i="31"/>
  <c r="T8" i="31"/>
  <c r="R8" i="31"/>
  <c r="P8" i="31"/>
  <c r="N8" i="31"/>
  <c r="AM7" i="31"/>
  <c r="AK7" i="31"/>
  <c r="AN7" i="31" s="1"/>
  <c r="AO7" i="31" s="1" a="1"/>
  <c r="AO7" i="31" s="1"/>
  <c r="AI7" i="31"/>
  <c r="AG7" i="31"/>
  <c r="T7" i="31"/>
  <c r="R7" i="31"/>
  <c r="P7" i="31"/>
  <c r="N7" i="31"/>
  <c r="AM6" i="31"/>
  <c r="AK6" i="31"/>
  <c r="AI6" i="31"/>
  <c r="AG6" i="31"/>
  <c r="T6" i="31"/>
  <c r="R6" i="31"/>
  <c r="P6" i="31"/>
  <c r="N6" i="31"/>
  <c r="AN22" i="31" l="1"/>
  <c r="AO22" i="31" s="1" a="1"/>
  <c r="AO22" i="31" s="1"/>
  <c r="AN37" i="31"/>
  <c r="AO37" i="31" s="1" a="1"/>
  <c r="AO37" i="31" s="1"/>
  <c r="U21" i="31"/>
  <c r="V21" i="31" s="1" a="1"/>
  <c r="V21" i="31" s="1"/>
  <c r="W21" i="31" s="1" a="1"/>
  <c r="W21" i="31" s="1"/>
  <c r="U16" i="31"/>
  <c r="V16" i="31" s="1" a="1"/>
  <c r="V16" i="31" s="1"/>
  <c r="W16" i="31" s="1" a="1"/>
  <c r="W16" i="31" s="1"/>
  <c r="U31" i="31"/>
  <c r="V31" i="31" s="1" a="1"/>
  <c r="V31" i="31" s="1"/>
  <c r="W31" i="31" s="1" a="1"/>
  <c r="W31" i="31" s="1"/>
  <c r="U36" i="31"/>
  <c r="V36" i="31" s="1" a="1"/>
  <c r="V36" i="31" s="1"/>
  <c r="W36" i="31" s="1" a="1"/>
  <c r="W36" i="31" s="1"/>
  <c r="AN44" i="31"/>
  <c r="AO44" i="31" s="1" a="1"/>
  <c r="AO44" i="31" s="1"/>
  <c r="AN48" i="31"/>
  <c r="AO48" i="31" s="1" a="1"/>
  <c r="AO48" i="31" s="1"/>
  <c r="AN72" i="31"/>
  <c r="AO72" i="31" s="1" a="1"/>
  <c r="AO72" i="31" s="1"/>
  <c r="AN73" i="31"/>
  <c r="AO73" i="31" s="1" a="1"/>
  <c r="AO73" i="31" s="1"/>
  <c r="AN80" i="31"/>
  <c r="AO80" i="31" s="1" a="1"/>
  <c r="AO80" i="31" s="1"/>
  <c r="AN10" i="31"/>
  <c r="AO10" i="31" s="1" a="1"/>
  <c r="AO10" i="31" s="1"/>
  <c r="U24" i="31"/>
  <c r="V24" i="31" s="1" a="1"/>
  <c r="V24" i="31" s="1"/>
  <c r="W24" i="31" s="1" a="1"/>
  <c r="W24" i="31" s="1"/>
  <c r="U94" i="31"/>
  <c r="V94" i="31" s="1" a="1"/>
  <c r="V94" i="31" s="1"/>
  <c r="W94" i="31" s="1" a="1"/>
  <c r="W94" i="31" s="1"/>
  <c r="U19" i="31"/>
  <c r="V19" i="31" s="1" a="1"/>
  <c r="V19" i="31" s="1"/>
  <c r="W19" i="31" s="1" a="1"/>
  <c r="W19" i="31" s="1"/>
  <c r="U23" i="31"/>
  <c r="V23" i="31" s="1" a="1"/>
  <c r="V23" i="31" s="1"/>
  <c r="W23" i="31" s="1" a="1"/>
  <c r="W23" i="31" s="1"/>
  <c r="AN24" i="31"/>
  <c r="AO24" i="31" s="1" a="1"/>
  <c r="AO24" i="31" s="1"/>
  <c r="AN25" i="31"/>
  <c r="AO25" i="31" s="1" a="1"/>
  <c r="AO25" i="31" s="1"/>
  <c r="U38" i="31"/>
  <c r="V38" i="31" s="1" a="1"/>
  <c r="V38" i="31" s="1"/>
  <c r="W38" i="31" s="1" a="1"/>
  <c r="W38" i="31" s="1"/>
  <c r="U39" i="31"/>
  <c r="V39" i="31" s="1" a="1"/>
  <c r="V39" i="31" s="1"/>
  <c r="W39" i="31" s="1" a="1"/>
  <c r="W39" i="31" s="1"/>
  <c r="AN47" i="31"/>
  <c r="AO47" i="31" s="1" a="1"/>
  <c r="AO47" i="31" s="1"/>
  <c r="AN59" i="31"/>
  <c r="AO59" i="31" s="1" a="1"/>
  <c r="AO59" i="31" s="1"/>
  <c r="U62" i="31"/>
  <c r="V62" i="31" s="1" a="1"/>
  <c r="V62" i="31" s="1"/>
  <c r="W62" i="31" s="1" a="1"/>
  <c r="W62" i="31" s="1"/>
  <c r="AN83" i="31"/>
  <c r="AO83" i="31" s="1" a="1"/>
  <c r="AO83" i="31" s="1"/>
  <c r="AN95" i="31"/>
  <c r="AO95" i="31" s="1" a="1"/>
  <c r="AO95" i="31" s="1"/>
  <c r="U98" i="31"/>
  <c r="V98" i="31" s="1" a="1"/>
  <c r="V98" i="31" s="1"/>
  <c r="W98" i="31" s="1" a="1"/>
  <c r="W98" i="31" s="1"/>
  <c r="AN34" i="31"/>
  <c r="AO34" i="31" s="1" a="1"/>
  <c r="AO34" i="31" s="1"/>
  <c r="U12" i="31"/>
  <c r="V12" i="31" s="1" a="1"/>
  <c r="V12" i="31" s="1"/>
  <c r="W12" i="31" s="1" a="1"/>
  <c r="W12" i="31" s="1"/>
  <c r="AN28" i="31"/>
  <c r="AO28" i="31" s="1" a="1"/>
  <c r="AO28" i="31" s="1"/>
  <c r="U34" i="31"/>
  <c r="V34" i="31" s="1" a="1"/>
  <c r="V34" i="31" s="1"/>
  <c r="W34" i="31" s="1" a="1"/>
  <c r="W34" i="31" s="1"/>
  <c r="AN64" i="31"/>
  <c r="AO64" i="31" s="1" a="1"/>
  <c r="AO64" i="31" s="1"/>
  <c r="AN71" i="31"/>
  <c r="AO71" i="31" s="1" a="1"/>
  <c r="AO71" i="31" s="1"/>
  <c r="AN100" i="31"/>
  <c r="AO100" i="31" s="1" a="1"/>
  <c r="AO100" i="31" s="1"/>
  <c r="AN81" i="31"/>
  <c r="AO81" i="31" s="1" a="1"/>
  <c r="AO81" i="31" s="1"/>
  <c r="U7" i="31"/>
  <c r="V7" i="31" s="1" a="1"/>
  <c r="V7" i="31" s="1"/>
  <c r="W7" i="31" s="1" a="1"/>
  <c r="W7" i="31" s="1"/>
  <c r="U8" i="31"/>
  <c r="V8" i="31" s="1" a="1"/>
  <c r="V8" i="31" s="1"/>
  <c r="W8" i="31" s="1" a="1"/>
  <c r="W8" i="31" s="1"/>
  <c r="AN12" i="31"/>
  <c r="AO12" i="31" s="1" a="1"/>
  <c r="AO12" i="31" s="1"/>
  <c r="AN13" i="31"/>
  <c r="AO13" i="31" s="1" a="1"/>
  <c r="AO13" i="31" s="1"/>
  <c r="U22" i="31"/>
  <c r="V22" i="31" s="1" a="1"/>
  <c r="V22" i="31" s="1"/>
  <c r="W22" i="31" s="1" a="1"/>
  <c r="W22" i="31" s="1"/>
  <c r="U27" i="31"/>
  <c r="V27" i="31" s="1" a="1"/>
  <c r="V27" i="31" s="1"/>
  <c r="W27" i="31" s="1" a="1"/>
  <c r="W27" i="31" s="1"/>
  <c r="U49" i="31"/>
  <c r="V49" i="31" s="1" a="1"/>
  <c r="V49" i="31" s="1"/>
  <c r="W49" i="31" s="1" a="1"/>
  <c r="W49" i="31" s="1"/>
  <c r="U61" i="31"/>
  <c r="V61" i="31" s="1" a="1"/>
  <c r="V61" i="31" s="1"/>
  <c r="W61" i="31" s="1" a="1"/>
  <c r="W61" i="31" s="1"/>
  <c r="AN63" i="31"/>
  <c r="AO63" i="31" s="1" a="1"/>
  <c r="AO63" i="31" s="1"/>
  <c r="U73" i="31"/>
  <c r="V73" i="31" s="1" a="1"/>
  <c r="V73" i="31" s="1"/>
  <c r="W73" i="31" s="1" a="1"/>
  <c r="W73" i="31" s="1"/>
  <c r="U85" i="31"/>
  <c r="V85" i="31" s="1" a="1"/>
  <c r="V85" i="31" s="1"/>
  <c r="W85" i="31" s="1" a="1"/>
  <c r="W85" i="31" s="1"/>
  <c r="U97" i="31"/>
  <c r="V97" i="31" s="1" a="1"/>
  <c r="V97" i="31" s="1"/>
  <c r="W97" i="31" s="1" a="1"/>
  <c r="W97" i="31" s="1"/>
  <c r="AN99" i="31"/>
  <c r="AO99" i="31" s="1" a="1"/>
  <c r="AO99" i="31" s="1"/>
  <c r="AN8" i="31"/>
  <c r="AO8" i="31" s="1" a="1"/>
  <c r="AO8" i="31" s="1"/>
  <c r="U26" i="31"/>
  <c r="V26" i="31" s="1" a="1"/>
  <c r="V26" i="31" s="1"/>
  <c r="W26" i="31" s="1" a="1"/>
  <c r="W26" i="31" s="1"/>
  <c r="U6" i="31"/>
  <c r="V6" i="31" s="1" a="1"/>
  <c r="V6" i="31" s="1"/>
  <c r="W6" i="31" s="1" a="1"/>
  <c r="W6" i="31" s="1"/>
  <c r="U14" i="31"/>
  <c r="V14" i="31" s="1" a="1"/>
  <c r="V14" i="31" s="1"/>
  <c r="W14" i="31" s="1" a="1"/>
  <c r="W14" i="31" s="1"/>
  <c r="U15" i="31"/>
  <c r="V15" i="31" s="1" a="1"/>
  <c r="V15" i="31" s="1"/>
  <c r="W15" i="31" s="1" a="1"/>
  <c r="W15" i="31" s="1"/>
  <c r="U29" i="31"/>
  <c r="V29" i="31" s="1" a="1"/>
  <c r="V29" i="31" s="1"/>
  <c r="W29" i="31" s="1" a="1"/>
  <c r="W29" i="31" s="1"/>
  <c r="U30" i="31"/>
  <c r="V30" i="31" s="1" a="1"/>
  <c r="V30" i="31" s="1"/>
  <c r="W30" i="31" s="1" a="1"/>
  <c r="W30" i="31" s="1"/>
  <c r="AN54" i="31"/>
  <c r="AO54" i="31" s="1" a="1"/>
  <c r="AO54" i="31" s="1"/>
  <c r="AN55" i="31"/>
  <c r="AO55" i="31" s="1" a="1"/>
  <c r="AO55" i="31" s="1"/>
  <c r="AN62" i="31"/>
  <c r="AO62" i="31" s="1" a="1"/>
  <c r="AO62" i="31" s="1"/>
  <c r="AN66" i="31"/>
  <c r="AO66" i="31" s="1" a="1"/>
  <c r="AO66" i="31" s="1"/>
  <c r="AN91" i="31"/>
  <c r="AO91" i="31" s="1" a="1"/>
  <c r="AO91" i="31" s="1"/>
  <c r="AN98" i="31"/>
  <c r="AO98" i="31" s="1" a="1"/>
  <c r="AO98" i="31" s="1"/>
  <c r="AN102" i="31"/>
  <c r="AO102" i="31" s="1" a="1"/>
  <c r="AO102" i="31" s="1"/>
  <c r="U32" i="31"/>
  <c r="V32" i="31" s="1" a="1"/>
  <c r="V32" i="31" s="1"/>
  <c r="W32" i="31" s="1" a="1"/>
  <c r="W32" i="31" s="1"/>
  <c r="U10" i="31"/>
  <c r="V10" i="31" s="1" a="1"/>
  <c r="V10" i="31" s="1"/>
  <c r="W10" i="31" s="1" a="1"/>
  <c r="W10" i="31" s="1"/>
  <c r="AN15" i="31"/>
  <c r="AO15" i="31" s="1" a="1"/>
  <c r="AO15" i="31" s="1"/>
  <c r="AN16" i="31"/>
  <c r="AO16" i="31" s="1" a="1"/>
  <c r="AO16" i="31" s="1"/>
  <c r="U25" i="31"/>
  <c r="V25" i="31" s="1" a="1"/>
  <c r="V25" i="31" s="1"/>
  <c r="W25" i="31" s="1" a="1"/>
  <c r="W25" i="31" s="1"/>
  <c r="AN30" i="31"/>
  <c r="AO30" i="31" s="1" a="1"/>
  <c r="AO30" i="31" s="1"/>
  <c r="AN31" i="31"/>
  <c r="AO31" i="31" s="1" a="1"/>
  <c r="AO31" i="31" s="1"/>
  <c r="U52" i="31"/>
  <c r="V52" i="31" s="1" a="1"/>
  <c r="V52" i="31" s="1"/>
  <c r="W52" i="31" s="1" a="1"/>
  <c r="W52" i="31" s="1"/>
  <c r="U64" i="31"/>
  <c r="V64" i="31" s="1" a="1"/>
  <c r="V64" i="31" s="1"/>
  <c r="W64" i="31" s="1" a="1"/>
  <c r="W64" i="31" s="1"/>
  <c r="U76" i="31"/>
  <c r="V76" i="31" s="1" a="1"/>
  <c r="V76" i="31" s="1"/>
  <c r="W76" i="31" s="1" a="1"/>
  <c r="W76" i="31" s="1"/>
  <c r="U88" i="31"/>
  <c r="V88" i="31" s="1" a="1"/>
  <c r="V88" i="31" s="1"/>
  <c r="W88" i="31" s="1" a="1"/>
  <c r="W88" i="31" s="1"/>
  <c r="AN90" i="31"/>
  <c r="AO90" i="31" s="1" a="1"/>
  <c r="AO90" i="31" s="1"/>
  <c r="U100" i="31"/>
  <c r="V100" i="31" s="1" a="1"/>
  <c r="V100" i="31" s="1"/>
  <c r="W100" i="31" s="1" a="1"/>
  <c r="W100" i="31" s="1"/>
  <c r="AN19" i="31"/>
  <c r="AO19" i="31" s="1" a="1"/>
  <c r="AO19" i="31" s="1"/>
  <c r="AN41" i="31"/>
  <c r="AO41" i="31" s="1" a="1"/>
  <c r="AO41" i="31" s="1"/>
  <c r="U44" i="31"/>
  <c r="V44" i="31" s="1" a="1"/>
  <c r="V44" i="31" s="1"/>
  <c r="W44" i="31" s="1" a="1"/>
  <c r="W44" i="31" s="1"/>
  <c r="AN65" i="31"/>
  <c r="AO65" i="31" s="1" a="1"/>
  <c r="AO65" i="31" s="1"/>
  <c r="AN77" i="31"/>
  <c r="AO77" i="31" s="1" a="1"/>
  <c r="AO77" i="31" s="1"/>
  <c r="U80" i="31"/>
  <c r="V80" i="31" s="1" a="1"/>
  <c r="V80" i="31" s="1"/>
  <c r="W80" i="31" s="1" a="1"/>
  <c r="W80" i="31" s="1"/>
  <c r="AN101" i="31"/>
  <c r="AO101" i="31" s="1" a="1"/>
  <c r="AO101" i="31" s="1"/>
  <c r="U11" i="31"/>
  <c r="V11" i="31" s="1" a="1"/>
  <c r="V11" i="31" s="1"/>
  <c r="W11" i="31" s="1" a="1"/>
  <c r="W11" i="31" s="1"/>
  <c r="U20" i="31"/>
  <c r="V20" i="31" s="1" a="1"/>
  <c r="V20" i="31" s="1"/>
  <c r="W20" i="31" s="1" a="1"/>
  <c r="W20" i="31" s="1"/>
  <c r="AN6" i="31"/>
  <c r="AO6" i="31" s="1" a="1"/>
  <c r="AO6" i="31" s="1"/>
  <c r="U17" i="31"/>
  <c r="V17" i="31" s="1" a="1"/>
  <c r="V17" i="31" s="1"/>
  <c r="W17" i="31" s="1" a="1"/>
  <c r="W17" i="31" s="1"/>
  <c r="U47" i="31"/>
  <c r="V47" i="31" s="1" a="1"/>
  <c r="V47" i="31" s="1"/>
  <c r="W47" i="31" s="1" a="1"/>
  <c r="W47" i="31" s="1"/>
  <c r="U56" i="31"/>
  <c r="V56" i="31" s="1" a="1"/>
  <c r="V56" i="31" s="1"/>
  <c r="W56" i="31" s="1" a="1"/>
  <c r="W56" i="31" s="1"/>
  <c r="U65" i="31"/>
  <c r="V65" i="31" s="1" a="1"/>
  <c r="V65" i="31" s="1"/>
  <c r="W65" i="31" s="1" a="1"/>
  <c r="W65" i="31" s="1"/>
  <c r="U74" i="31"/>
  <c r="V74" i="31" s="1" a="1"/>
  <c r="V74" i="31" s="1"/>
  <c r="W74" i="31" s="1" a="1"/>
  <c r="W74" i="31" s="1"/>
  <c r="AN75" i="31"/>
  <c r="AO75" i="31" s="1" a="1"/>
  <c r="AO75" i="31" s="1"/>
  <c r="U83" i="31"/>
  <c r="V83" i="31" s="1" a="1"/>
  <c r="V83" i="31" s="1"/>
  <c r="W83" i="31" s="1" a="1"/>
  <c r="W83" i="31" s="1"/>
  <c r="AN84" i="31"/>
  <c r="AO84" i="31" s="1" a="1"/>
  <c r="AO84" i="31" s="1"/>
  <c r="U92" i="31"/>
  <c r="V92" i="31" s="1" a="1"/>
  <c r="V92" i="31" s="1"/>
  <c r="W92" i="31" s="1" a="1"/>
  <c r="W92" i="31" s="1"/>
  <c r="AN93" i="31"/>
  <c r="AO93" i="31" s="1" a="1"/>
  <c r="AO93" i="31" s="1"/>
  <c r="U101" i="31"/>
  <c r="V101" i="31" s="1" a="1"/>
  <c r="V101" i="31" s="1"/>
  <c r="W101" i="31" s="1" a="1"/>
  <c r="W101" i="31" s="1"/>
  <c r="U41" i="31"/>
  <c r="V41" i="31" s="1" a="1"/>
  <c r="V41" i="31" s="1"/>
  <c r="W41" i="31" s="1" a="1"/>
  <c r="W41" i="31" s="1"/>
  <c r="AN42" i="31"/>
  <c r="AO42" i="31" s="1" a="1"/>
  <c r="AO42" i="31" s="1"/>
  <c r="AN51" i="31"/>
  <c r="AO51" i="31" s="1" a="1"/>
  <c r="AO51" i="31" s="1"/>
  <c r="AN69" i="31"/>
  <c r="AO69" i="31" s="1" a="1"/>
  <c r="AO69" i="31" s="1"/>
  <c r="AN39" i="31"/>
  <c r="AO39" i="31" s="1" a="1"/>
  <c r="AO39" i="31" s="1"/>
  <c r="U50" i="31"/>
  <c r="V50" i="31" s="1" a="1"/>
  <c r="V50" i="31" s="1"/>
  <c r="W50" i="31" s="1" a="1"/>
  <c r="W50" i="31" s="1"/>
  <c r="U59" i="31"/>
  <c r="V59" i="31" s="1" a="1"/>
  <c r="V59" i="31" s="1"/>
  <c r="W59" i="31" s="1" a="1"/>
  <c r="W59" i="31" s="1"/>
  <c r="AN60" i="31"/>
  <c r="AO60" i="31" s="1" a="1"/>
  <c r="AO60" i="31" s="1"/>
  <c r="U68" i="31"/>
  <c r="V68" i="31" s="1" a="1"/>
  <c r="V68" i="31" s="1"/>
  <c r="W68" i="31" s="1" a="1"/>
  <c r="W68" i="31" s="1"/>
  <c r="U77" i="31"/>
  <c r="V77" i="31" s="1" a="1"/>
  <c r="V77" i="31" s="1"/>
  <c r="W77" i="31" s="1" a="1"/>
  <c r="W77" i="31" s="1"/>
  <c r="AN78" i="31"/>
  <c r="AO78" i="31" s="1" a="1"/>
  <c r="AO78" i="31" s="1"/>
  <c r="U86" i="31"/>
  <c r="V86" i="31" s="1" a="1"/>
  <c r="V86" i="31" s="1"/>
  <c r="W86" i="31" s="1" a="1"/>
  <c r="W86" i="31" s="1"/>
  <c r="AN87" i="31"/>
  <c r="AO87" i="31" s="1" a="1"/>
  <c r="AO87" i="31" s="1"/>
  <c r="U95" i="31"/>
  <c r="V95" i="31" s="1" a="1"/>
  <c r="V95" i="31" s="1"/>
  <c r="W95" i="31" s="1" a="1"/>
  <c r="W95" i="31" s="1"/>
  <c r="AN96" i="31"/>
  <c r="AO96" i="31" s="1" a="1"/>
  <c r="AO96" i="31" s="1"/>
  <c r="L16" i="8" l="1"/>
  <c r="J11" i="21"/>
  <c r="I11" i="21"/>
  <c r="H11" i="21"/>
  <c r="G11" i="21"/>
  <c r="F11" i="21"/>
  <c r="E11" i="21"/>
  <c r="G1843" i="19"/>
  <c r="H1843" i="19"/>
  <c r="I1843" i="19"/>
  <c r="J1843" i="19"/>
  <c r="K1843" i="19"/>
  <c r="G1844" i="19"/>
  <c r="H1844" i="19"/>
  <c r="I1844" i="19"/>
  <c r="J1844" i="19"/>
  <c r="K1844" i="19"/>
  <c r="G1845" i="19"/>
  <c r="H1845" i="19"/>
  <c r="I1845" i="19"/>
  <c r="J1845" i="19"/>
  <c r="K1845" i="19"/>
  <c r="G1846" i="19"/>
  <c r="H1846" i="19"/>
  <c r="I1846" i="19"/>
  <c r="J1846" i="19"/>
  <c r="K1846" i="19"/>
  <c r="G1847" i="19"/>
  <c r="H1847" i="19"/>
  <c r="I1847" i="19"/>
  <c r="J1847" i="19"/>
  <c r="K1847" i="19"/>
  <c r="G1848" i="19"/>
  <c r="H1848" i="19"/>
  <c r="I1848" i="19"/>
  <c r="J1848" i="19"/>
  <c r="K1848" i="19"/>
  <c r="G1849" i="19"/>
  <c r="H1849" i="19"/>
  <c r="I1849" i="19"/>
  <c r="J1849" i="19"/>
  <c r="K1849" i="19"/>
  <c r="G1850" i="19"/>
  <c r="H1850" i="19"/>
  <c r="I1850" i="19"/>
  <c r="J1850" i="19"/>
  <c r="K1850" i="19"/>
  <c r="G1851" i="19"/>
  <c r="H1851" i="19"/>
  <c r="I1851" i="19"/>
  <c r="J1851" i="19"/>
  <c r="K1851" i="19"/>
  <c r="G1852" i="19"/>
  <c r="H1852" i="19"/>
  <c r="I1852" i="19"/>
  <c r="J1852" i="19"/>
  <c r="K1852" i="19"/>
  <c r="G1853" i="19"/>
  <c r="H1853" i="19"/>
  <c r="I1853" i="19"/>
  <c r="J1853" i="19"/>
  <c r="K1853" i="19"/>
  <c r="G1854" i="19"/>
  <c r="H1854" i="19"/>
  <c r="I1854" i="19"/>
  <c r="J1854" i="19"/>
  <c r="K1854" i="19"/>
  <c r="G1855" i="19"/>
  <c r="H1855" i="19"/>
  <c r="I1855" i="19"/>
  <c r="J1855" i="19"/>
  <c r="K1855" i="19"/>
  <c r="G1856" i="19"/>
  <c r="H1856" i="19"/>
  <c r="I1856" i="19"/>
  <c r="J1856" i="19"/>
  <c r="K1856" i="19"/>
  <c r="G1857" i="19"/>
  <c r="H1857" i="19"/>
  <c r="I1857" i="19"/>
  <c r="J1857" i="19"/>
  <c r="K1857" i="19"/>
  <c r="G1858" i="19"/>
  <c r="H1858" i="19"/>
  <c r="I1858" i="19"/>
  <c r="J1858" i="19"/>
  <c r="K1858" i="19"/>
  <c r="G1859" i="19"/>
  <c r="H1859" i="19"/>
  <c r="I1859" i="19"/>
  <c r="J1859" i="19"/>
  <c r="K1859" i="19"/>
  <c r="G1860" i="19"/>
  <c r="H1860" i="19"/>
  <c r="I1860" i="19"/>
  <c r="J1860" i="19"/>
  <c r="K1860" i="19"/>
  <c r="G1861" i="19"/>
  <c r="H1861" i="19"/>
  <c r="I1861" i="19"/>
  <c r="J1861" i="19"/>
  <c r="K1861" i="19"/>
  <c r="G1862" i="19"/>
  <c r="H1862" i="19"/>
  <c r="I1862" i="19"/>
  <c r="J1862" i="19"/>
  <c r="K1862" i="19"/>
  <c r="G1863" i="19"/>
  <c r="H1863" i="19"/>
  <c r="I1863" i="19"/>
  <c r="J1863" i="19"/>
  <c r="K1863" i="19"/>
  <c r="G1864" i="19"/>
  <c r="H1864" i="19"/>
  <c r="I1864" i="19"/>
  <c r="J1864" i="19"/>
  <c r="K1864" i="19"/>
  <c r="G1865" i="19"/>
  <c r="H1865" i="19"/>
  <c r="I1865" i="19"/>
  <c r="J1865" i="19"/>
  <c r="K1865" i="19"/>
  <c r="G1866" i="19"/>
  <c r="H1866" i="19"/>
  <c r="I1866" i="19"/>
  <c r="J1866" i="19"/>
  <c r="K1866" i="19"/>
  <c r="G1867" i="19"/>
  <c r="H1867" i="19"/>
  <c r="I1867" i="19"/>
  <c r="J1867" i="19"/>
  <c r="K1867" i="19"/>
  <c r="G1868" i="19"/>
  <c r="H1868" i="19"/>
  <c r="I1868" i="19"/>
  <c r="J1868" i="19"/>
  <c r="K1868" i="19"/>
  <c r="G1869" i="19"/>
  <c r="H1869" i="19"/>
  <c r="I1869" i="19"/>
  <c r="J1869" i="19"/>
  <c r="K1869" i="19"/>
  <c r="G1870" i="19"/>
  <c r="H1870" i="19"/>
  <c r="I1870" i="19"/>
  <c r="J1870" i="19"/>
  <c r="K1870" i="19"/>
  <c r="G1871" i="19"/>
  <c r="H1871" i="19"/>
  <c r="I1871" i="19"/>
  <c r="J1871" i="19"/>
  <c r="K1871" i="19"/>
  <c r="G1872" i="19"/>
  <c r="H1872" i="19"/>
  <c r="I1872" i="19"/>
  <c r="J1872" i="19"/>
  <c r="K1872" i="19"/>
  <c r="G1873" i="19"/>
  <c r="H1873" i="19"/>
  <c r="I1873" i="19"/>
  <c r="J1873" i="19"/>
  <c r="K1873" i="19"/>
  <c r="G1874" i="19"/>
  <c r="H1874" i="19"/>
  <c r="I1874" i="19"/>
  <c r="J1874" i="19"/>
  <c r="K1874" i="19"/>
  <c r="G1875" i="19"/>
  <c r="H1875" i="19"/>
  <c r="I1875" i="19"/>
  <c r="J1875" i="19"/>
  <c r="K1875" i="19"/>
  <c r="G1876" i="19"/>
  <c r="H1876" i="19"/>
  <c r="I1876" i="19"/>
  <c r="J1876" i="19"/>
  <c r="K1876" i="19"/>
  <c r="G1877" i="19"/>
  <c r="H1877" i="19"/>
  <c r="I1877" i="19"/>
  <c r="J1877" i="19"/>
  <c r="K1877" i="19"/>
  <c r="G1878" i="19"/>
  <c r="H1878" i="19"/>
  <c r="I1878" i="19"/>
  <c r="J1878" i="19"/>
  <c r="K1878" i="19"/>
  <c r="G1879" i="19"/>
  <c r="H1879" i="19"/>
  <c r="I1879" i="19"/>
  <c r="J1879" i="19"/>
  <c r="K1879" i="19"/>
  <c r="G1880" i="19"/>
  <c r="H1880" i="19"/>
  <c r="I1880" i="19"/>
  <c r="J1880" i="19"/>
  <c r="K1880" i="19"/>
  <c r="G1881" i="19"/>
  <c r="H1881" i="19"/>
  <c r="I1881" i="19"/>
  <c r="J1881" i="19"/>
  <c r="K1881" i="19"/>
  <c r="G1882" i="19"/>
  <c r="H1882" i="19"/>
  <c r="I1882" i="19"/>
  <c r="J1882" i="19"/>
  <c r="K1882" i="19"/>
  <c r="G1883" i="19"/>
  <c r="H1883" i="19"/>
  <c r="I1883" i="19"/>
  <c r="J1883" i="19"/>
  <c r="K1883" i="19"/>
  <c r="G1884" i="19"/>
  <c r="H1884" i="19"/>
  <c r="I1884" i="19"/>
  <c r="J1884" i="19"/>
  <c r="K1884" i="19"/>
  <c r="G1885" i="19"/>
  <c r="H1885" i="19"/>
  <c r="I1885" i="19"/>
  <c r="J1885" i="19"/>
  <c r="K1885" i="19"/>
  <c r="G1886" i="19"/>
  <c r="H1886" i="19"/>
  <c r="I1886" i="19"/>
  <c r="J1886" i="19"/>
  <c r="K1886" i="19"/>
  <c r="G1887" i="19"/>
  <c r="H1887" i="19"/>
  <c r="I1887" i="19"/>
  <c r="J1887" i="19"/>
  <c r="K1887" i="19"/>
  <c r="G1888" i="19"/>
  <c r="H1888" i="19"/>
  <c r="I1888" i="19"/>
  <c r="J1888" i="19"/>
  <c r="K1888" i="19"/>
  <c r="G1889" i="19"/>
  <c r="H1889" i="19"/>
  <c r="I1889" i="19"/>
  <c r="J1889" i="19"/>
  <c r="K1889" i="19"/>
  <c r="G1890" i="19"/>
  <c r="H1890" i="19"/>
  <c r="I1890" i="19"/>
  <c r="J1890" i="19"/>
  <c r="K1890" i="19"/>
  <c r="G1891" i="19"/>
  <c r="H1891" i="19"/>
  <c r="I1891" i="19"/>
  <c r="J1891" i="19"/>
  <c r="K1891" i="19"/>
  <c r="G1892" i="19"/>
  <c r="H1892" i="19"/>
  <c r="I1892" i="19"/>
  <c r="J1892" i="19"/>
  <c r="K1892" i="19"/>
  <c r="G1893" i="19"/>
  <c r="H1893" i="19"/>
  <c r="I1893" i="19"/>
  <c r="J1893" i="19"/>
  <c r="K1893" i="19"/>
  <c r="G1894" i="19"/>
  <c r="H1894" i="19"/>
  <c r="I1894" i="19"/>
  <c r="J1894" i="19"/>
  <c r="K1894" i="19"/>
  <c r="G1895" i="19"/>
  <c r="H1895" i="19"/>
  <c r="I1895" i="19"/>
  <c r="J1895" i="19"/>
  <c r="K1895" i="19"/>
  <c r="G1896" i="19"/>
  <c r="H1896" i="19"/>
  <c r="I1896" i="19"/>
  <c r="J1896" i="19"/>
  <c r="K1896" i="19"/>
  <c r="G1897" i="19"/>
  <c r="H1897" i="19"/>
  <c r="I1897" i="19"/>
  <c r="J1897" i="19"/>
  <c r="K1897" i="19"/>
  <c r="G1898" i="19"/>
  <c r="H1898" i="19"/>
  <c r="I1898" i="19"/>
  <c r="J1898" i="19"/>
  <c r="K1898" i="19"/>
  <c r="G1899" i="19"/>
  <c r="H1899" i="19"/>
  <c r="I1899" i="19"/>
  <c r="J1899" i="19"/>
  <c r="K1899" i="19"/>
  <c r="G1900" i="19"/>
  <c r="H1900" i="19"/>
  <c r="I1900" i="19"/>
  <c r="J1900" i="19"/>
  <c r="K1900" i="19"/>
  <c r="G1901" i="19"/>
  <c r="H1901" i="19"/>
  <c r="I1901" i="19"/>
  <c r="J1901" i="19"/>
  <c r="K1901" i="19"/>
  <c r="G1902" i="19"/>
  <c r="H1902" i="19"/>
  <c r="I1902" i="19"/>
  <c r="J1902" i="19"/>
  <c r="K1902" i="19"/>
  <c r="G1903" i="19"/>
  <c r="H1903" i="19"/>
  <c r="I1903" i="19"/>
  <c r="J1903" i="19"/>
  <c r="K1903" i="19"/>
  <c r="G1904" i="19"/>
  <c r="H1904" i="19"/>
  <c r="I1904" i="19"/>
  <c r="J1904" i="19"/>
  <c r="K1904" i="19"/>
  <c r="G1905" i="19"/>
  <c r="H1905" i="19"/>
  <c r="I1905" i="19"/>
  <c r="J1905" i="19"/>
  <c r="K1905" i="19"/>
  <c r="G1906" i="19"/>
  <c r="H1906" i="19"/>
  <c r="I1906" i="19"/>
  <c r="J1906" i="19"/>
  <c r="K1906" i="19"/>
  <c r="G1907" i="19"/>
  <c r="H1907" i="19"/>
  <c r="I1907" i="19"/>
  <c r="J1907" i="19"/>
  <c r="K1907" i="19"/>
  <c r="G1908" i="19"/>
  <c r="H1908" i="19"/>
  <c r="I1908" i="19"/>
  <c r="J1908" i="19"/>
  <c r="K1908" i="19"/>
  <c r="G1909" i="19"/>
  <c r="H1909" i="19"/>
  <c r="I1909" i="19"/>
  <c r="J1909" i="19"/>
  <c r="K1909" i="19"/>
  <c r="G1910" i="19"/>
  <c r="H1910" i="19"/>
  <c r="I1910" i="19"/>
  <c r="J1910" i="19"/>
  <c r="K1910" i="19"/>
  <c r="G1911" i="19"/>
  <c r="H1911" i="19"/>
  <c r="I1911" i="19"/>
  <c r="J1911" i="19"/>
  <c r="K1911" i="19"/>
  <c r="G1912" i="19"/>
  <c r="H1912" i="19"/>
  <c r="I1912" i="19"/>
  <c r="J1912" i="19"/>
  <c r="K1912" i="19"/>
  <c r="G1913" i="19"/>
  <c r="H1913" i="19"/>
  <c r="I1913" i="19"/>
  <c r="J1913" i="19"/>
  <c r="K1913" i="19"/>
  <c r="G1914" i="19"/>
  <c r="H1914" i="19"/>
  <c r="I1914" i="19"/>
  <c r="J1914" i="19"/>
  <c r="K1914" i="19"/>
  <c r="G1915" i="19"/>
  <c r="H1915" i="19"/>
  <c r="I1915" i="19"/>
  <c r="J1915" i="19"/>
  <c r="K1915" i="19"/>
  <c r="G1916" i="19"/>
  <c r="H1916" i="19"/>
  <c r="I1916" i="19"/>
  <c r="J1916" i="19"/>
  <c r="K1916" i="19"/>
  <c r="G1917" i="19"/>
  <c r="H1917" i="19"/>
  <c r="I1917" i="19"/>
  <c r="J1917" i="19"/>
  <c r="K1917" i="19"/>
  <c r="G1918" i="19"/>
  <c r="H1918" i="19"/>
  <c r="I1918" i="19"/>
  <c r="J1918" i="19"/>
  <c r="K1918" i="19"/>
  <c r="G1919" i="19"/>
  <c r="H1919" i="19"/>
  <c r="I1919" i="19"/>
  <c r="J1919" i="19"/>
  <c r="K1919" i="19"/>
  <c r="G1920" i="19"/>
  <c r="H1920" i="19"/>
  <c r="I1920" i="19"/>
  <c r="J1920" i="19"/>
  <c r="K1920" i="19"/>
  <c r="G1921" i="19"/>
  <c r="H1921" i="19"/>
  <c r="I1921" i="19"/>
  <c r="J1921" i="19"/>
  <c r="K1921" i="19"/>
  <c r="G1922" i="19"/>
  <c r="H1922" i="19"/>
  <c r="I1922" i="19"/>
  <c r="J1922" i="19"/>
  <c r="K1922" i="19"/>
  <c r="G1923" i="19"/>
  <c r="H1923" i="19"/>
  <c r="I1923" i="19"/>
  <c r="J1923" i="19"/>
  <c r="K1923" i="19"/>
  <c r="G1924" i="19"/>
  <c r="H1924" i="19"/>
  <c r="I1924" i="19"/>
  <c r="J1924" i="19"/>
  <c r="K1924" i="19"/>
  <c r="G1925" i="19"/>
  <c r="H1925" i="19"/>
  <c r="I1925" i="19"/>
  <c r="J1925" i="19"/>
  <c r="K1925" i="19"/>
  <c r="G1926" i="19"/>
  <c r="H1926" i="19"/>
  <c r="I1926" i="19"/>
  <c r="J1926" i="19"/>
  <c r="K1926" i="19"/>
  <c r="G1927" i="19"/>
  <c r="H1927" i="19"/>
  <c r="I1927" i="19"/>
  <c r="J1927" i="19"/>
  <c r="K1927" i="19"/>
  <c r="G1928" i="19"/>
  <c r="H1928" i="19"/>
  <c r="I1928" i="19"/>
  <c r="J1928" i="19"/>
  <c r="K1928" i="19"/>
  <c r="G1929" i="19"/>
  <c r="H1929" i="19"/>
  <c r="I1929" i="19"/>
  <c r="J1929" i="19"/>
  <c r="K1929" i="19"/>
  <c r="G1930" i="19"/>
  <c r="H1930" i="19"/>
  <c r="I1930" i="19"/>
  <c r="J1930" i="19"/>
  <c r="K1930" i="19"/>
  <c r="G1931" i="19"/>
  <c r="H1931" i="19"/>
  <c r="I1931" i="19"/>
  <c r="J1931" i="19"/>
  <c r="K1931" i="19"/>
  <c r="G1932" i="19"/>
  <c r="H1932" i="19"/>
  <c r="I1932" i="19"/>
  <c r="J1932" i="19"/>
  <c r="K1932" i="19"/>
  <c r="G1933" i="19"/>
  <c r="H1933" i="19"/>
  <c r="I1933" i="19"/>
  <c r="J1933" i="19"/>
  <c r="K1933" i="19"/>
  <c r="G1934" i="19"/>
  <c r="H1934" i="19"/>
  <c r="I1934" i="19"/>
  <c r="J1934" i="19"/>
  <c r="K1934" i="19"/>
  <c r="G1935" i="19"/>
  <c r="H1935" i="19"/>
  <c r="I1935" i="19"/>
  <c r="J1935" i="19"/>
  <c r="K1935" i="19"/>
  <c r="G1936" i="19"/>
  <c r="H1936" i="19"/>
  <c r="I1936" i="19"/>
  <c r="J1936" i="19"/>
  <c r="K1936" i="19"/>
  <c r="G1937" i="19"/>
  <c r="H1937" i="19"/>
  <c r="I1937" i="19"/>
  <c r="J1937" i="19"/>
  <c r="K1937" i="19"/>
  <c r="G1938" i="19"/>
  <c r="H1938" i="19"/>
  <c r="I1938" i="19"/>
  <c r="J1938" i="19"/>
  <c r="K1938" i="19"/>
  <c r="G1939" i="19"/>
  <c r="H1939" i="19"/>
  <c r="I1939" i="19"/>
  <c r="J1939" i="19"/>
  <c r="K1939" i="19"/>
  <c r="G1940" i="19"/>
  <c r="H1940" i="19"/>
  <c r="I1940" i="19"/>
  <c r="J1940" i="19"/>
  <c r="K1940" i="19"/>
  <c r="G1941" i="19"/>
  <c r="H1941" i="19"/>
  <c r="I1941" i="19"/>
  <c r="J1941" i="19"/>
  <c r="K1941" i="19"/>
  <c r="G1942" i="19"/>
  <c r="H1942" i="19"/>
  <c r="I1942" i="19"/>
  <c r="J1942" i="19"/>
  <c r="K1942" i="19"/>
  <c r="G1943" i="19"/>
  <c r="H1943" i="19"/>
  <c r="I1943" i="19"/>
  <c r="J1943" i="19"/>
  <c r="K1943" i="19"/>
  <c r="G1944" i="19"/>
  <c r="H1944" i="19"/>
  <c r="I1944" i="19"/>
  <c r="J1944" i="19"/>
  <c r="K1944" i="19"/>
  <c r="G1945" i="19"/>
  <c r="H1945" i="19"/>
  <c r="I1945" i="19"/>
  <c r="J1945" i="19"/>
  <c r="K1945" i="19"/>
  <c r="G1946" i="19"/>
  <c r="H1946" i="19"/>
  <c r="I1946" i="19"/>
  <c r="J1946" i="19"/>
  <c r="K1946" i="19"/>
  <c r="G1947" i="19"/>
  <c r="H1947" i="19"/>
  <c r="I1947" i="19"/>
  <c r="J1947" i="19"/>
  <c r="K1947" i="19"/>
  <c r="G1948" i="19"/>
  <c r="H1948" i="19"/>
  <c r="I1948" i="19"/>
  <c r="J1948" i="19"/>
  <c r="K1948" i="19"/>
  <c r="G1949" i="19"/>
  <c r="H1949" i="19"/>
  <c r="I1949" i="19"/>
  <c r="J1949" i="19"/>
  <c r="K1949" i="19"/>
  <c r="G1950" i="19"/>
  <c r="H1950" i="19"/>
  <c r="I1950" i="19"/>
  <c r="J1950" i="19"/>
  <c r="K1950" i="19"/>
  <c r="G1951" i="19"/>
  <c r="H1951" i="19"/>
  <c r="I1951" i="19"/>
  <c r="J1951" i="19"/>
  <c r="K1951" i="19"/>
  <c r="G1952" i="19"/>
  <c r="H1952" i="19"/>
  <c r="I1952" i="19"/>
  <c r="J1952" i="19"/>
  <c r="K1952" i="19"/>
  <c r="G1953" i="19"/>
  <c r="H1953" i="19"/>
  <c r="I1953" i="19"/>
  <c r="J1953" i="19"/>
  <c r="K1953" i="19"/>
  <c r="G1954" i="19"/>
  <c r="H1954" i="19"/>
  <c r="I1954" i="19"/>
  <c r="J1954" i="19"/>
  <c r="K1954" i="19"/>
  <c r="G1955" i="19"/>
  <c r="H1955" i="19"/>
  <c r="I1955" i="19"/>
  <c r="J1955" i="19"/>
  <c r="K1955" i="19"/>
  <c r="G1956" i="19"/>
  <c r="H1956" i="19"/>
  <c r="I1956" i="19"/>
  <c r="J1956" i="19"/>
  <c r="K1956" i="19"/>
  <c r="G1957" i="19"/>
  <c r="H1957" i="19"/>
  <c r="I1957" i="19"/>
  <c r="J1957" i="19"/>
  <c r="K1957" i="19"/>
  <c r="G1958" i="19"/>
  <c r="H1958" i="19"/>
  <c r="I1958" i="19"/>
  <c r="J1958" i="19"/>
  <c r="K1958" i="19"/>
  <c r="G1959" i="19"/>
  <c r="H1959" i="19"/>
  <c r="I1959" i="19"/>
  <c r="J1959" i="19"/>
  <c r="K1959" i="19"/>
  <c r="G1960" i="19"/>
  <c r="H1960" i="19"/>
  <c r="I1960" i="19"/>
  <c r="J1960" i="19"/>
  <c r="K1960" i="19"/>
  <c r="G1961" i="19"/>
  <c r="H1961" i="19"/>
  <c r="I1961" i="19"/>
  <c r="J1961" i="19"/>
  <c r="K1961" i="19"/>
  <c r="G1962" i="19"/>
  <c r="H1962" i="19"/>
  <c r="I1962" i="19"/>
  <c r="J1962" i="19"/>
  <c r="K1962" i="19"/>
  <c r="G1963" i="19"/>
  <c r="H1963" i="19"/>
  <c r="I1963" i="19"/>
  <c r="J1963" i="19"/>
  <c r="K1963" i="19"/>
  <c r="G1964" i="19"/>
  <c r="H1964" i="19"/>
  <c r="I1964" i="19"/>
  <c r="J1964" i="19"/>
  <c r="K1964" i="19"/>
  <c r="G1965" i="19"/>
  <c r="H1965" i="19"/>
  <c r="I1965" i="19"/>
  <c r="J1965" i="19"/>
  <c r="K1965" i="19"/>
  <c r="G1966" i="19"/>
  <c r="H1966" i="19"/>
  <c r="I1966" i="19"/>
  <c r="J1966" i="19"/>
  <c r="K1966" i="19"/>
  <c r="G1967" i="19"/>
  <c r="H1967" i="19"/>
  <c r="I1967" i="19"/>
  <c r="J1967" i="19"/>
  <c r="K1967" i="19"/>
  <c r="G1968" i="19"/>
  <c r="H1968" i="19"/>
  <c r="I1968" i="19"/>
  <c r="J1968" i="19"/>
  <c r="K1968" i="19"/>
  <c r="G1969" i="19"/>
  <c r="H1969" i="19"/>
  <c r="I1969" i="19"/>
  <c r="J1969" i="19"/>
  <c r="K1969" i="19"/>
  <c r="G1970" i="19"/>
  <c r="H1970" i="19"/>
  <c r="I1970" i="19"/>
  <c r="J1970" i="19"/>
  <c r="K1970" i="19"/>
  <c r="G1971" i="19"/>
  <c r="H1971" i="19"/>
  <c r="I1971" i="19"/>
  <c r="J1971" i="19"/>
  <c r="K1971" i="19"/>
  <c r="G1972" i="19"/>
  <c r="H1972" i="19"/>
  <c r="I1972" i="19"/>
  <c r="J1972" i="19"/>
  <c r="K1972" i="19"/>
  <c r="G1973" i="19"/>
  <c r="H1973" i="19"/>
  <c r="I1973" i="19"/>
  <c r="J1973" i="19"/>
  <c r="K1973" i="19"/>
  <c r="G1974" i="19"/>
  <c r="H1974" i="19"/>
  <c r="I1974" i="19"/>
  <c r="J1974" i="19"/>
  <c r="K1974" i="19"/>
  <c r="G1975" i="19"/>
  <c r="H1975" i="19"/>
  <c r="I1975" i="19"/>
  <c r="J1975" i="19"/>
  <c r="K1975" i="19"/>
  <c r="G1976" i="19"/>
  <c r="H1976" i="19"/>
  <c r="I1976" i="19"/>
  <c r="J1976" i="19"/>
  <c r="K1976" i="19"/>
  <c r="G1977" i="19"/>
  <c r="H1977" i="19"/>
  <c r="I1977" i="19"/>
  <c r="J1977" i="19"/>
  <c r="K1977" i="19"/>
  <c r="G1978" i="19"/>
  <c r="H1978" i="19"/>
  <c r="I1978" i="19"/>
  <c r="J1978" i="19"/>
  <c r="K1978" i="19"/>
  <c r="G1979" i="19"/>
  <c r="H1979" i="19"/>
  <c r="I1979" i="19"/>
  <c r="J1979" i="19"/>
  <c r="K1979" i="19"/>
  <c r="G1980" i="19"/>
  <c r="H1980" i="19"/>
  <c r="I1980" i="19"/>
  <c r="J1980" i="19"/>
  <c r="K1980" i="19"/>
  <c r="G1981" i="19"/>
  <c r="H1981" i="19"/>
  <c r="I1981" i="19"/>
  <c r="J1981" i="19"/>
  <c r="K1981" i="19"/>
  <c r="G1982" i="19"/>
  <c r="H1982" i="19"/>
  <c r="I1982" i="19"/>
  <c r="J1982" i="19"/>
  <c r="K1982" i="19"/>
  <c r="G1983" i="19"/>
  <c r="H1983" i="19"/>
  <c r="I1983" i="19"/>
  <c r="J1983" i="19"/>
  <c r="K1983" i="19"/>
  <c r="G1984" i="19"/>
  <c r="H1984" i="19"/>
  <c r="I1984" i="19"/>
  <c r="J1984" i="19"/>
  <c r="K1984" i="19"/>
  <c r="G1985" i="19"/>
  <c r="H1985" i="19"/>
  <c r="I1985" i="19"/>
  <c r="J1985" i="19"/>
  <c r="K1985" i="19"/>
  <c r="G1986" i="19"/>
  <c r="H1986" i="19"/>
  <c r="I1986" i="19"/>
  <c r="J1986" i="19"/>
  <c r="K1986" i="19"/>
  <c r="G1987" i="19"/>
  <c r="H1987" i="19"/>
  <c r="I1987" i="19"/>
  <c r="J1987" i="19"/>
  <c r="K1987" i="19"/>
  <c r="G1988" i="19"/>
  <c r="H1988" i="19"/>
  <c r="I1988" i="19"/>
  <c r="J1988" i="19"/>
  <c r="K1988" i="19"/>
  <c r="G1989" i="19"/>
  <c r="H1989" i="19"/>
  <c r="I1989" i="19"/>
  <c r="J1989" i="19"/>
  <c r="K1989" i="19"/>
  <c r="G1990" i="19"/>
  <c r="H1990" i="19"/>
  <c r="I1990" i="19"/>
  <c r="J1990" i="19"/>
  <c r="K1990" i="19"/>
  <c r="G1991" i="19"/>
  <c r="H1991" i="19"/>
  <c r="I1991" i="19"/>
  <c r="J1991" i="19"/>
  <c r="K1991" i="19"/>
  <c r="G1992" i="19"/>
  <c r="H1992" i="19"/>
  <c r="I1992" i="19"/>
  <c r="J1992" i="19"/>
  <c r="K1992" i="19"/>
  <c r="G1993" i="19"/>
  <c r="H1993" i="19"/>
  <c r="I1993" i="19"/>
  <c r="J1993" i="19"/>
  <c r="K1993" i="19"/>
  <c r="G1994" i="19"/>
  <c r="H1994" i="19"/>
  <c r="I1994" i="19"/>
  <c r="J1994" i="19"/>
  <c r="K1994" i="19"/>
  <c r="G1995" i="19"/>
  <c r="H1995" i="19"/>
  <c r="I1995" i="19"/>
  <c r="J1995" i="19"/>
  <c r="K1995" i="19"/>
  <c r="G1996" i="19"/>
  <c r="H1996" i="19"/>
  <c r="I1996" i="19"/>
  <c r="J1996" i="19"/>
  <c r="K1996" i="19"/>
  <c r="G1997" i="19"/>
  <c r="H1997" i="19"/>
  <c r="I1997" i="19"/>
  <c r="J1997" i="19"/>
  <c r="K1997" i="19"/>
  <c r="G1998" i="19"/>
  <c r="H1998" i="19"/>
  <c r="I1998" i="19"/>
  <c r="J1998" i="19"/>
  <c r="K1998" i="19"/>
  <c r="G1999" i="19"/>
  <c r="H1999" i="19"/>
  <c r="I1999" i="19"/>
  <c r="J1999" i="19"/>
  <c r="K1999" i="19"/>
  <c r="G2000" i="19"/>
  <c r="H2000" i="19"/>
  <c r="I2000" i="19"/>
  <c r="J2000" i="19"/>
  <c r="K2000" i="19"/>
  <c r="G2001" i="19"/>
  <c r="H2001" i="19"/>
  <c r="I2001" i="19"/>
  <c r="J2001" i="19"/>
  <c r="K2001" i="19"/>
  <c r="G2002" i="19"/>
  <c r="H2002" i="19"/>
  <c r="I2002" i="19"/>
  <c r="J2002" i="19"/>
  <c r="K2002" i="19"/>
  <c r="G2003" i="19"/>
  <c r="H2003" i="19"/>
  <c r="I2003" i="19"/>
  <c r="J2003" i="19"/>
  <c r="K2003" i="19"/>
  <c r="G2004" i="19"/>
  <c r="H2004" i="19"/>
  <c r="I2004" i="19"/>
  <c r="J2004" i="19"/>
  <c r="K2004" i="19"/>
  <c r="G2005" i="19"/>
  <c r="H2005" i="19"/>
  <c r="I2005" i="19"/>
  <c r="J2005" i="19"/>
  <c r="K2005" i="19"/>
  <c r="G2006" i="19"/>
  <c r="H2006" i="19"/>
  <c r="I2006" i="19"/>
  <c r="J2006" i="19"/>
  <c r="K2006" i="19"/>
  <c r="G2007" i="19"/>
  <c r="H2007" i="19"/>
  <c r="I2007" i="19"/>
  <c r="J2007" i="19"/>
  <c r="K2007" i="19"/>
  <c r="G2008" i="19"/>
  <c r="H2008" i="19"/>
  <c r="I2008" i="19"/>
  <c r="J2008" i="19"/>
  <c r="K2008" i="19"/>
  <c r="G2009" i="19"/>
  <c r="H2009" i="19"/>
  <c r="I2009" i="19"/>
  <c r="J2009" i="19"/>
  <c r="K2009" i="19"/>
  <c r="G2010" i="19"/>
  <c r="H2010" i="19"/>
  <c r="I2010" i="19"/>
  <c r="J2010" i="19"/>
  <c r="K2010" i="19"/>
  <c r="G2011" i="19"/>
  <c r="H2011" i="19"/>
  <c r="I2011" i="19"/>
  <c r="J2011" i="19"/>
  <c r="K2011" i="19"/>
  <c r="G2012" i="19"/>
  <c r="H2012" i="19"/>
  <c r="I2012" i="19"/>
  <c r="J2012" i="19"/>
  <c r="K2012" i="19"/>
  <c r="G2013" i="19"/>
  <c r="H2013" i="19"/>
  <c r="I2013" i="19"/>
  <c r="J2013" i="19"/>
  <c r="K2013" i="19"/>
  <c r="G2014" i="19"/>
  <c r="H2014" i="19"/>
  <c r="I2014" i="19"/>
  <c r="J2014" i="19"/>
  <c r="K2014" i="19"/>
  <c r="G2015" i="19"/>
  <c r="H2015" i="19"/>
  <c r="I2015" i="19"/>
  <c r="J2015" i="19"/>
  <c r="K2015" i="19"/>
  <c r="G2016" i="19"/>
  <c r="H2016" i="19"/>
  <c r="I2016" i="19"/>
  <c r="J2016" i="19"/>
  <c r="K2016" i="19"/>
  <c r="G2017" i="19"/>
  <c r="H2017" i="19"/>
  <c r="I2017" i="19"/>
  <c r="J2017" i="19"/>
  <c r="K2017" i="19"/>
  <c r="G2018" i="19"/>
  <c r="H2018" i="19"/>
  <c r="I2018" i="19"/>
  <c r="J2018" i="19"/>
  <c r="K2018" i="19"/>
  <c r="G2019" i="19"/>
  <c r="H2019" i="19"/>
  <c r="I2019" i="19"/>
  <c r="J2019" i="19"/>
  <c r="K2019" i="19"/>
  <c r="G2020" i="19"/>
  <c r="H2020" i="19"/>
  <c r="I2020" i="19"/>
  <c r="J2020" i="19"/>
  <c r="K2020" i="19"/>
  <c r="G2021" i="19"/>
  <c r="H2021" i="19"/>
  <c r="I2021" i="19"/>
  <c r="J2021" i="19"/>
  <c r="K2021" i="19"/>
  <c r="G2022" i="19"/>
  <c r="H2022" i="19"/>
  <c r="I2022" i="19"/>
  <c r="J2022" i="19"/>
  <c r="K2022" i="19"/>
  <c r="G2023" i="19"/>
  <c r="H2023" i="19"/>
  <c r="I2023" i="19"/>
  <c r="J2023" i="19"/>
  <c r="K2023" i="19"/>
  <c r="G2024" i="19"/>
  <c r="H2024" i="19"/>
  <c r="I2024" i="19"/>
  <c r="J2024" i="19"/>
  <c r="K2024" i="19"/>
  <c r="G2025" i="19"/>
  <c r="H2025" i="19"/>
  <c r="I2025" i="19"/>
  <c r="J2025" i="19"/>
  <c r="K2025" i="19"/>
  <c r="G2026" i="19"/>
  <c r="H2026" i="19"/>
  <c r="I2026" i="19"/>
  <c r="J2026" i="19"/>
  <c r="K2026" i="19"/>
  <c r="G2027" i="19"/>
  <c r="H2027" i="19"/>
  <c r="I2027" i="19"/>
  <c r="J2027" i="19"/>
  <c r="K2027" i="19"/>
  <c r="G2028" i="19"/>
  <c r="H2028" i="19"/>
  <c r="I2028" i="19"/>
  <c r="J2028" i="19"/>
  <c r="K2028" i="19"/>
  <c r="G2029" i="19"/>
  <c r="H2029" i="19"/>
  <c r="I2029" i="19"/>
  <c r="J2029" i="19"/>
  <c r="K2029" i="19"/>
  <c r="G2030" i="19"/>
  <c r="H2030" i="19"/>
  <c r="I2030" i="19"/>
  <c r="J2030" i="19"/>
  <c r="K2030" i="19"/>
  <c r="G2031" i="19"/>
  <c r="H2031" i="19"/>
  <c r="I2031" i="19"/>
  <c r="J2031" i="19"/>
  <c r="K2031" i="19"/>
  <c r="G2032" i="19"/>
  <c r="H2032" i="19"/>
  <c r="I2032" i="19"/>
  <c r="J2032" i="19"/>
  <c r="K2032" i="19"/>
  <c r="G2033" i="19"/>
  <c r="H2033" i="19"/>
  <c r="I2033" i="19"/>
  <c r="J2033" i="19"/>
  <c r="K2033" i="19"/>
  <c r="G2034" i="19"/>
  <c r="H2034" i="19"/>
  <c r="I2034" i="19"/>
  <c r="J2034" i="19"/>
  <c r="K2034" i="19"/>
  <c r="G2035" i="19"/>
  <c r="H2035" i="19"/>
  <c r="I2035" i="19"/>
  <c r="J2035" i="19"/>
  <c r="K2035" i="19"/>
  <c r="G2036" i="19"/>
  <c r="H2036" i="19"/>
  <c r="I2036" i="19"/>
  <c r="J2036" i="19"/>
  <c r="K2036" i="19"/>
  <c r="G2037" i="19"/>
  <c r="H2037" i="19"/>
  <c r="I2037" i="19"/>
  <c r="J2037" i="19"/>
  <c r="K2037" i="19"/>
  <c r="G2038" i="19"/>
  <c r="H2038" i="19"/>
  <c r="I2038" i="19"/>
  <c r="J2038" i="19"/>
  <c r="K2038" i="19"/>
  <c r="G2039" i="19"/>
  <c r="H2039" i="19"/>
  <c r="I2039" i="19"/>
  <c r="J2039" i="19"/>
  <c r="K2039" i="19"/>
  <c r="G2040" i="19"/>
  <c r="H2040" i="19"/>
  <c r="I2040" i="19"/>
  <c r="J2040" i="19"/>
  <c r="K2040" i="19"/>
  <c r="G2041" i="19"/>
  <c r="H2041" i="19"/>
  <c r="I2041" i="19"/>
  <c r="J2041" i="19"/>
  <c r="K2041" i="19"/>
  <c r="G2042" i="19"/>
  <c r="H2042" i="19"/>
  <c r="I2042" i="19"/>
  <c r="J2042" i="19"/>
  <c r="K2042" i="19"/>
  <c r="G2043" i="19"/>
  <c r="H2043" i="19"/>
  <c r="I2043" i="19"/>
  <c r="J2043" i="19"/>
  <c r="K2043" i="19"/>
  <c r="G2044" i="19"/>
  <c r="H2044" i="19"/>
  <c r="I2044" i="19"/>
  <c r="J2044" i="19"/>
  <c r="K2044" i="19"/>
  <c r="G2045" i="19"/>
  <c r="H2045" i="19"/>
  <c r="I2045" i="19"/>
  <c r="J2045" i="19"/>
  <c r="K2045" i="19"/>
  <c r="G2046" i="19"/>
  <c r="H2046" i="19"/>
  <c r="I2046" i="19"/>
  <c r="J2046" i="19"/>
  <c r="K2046" i="19"/>
  <c r="G2047" i="19"/>
  <c r="H2047" i="19"/>
  <c r="I2047" i="19"/>
  <c r="J2047" i="19"/>
  <c r="K2047" i="19"/>
  <c r="G2048" i="19"/>
  <c r="H2048" i="19"/>
  <c r="I2048" i="19"/>
  <c r="J2048" i="19"/>
  <c r="K2048" i="19"/>
  <c r="G2049" i="19"/>
  <c r="H2049" i="19"/>
  <c r="I2049" i="19"/>
  <c r="J2049" i="19"/>
  <c r="K2049" i="19"/>
  <c r="G2050" i="19"/>
  <c r="H2050" i="19"/>
  <c r="I2050" i="19"/>
  <c r="J2050" i="19"/>
  <c r="K2050" i="19"/>
  <c r="G2051" i="19"/>
  <c r="H2051" i="19"/>
  <c r="I2051" i="19"/>
  <c r="J2051" i="19"/>
  <c r="K2051" i="19"/>
  <c r="G2052" i="19"/>
  <c r="H2052" i="19"/>
  <c r="I2052" i="19"/>
  <c r="J2052" i="19"/>
  <c r="K2052" i="19"/>
  <c r="G2053" i="19"/>
  <c r="H2053" i="19"/>
  <c r="I2053" i="19"/>
  <c r="J2053" i="19"/>
  <c r="K2053" i="19"/>
  <c r="G2054" i="19"/>
  <c r="H2054" i="19"/>
  <c r="I2054" i="19"/>
  <c r="J2054" i="19"/>
  <c r="K2054" i="19"/>
  <c r="G2055" i="19"/>
  <c r="H2055" i="19"/>
  <c r="I2055" i="19"/>
  <c r="J2055" i="19"/>
  <c r="K2055" i="19"/>
  <c r="G2056" i="19"/>
  <c r="H2056" i="19"/>
  <c r="I2056" i="19"/>
  <c r="J2056" i="19"/>
  <c r="K2056" i="19"/>
  <c r="G2057" i="19"/>
  <c r="H2057" i="19"/>
  <c r="I2057" i="19"/>
  <c r="J2057" i="19"/>
  <c r="K2057" i="19"/>
  <c r="G2058" i="19"/>
  <c r="H2058" i="19"/>
  <c r="I2058" i="19"/>
  <c r="J2058" i="19"/>
  <c r="K2058" i="19"/>
  <c r="G2059" i="19"/>
  <c r="H2059" i="19"/>
  <c r="I2059" i="19"/>
  <c r="J2059" i="19"/>
  <c r="K2059" i="19"/>
  <c r="G2060" i="19"/>
  <c r="H2060" i="19"/>
  <c r="I2060" i="19"/>
  <c r="J2060" i="19"/>
  <c r="K2060" i="19"/>
  <c r="G2061" i="19"/>
  <c r="H2061" i="19"/>
  <c r="I2061" i="19"/>
  <c r="J2061" i="19"/>
  <c r="K2061" i="19"/>
  <c r="G2062" i="19"/>
  <c r="H2062" i="19"/>
  <c r="I2062" i="19"/>
  <c r="J2062" i="19"/>
  <c r="K2062" i="19"/>
  <c r="G2063" i="19"/>
  <c r="H2063" i="19"/>
  <c r="I2063" i="19"/>
  <c r="J2063" i="19"/>
  <c r="K2063" i="19"/>
  <c r="G2064" i="19"/>
  <c r="H2064" i="19"/>
  <c r="I2064" i="19"/>
  <c r="J2064" i="19"/>
  <c r="K2064" i="19"/>
  <c r="G2065" i="19"/>
  <c r="H2065" i="19"/>
  <c r="I2065" i="19"/>
  <c r="J2065" i="19"/>
  <c r="K2065" i="19"/>
  <c r="G2066" i="19"/>
  <c r="H2066" i="19"/>
  <c r="I2066" i="19"/>
  <c r="J2066" i="19"/>
  <c r="K2066" i="19"/>
  <c r="G2067" i="19"/>
  <c r="H2067" i="19"/>
  <c r="I2067" i="19"/>
  <c r="J2067" i="19"/>
  <c r="K2067" i="19"/>
  <c r="G2068" i="19"/>
  <c r="H2068" i="19"/>
  <c r="I2068" i="19"/>
  <c r="J2068" i="19"/>
  <c r="K2068" i="19"/>
  <c r="G2069" i="19"/>
  <c r="H2069" i="19"/>
  <c r="I2069" i="19"/>
  <c r="J2069" i="19"/>
  <c r="K2069" i="19"/>
  <c r="G2070" i="19"/>
  <c r="H2070" i="19"/>
  <c r="I2070" i="19"/>
  <c r="J2070" i="19"/>
  <c r="K2070" i="19"/>
  <c r="G2071" i="19"/>
  <c r="H2071" i="19"/>
  <c r="I2071" i="19"/>
  <c r="J2071" i="19"/>
  <c r="K2071" i="19"/>
  <c r="G2072" i="19"/>
  <c r="H2072" i="19"/>
  <c r="I2072" i="19"/>
  <c r="J2072" i="19"/>
  <c r="K2072" i="19"/>
  <c r="G2073" i="19"/>
  <c r="H2073" i="19"/>
  <c r="I2073" i="19"/>
  <c r="J2073" i="19"/>
  <c r="K2073" i="19"/>
  <c r="G2074" i="19"/>
  <c r="H2074" i="19"/>
  <c r="I2074" i="19"/>
  <c r="J2074" i="19"/>
  <c r="K2074" i="19"/>
  <c r="G2075" i="19"/>
  <c r="H2075" i="19"/>
  <c r="I2075" i="19"/>
  <c r="J2075" i="19"/>
  <c r="K2075" i="19"/>
  <c r="G2076" i="19"/>
  <c r="H2076" i="19"/>
  <c r="I2076" i="19"/>
  <c r="J2076" i="19"/>
  <c r="K2076" i="19"/>
  <c r="G2077" i="19"/>
  <c r="H2077" i="19"/>
  <c r="I2077" i="19"/>
  <c r="J2077" i="19"/>
  <c r="K2077" i="19"/>
  <c r="G2078" i="19"/>
  <c r="H2078" i="19"/>
  <c r="I2078" i="19"/>
  <c r="J2078" i="19"/>
  <c r="K2078" i="19"/>
  <c r="G2079" i="19"/>
  <c r="H2079" i="19"/>
  <c r="I2079" i="19"/>
  <c r="J2079" i="19"/>
  <c r="K2079" i="19"/>
  <c r="G2080" i="19"/>
  <c r="H2080" i="19"/>
  <c r="I2080" i="19"/>
  <c r="J2080" i="19"/>
  <c r="K2080" i="19"/>
  <c r="G2081" i="19"/>
  <c r="H2081" i="19"/>
  <c r="I2081" i="19"/>
  <c r="J2081" i="19"/>
  <c r="K2081" i="19"/>
  <c r="G2082" i="19"/>
  <c r="H2082" i="19"/>
  <c r="I2082" i="19"/>
  <c r="J2082" i="19"/>
  <c r="K2082" i="19"/>
  <c r="G2083" i="19"/>
  <c r="H2083" i="19"/>
  <c r="I2083" i="19"/>
  <c r="J2083" i="19"/>
  <c r="K2083" i="19"/>
  <c r="G2084" i="19"/>
  <c r="H2084" i="19"/>
  <c r="I2084" i="19"/>
  <c r="J2084" i="19"/>
  <c r="K2084" i="19"/>
  <c r="G2085" i="19"/>
  <c r="H2085" i="19"/>
  <c r="I2085" i="19"/>
  <c r="J2085" i="19"/>
  <c r="K2085" i="19"/>
  <c r="G2086" i="19"/>
  <c r="H2086" i="19"/>
  <c r="I2086" i="19"/>
  <c r="J2086" i="19"/>
  <c r="K2086" i="19"/>
  <c r="G2087" i="19"/>
  <c r="H2087" i="19"/>
  <c r="I2087" i="19"/>
  <c r="J2087" i="19"/>
  <c r="K2087" i="19"/>
  <c r="G2088" i="19"/>
  <c r="H2088" i="19"/>
  <c r="I2088" i="19"/>
  <c r="J2088" i="19"/>
  <c r="K2088" i="19"/>
  <c r="G2089" i="19"/>
  <c r="H2089" i="19"/>
  <c r="I2089" i="19"/>
  <c r="J2089" i="19"/>
  <c r="K2089" i="19"/>
  <c r="G2090" i="19"/>
  <c r="H2090" i="19"/>
  <c r="I2090" i="19"/>
  <c r="J2090" i="19"/>
  <c r="K2090" i="19"/>
  <c r="G2091" i="19"/>
  <c r="H2091" i="19"/>
  <c r="I2091" i="19"/>
  <c r="J2091" i="19"/>
  <c r="K2091" i="19"/>
  <c r="G2092" i="19"/>
  <c r="H2092" i="19"/>
  <c r="I2092" i="19"/>
  <c r="J2092" i="19"/>
  <c r="K2092" i="19"/>
  <c r="G2093" i="19"/>
  <c r="H2093" i="19"/>
  <c r="I2093" i="19"/>
  <c r="J2093" i="19"/>
  <c r="K2093" i="19"/>
  <c r="G2094" i="19"/>
  <c r="H2094" i="19"/>
  <c r="I2094" i="19"/>
  <c r="J2094" i="19"/>
  <c r="K2094" i="19"/>
  <c r="G2095" i="19"/>
  <c r="H2095" i="19"/>
  <c r="I2095" i="19"/>
  <c r="J2095" i="19"/>
  <c r="K2095" i="19"/>
  <c r="G2096" i="19"/>
  <c r="H2096" i="19"/>
  <c r="I2096" i="19"/>
  <c r="J2096" i="19"/>
  <c r="K2096" i="19"/>
  <c r="G2097" i="19"/>
  <c r="H2097" i="19"/>
  <c r="I2097" i="19"/>
  <c r="J2097" i="19"/>
  <c r="K2097" i="19"/>
  <c r="G2098" i="19"/>
  <c r="H2098" i="19"/>
  <c r="I2098" i="19"/>
  <c r="J2098" i="19"/>
  <c r="K2098" i="19"/>
  <c r="G2099" i="19"/>
  <c r="H2099" i="19"/>
  <c r="I2099" i="19"/>
  <c r="J2099" i="19"/>
  <c r="K2099" i="19"/>
  <c r="G2100" i="19"/>
  <c r="H2100" i="19"/>
  <c r="I2100" i="19"/>
  <c r="J2100" i="19"/>
  <c r="K2100" i="19"/>
  <c r="G2101" i="19"/>
  <c r="H2101" i="19"/>
  <c r="I2101" i="19"/>
  <c r="J2101" i="19"/>
  <c r="K2101" i="19"/>
  <c r="G2102" i="19"/>
  <c r="H2102" i="19"/>
  <c r="I2102" i="19"/>
  <c r="J2102" i="19"/>
  <c r="K2102" i="19"/>
  <c r="G2103" i="19"/>
  <c r="H2103" i="19"/>
  <c r="I2103" i="19"/>
  <c r="J2103" i="19"/>
  <c r="K2103" i="19"/>
  <c r="G2104" i="19"/>
  <c r="H2104" i="19"/>
  <c r="I2104" i="19"/>
  <c r="J2104" i="19"/>
  <c r="K2104" i="19"/>
  <c r="G2105" i="19"/>
  <c r="H2105" i="19"/>
  <c r="I2105" i="19"/>
  <c r="J2105" i="19"/>
  <c r="K2105" i="19"/>
  <c r="G2106" i="19"/>
  <c r="H2106" i="19"/>
  <c r="I2106" i="19"/>
  <c r="J2106" i="19"/>
  <c r="K2106" i="19"/>
  <c r="G2107" i="19"/>
  <c r="H2107" i="19"/>
  <c r="I2107" i="19"/>
  <c r="J2107" i="19"/>
  <c r="K2107" i="19"/>
  <c r="G2108" i="19"/>
  <c r="H2108" i="19"/>
  <c r="I2108" i="19"/>
  <c r="J2108" i="19"/>
  <c r="K2108" i="19"/>
  <c r="G2109" i="19"/>
  <c r="H2109" i="19"/>
  <c r="I2109" i="19"/>
  <c r="J2109" i="19"/>
  <c r="K2109" i="19"/>
  <c r="G2110" i="19"/>
  <c r="H2110" i="19"/>
  <c r="I2110" i="19"/>
  <c r="J2110" i="19"/>
  <c r="K2110" i="19"/>
  <c r="G2111" i="19"/>
  <c r="H2111" i="19"/>
  <c r="I2111" i="19"/>
  <c r="J2111" i="19"/>
  <c r="K2111" i="19"/>
  <c r="G2112" i="19"/>
  <c r="H2112" i="19"/>
  <c r="I2112" i="19"/>
  <c r="J2112" i="19"/>
  <c r="K2112" i="19"/>
  <c r="G2113" i="19"/>
  <c r="H2113" i="19"/>
  <c r="I2113" i="19"/>
  <c r="J2113" i="19"/>
  <c r="K2113" i="19"/>
  <c r="G2114" i="19"/>
  <c r="H2114" i="19"/>
  <c r="I2114" i="19"/>
  <c r="J2114" i="19"/>
  <c r="K2114" i="19"/>
  <c r="G2115" i="19"/>
  <c r="H2115" i="19"/>
  <c r="I2115" i="19"/>
  <c r="J2115" i="19"/>
  <c r="K2115" i="19"/>
  <c r="G2116" i="19"/>
  <c r="H2116" i="19"/>
  <c r="I2116" i="19"/>
  <c r="J2116" i="19"/>
  <c r="K2116" i="19"/>
  <c r="G2117" i="19"/>
  <c r="H2117" i="19"/>
  <c r="I2117" i="19"/>
  <c r="J2117" i="19"/>
  <c r="K2117" i="19"/>
  <c r="G2118" i="19"/>
  <c r="H2118" i="19"/>
  <c r="I2118" i="19"/>
  <c r="J2118" i="19"/>
  <c r="K2118" i="19"/>
  <c r="G2119" i="19"/>
  <c r="H2119" i="19"/>
  <c r="I2119" i="19"/>
  <c r="J2119" i="19"/>
  <c r="K2119" i="19"/>
  <c r="G2120" i="19"/>
  <c r="H2120" i="19"/>
  <c r="I2120" i="19"/>
  <c r="J2120" i="19"/>
  <c r="K2120" i="19"/>
  <c r="G2121" i="19"/>
  <c r="H2121" i="19"/>
  <c r="I2121" i="19"/>
  <c r="J2121" i="19"/>
  <c r="K2121" i="19"/>
  <c r="G2122" i="19"/>
  <c r="H2122" i="19"/>
  <c r="I2122" i="19"/>
  <c r="J2122" i="19"/>
  <c r="K2122" i="19"/>
  <c r="G2123" i="19"/>
  <c r="H2123" i="19"/>
  <c r="I2123" i="19"/>
  <c r="J2123" i="19"/>
  <c r="K2123" i="19"/>
  <c r="G2124" i="19"/>
  <c r="H2124" i="19"/>
  <c r="I2124" i="19"/>
  <c r="J2124" i="19"/>
  <c r="K2124" i="19"/>
  <c r="G2125" i="19"/>
  <c r="H2125" i="19"/>
  <c r="I2125" i="19"/>
  <c r="J2125" i="19"/>
  <c r="K2125" i="19"/>
  <c r="G2126" i="19"/>
  <c r="H2126" i="19"/>
  <c r="I2126" i="19"/>
  <c r="J2126" i="19"/>
  <c r="K2126" i="19"/>
  <c r="G2127" i="19"/>
  <c r="H2127" i="19"/>
  <c r="I2127" i="19"/>
  <c r="J2127" i="19"/>
  <c r="K2127" i="19"/>
  <c r="G2128" i="19"/>
  <c r="H2128" i="19"/>
  <c r="I2128" i="19"/>
  <c r="J2128" i="19"/>
  <c r="K2128" i="19"/>
  <c r="G2129" i="19"/>
  <c r="H2129" i="19"/>
  <c r="I2129" i="19"/>
  <c r="J2129" i="19"/>
  <c r="K2129" i="19"/>
  <c r="G2130" i="19"/>
  <c r="H2130" i="19"/>
  <c r="I2130" i="19"/>
  <c r="J2130" i="19"/>
  <c r="K2130" i="19"/>
  <c r="G2131" i="19"/>
  <c r="H2131" i="19"/>
  <c r="I2131" i="19"/>
  <c r="J2131" i="19"/>
  <c r="K2131" i="19"/>
  <c r="G2132" i="19"/>
  <c r="H2132" i="19"/>
  <c r="I2132" i="19"/>
  <c r="J2132" i="19"/>
  <c r="K2132" i="19"/>
  <c r="G2133" i="19"/>
  <c r="H2133" i="19"/>
  <c r="I2133" i="19"/>
  <c r="J2133" i="19"/>
  <c r="K2133" i="19"/>
  <c r="G2134" i="19"/>
  <c r="H2134" i="19"/>
  <c r="I2134" i="19"/>
  <c r="J2134" i="19"/>
  <c r="K2134" i="19"/>
  <c r="G2135" i="19"/>
  <c r="H2135" i="19"/>
  <c r="I2135" i="19"/>
  <c r="J2135" i="19"/>
  <c r="K2135" i="19"/>
  <c r="G2136" i="19"/>
  <c r="H2136" i="19"/>
  <c r="I2136" i="19"/>
  <c r="J2136" i="19"/>
  <c r="K2136" i="19"/>
  <c r="G2137" i="19"/>
  <c r="H2137" i="19"/>
  <c r="I2137" i="19"/>
  <c r="J2137" i="19"/>
  <c r="K2137" i="19"/>
  <c r="G2138" i="19"/>
  <c r="H2138" i="19"/>
  <c r="I2138" i="19"/>
  <c r="J2138" i="19"/>
  <c r="K2138" i="19"/>
  <c r="G2139" i="19"/>
  <c r="H2139" i="19"/>
  <c r="I2139" i="19"/>
  <c r="J2139" i="19"/>
  <c r="K2139" i="19"/>
  <c r="G2140" i="19"/>
  <c r="H2140" i="19"/>
  <c r="I2140" i="19"/>
  <c r="J2140" i="19"/>
  <c r="K2140" i="19"/>
  <c r="G2141" i="19"/>
  <c r="H2141" i="19"/>
  <c r="I2141" i="19"/>
  <c r="J2141" i="19"/>
  <c r="K2141" i="19"/>
  <c r="G2142" i="19"/>
  <c r="H2142" i="19"/>
  <c r="I2142" i="19"/>
  <c r="J2142" i="19"/>
  <c r="K2142" i="19"/>
  <c r="G2143" i="19"/>
  <c r="H2143" i="19"/>
  <c r="I2143" i="19"/>
  <c r="J2143" i="19"/>
  <c r="K2143" i="19"/>
  <c r="G2144" i="19"/>
  <c r="H2144" i="19"/>
  <c r="I2144" i="19"/>
  <c r="J2144" i="19"/>
  <c r="K2144" i="19"/>
  <c r="G2145" i="19"/>
  <c r="H2145" i="19"/>
  <c r="I2145" i="19"/>
  <c r="J2145" i="19"/>
  <c r="K2145" i="19"/>
  <c r="G2146" i="19"/>
  <c r="H2146" i="19"/>
  <c r="I2146" i="19"/>
  <c r="J2146" i="19"/>
  <c r="K2146" i="19"/>
  <c r="G2147" i="19"/>
  <c r="H2147" i="19"/>
  <c r="I2147" i="19"/>
  <c r="J2147" i="19"/>
  <c r="K2147" i="19"/>
  <c r="G2148" i="19"/>
  <c r="H2148" i="19"/>
  <c r="I2148" i="19"/>
  <c r="J2148" i="19"/>
  <c r="K2148" i="19"/>
  <c r="G2149" i="19"/>
  <c r="H2149" i="19"/>
  <c r="I2149" i="19"/>
  <c r="J2149" i="19"/>
  <c r="K2149" i="19"/>
  <c r="G2150" i="19"/>
  <c r="H2150" i="19"/>
  <c r="I2150" i="19"/>
  <c r="J2150" i="19"/>
  <c r="K2150" i="19"/>
  <c r="G2151" i="19"/>
  <c r="H2151" i="19"/>
  <c r="I2151" i="19"/>
  <c r="J2151" i="19"/>
  <c r="K2151" i="19"/>
  <c r="G2152" i="19"/>
  <c r="H2152" i="19"/>
  <c r="I2152" i="19"/>
  <c r="J2152" i="19"/>
  <c r="K2152" i="19"/>
  <c r="G2153" i="19"/>
  <c r="H2153" i="19"/>
  <c r="I2153" i="19"/>
  <c r="J2153" i="19"/>
  <c r="K2153" i="19"/>
  <c r="G2154" i="19"/>
  <c r="H2154" i="19"/>
  <c r="I2154" i="19"/>
  <c r="J2154" i="19"/>
  <c r="K2154" i="19"/>
  <c r="G2155" i="19"/>
  <c r="H2155" i="19"/>
  <c r="I2155" i="19"/>
  <c r="J2155" i="19"/>
  <c r="K2155" i="19"/>
  <c r="G2156" i="19"/>
  <c r="H2156" i="19"/>
  <c r="I2156" i="19"/>
  <c r="J2156" i="19"/>
  <c r="K2156" i="19"/>
  <c r="G2157" i="19"/>
  <c r="H2157" i="19"/>
  <c r="I2157" i="19"/>
  <c r="J2157" i="19"/>
  <c r="K2157" i="19"/>
  <c r="G2158" i="19"/>
  <c r="H2158" i="19"/>
  <c r="I2158" i="19"/>
  <c r="J2158" i="19"/>
  <c r="K2158" i="19"/>
  <c r="G2159" i="19"/>
  <c r="H2159" i="19"/>
  <c r="I2159" i="19"/>
  <c r="J2159" i="19"/>
  <c r="K2159" i="19"/>
  <c r="G2160" i="19"/>
  <c r="H2160" i="19"/>
  <c r="I2160" i="19"/>
  <c r="J2160" i="19"/>
  <c r="K2160" i="19"/>
  <c r="G2161" i="19"/>
  <c r="H2161" i="19"/>
  <c r="I2161" i="19"/>
  <c r="J2161" i="19"/>
  <c r="K2161" i="19"/>
  <c r="G2162" i="19"/>
  <c r="H2162" i="19"/>
  <c r="I2162" i="19"/>
  <c r="J2162" i="19"/>
  <c r="K2162" i="19"/>
  <c r="G2163" i="19"/>
  <c r="H2163" i="19"/>
  <c r="I2163" i="19"/>
  <c r="J2163" i="19"/>
  <c r="K2163" i="19"/>
  <c r="G2164" i="19"/>
  <c r="H2164" i="19"/>
  <c r="I2164" i="19"/>
  <c r="J2164" i="19"/>
  <c r="K2164" i="19"/>
  <c r="G2165" i="19"/>
  <c r="H2165" i="19"/>
  <c r="I2165" i="19"/>
  <c r="J2165" i="19"/>
  <c r="K2165" i="19"/>
  <c r="G2166" i="19"/>
  <c r="H2166" i="19"/>
  <c r="I2166" i="19"/>
  <c r="J2166" i="19"/>
  <c r="K2166" i="19"/>
  <c r="G2167" i="19"/>
  <c r="H2167" i="19"/>
  <c r="I2167" i="19"/>
  <c r="J2167" i="19"/>
  <c r="K2167" i="19"/>
  <c r="G2168" i="19"/>
  <c r="H2168" i="19"/>
  <c r="I2168" i="19"/>
  <c r="J2168" i="19"/>
  <c r="K2168" i="19"/>
  <c r="G2169" i="19"/>
  <c r="H2169" i="19"/>
  <c r="I2169" i="19"/>
  <c r="J2169" i="19"/>
  <c r="K2169" i="19"/>
  <c r="G2170" i="19"/>
  <c r="H2170" i="19"/>
  <c r="I2170" i="19"/>
  <c r="J2170" i="19"/>
  <c r="K2170" i="19"/>
  <c r="G2171" i="19"/>
  <c r="H2171" i="19"/>
  <c r="I2171" i="19"/>
  <c r="J2171" i="19"/>
  <c r="K2171" i="19"/>
  <c r="G2172" i="19"/>
  <c r="H2172" i="19"/>
  <c r="I2172" i="19"/>
  <c r="J2172" i="19"/>
  <c r="K2172" i="19"/>
  <c r="G2173" i="19"/>
  <c r="H2173" i="19"/>
  <c r="I2173" i="19"/>
  <c r="J2173" i="19"/>
  <c r="K2173" i="19"/>
  <c r="G2174" i="19"/>
  <c r="H2174" i="19"/>
  <c r="I2174" i="19"/>
  <c r="J2174" i="19"/>
  <c r="K2174" i="19"/>
  <c r="G2175" i="19"/>
  <c r="H2175" i="19"/>
  <c r="I2175" i="19"/>
  <c r="J2175" i="19"/>
  <c r="K2175" i="19"/>
  <c r="G2176" i="19"/>
  <c r="H2176" i="19"/>
  <c r="I2176" i="19"/>
  <c r="J2176" i="19"/>
  <c r="K2176" i="19"/>
  <c r="G2177" i="19"/>
  <c r="H2177" i="19"/>
  <c r="I2177" i="19"/>
  <c r="J2177" i="19"/>
  <c r="K2177" i="19"/>
  <c r="G2178" i="19"/>
  <c r="H2178" i="19"/>
  <c r="I2178" i="19"/>
  <c r="J2178" i="19"/>
  <c r="K2178" i="19"/>
  <c r="G2179" i="19"/>
  <c r="H2179" i="19"/>
  <c r="I2179" i="19"/>
  <c r="J2179" i="19"/>
  <c r="K2179" i="19"/>
  <c r="G2180" i="19"/>
  <c r="H2180" i="19"/>
  <c r="I2180" i="19"/>
  <c r="J2180" i="19"/>
  <c r="K2180" i="19"/>
  <c r="G2181" i="19"/>
  <c r="H2181" i="19"/>
  <c r="I2181" i="19"/>
  <c r="J2181" i="19"/>
  <c r="K2181" i="19"/>
  <c r="G2182" i="19"/>
  <c r="H2182" i="19"/>
  <c r="I2182" i="19"/>
  <c r="J2182" i="19"/>
  <c r="K2182" i="19"/>
  <c r="G2183" i="19"/>
  <c r="H2183" i="19"/>
  <c r="I2183" i="19"/>
  <c r="J2183" i="19"/>
  <c r="K2183" i="19"/>
  <c r="G2184" i="19"/>
  <c r="H2184" i="19"/>
  <c r="I2184" i="19"/>
  <c r="J2184" i="19"/>
  <c r="K2184" i="19"/>
  <c r="G2185" i="19"/>
  <c r="H2185" i="19"/>
  <c r="I2185" i="19"/>
  <c r="J2185" i="19"/>
  <c r="K2185" i="19"/>
  <c r="G2186" i="19"/>
  <c r="H2186" i="19"/>
  <c r="I2186" i="19"/>
  <c r="J2186" i="19"/>
  <c r="K2186" i="19"/>
  <c r="G2187" i="19"/>
  <c r="H2187" i="19"/>
  <c r="I2187" i="19"/>
  <c r="J2187" i="19"/>
  <c r="K2187" i="19"/>
  <c r="G2188" i="19"/>
  <c r="H2188" i="19"/>
  <c r="I2188" i="19"/>
  <c r="J2188" i="19"/>
  <c r="K2188" i="19"/>
  <c r="G2189" i="19"/>
  <c r="H2189" i="19"/>
  <c r="I2189" i="19"/>
  <c r="J2189" i="19"/>
  <c r="K2189" i="19"/>
  <c r="G2190" i="19"/>
  <c r="H2190" i="19"/>
  <c r="I2190" i="19"/>
  <c r="J2190" i="19"/>
  <c r="K2190" i="19"/>
  <c r="G2191" i="19"/>
  <c r="H2191" i="19"/>
  <c r="I2191" i="19"/>
  <c r="J2191" i="19"/>
  <c r="K2191" i="19"/>
  <c r="G2192" i="19"/>
  <c r="H2192" i="19"/>
  <c r="I2192" i="19"/>
  <c r="J2192" i="19"/>
  <c r="K2192" i="19"/>
  <c r="G2193" i="19"/>
  <c r="H2193" i="19"/>
  <c r="I2193" i="19"/>
  <c r="J2193" i="19"/>
  <c r="K2193" i="19"/>
  <c r="G2194" i="19"/>
  <c r="H2194" i="19"/>
  <c r="I2194" i="19"/>
  <c r="J2194" i="19"/>
  <c r="K2194" i="19"/>
  <c r="G2195" i="19"/>
  <c r="H2195" i="19"/>
  <c r="I2195" i="19"/>
  <c r="J2195" i="19"/>
  <c r="K2195" i="19"/>
  <c r="G2196" i="19"/>
  <c r="H2196" i="19"/>
  <c r="I2196" i="19"/>
  <c r="J2196" i="19"/>
  <c r="K2196" i="19"/>
  <c r="G2197" i="19"/>
  <c r="H2197" i="19"/>
  <c r="I2197" i="19"/>
  <c r="J2197" i="19"/>
  <c r="K2197" i="19"/>
  <c r="G2198" i="19"/>
  <c r="H2198" i="19"/>
  <c r="I2198" i="19"/>
  <c r="J2198" i="19"/>
  <c r="K2198" i="19"/>
  <c r="G2199" i="19"/>
  <c r="H2199" i="19"/>
  <c r="I2199" i="19"/>
  <c r="J2199" i="19"/>
  <c r="K2199" i="19"/>
  <c r="G2200" i="19"/>
  <c r="H2200" i="19"/>
  <c r="I2200" i="19"/>
  <c r="J2200" i="19"/>
  <c r="K2200" i="19"/>
  <c r="G2201" i="19"/>
  <c r="H2201" i="19"/>
  <c r="I2201" i="19"/>
  <c r="J2201" i="19"/>
  <c r="K2201" i="19"/>
  <c r="G2202" i="19"/>
  <c r="H2202" i="19"/>
  <c r="I2202" i="19"/>
  <c r="J2202" i="19"/>
  <c r="K2202" i="19"/>
  <c r="G2203" i="19"/>
  <c r="H2203" i="19"/>
  <c r="I2203" i="19"/>
  <c r="J2203" i="19"/>
  <c r="K2203" i="19"/>
  <c r="G2204" i="19"/>
  <c r="H2204" i="19"/>
  <c r="I2204" i="19"/>
  <c r="J2204" i="19"/>
  <c r="K2204" i="19"/>
  <c r="G2205" i="19"/>
  <c r="H2205" i="19"/>
  <c r="I2205" i="19"/>
  <c r="J2205" i="19"/>
  <c r="K2205" i="19"/>
  <c r="G2206" i="19"/>
  <c r="H2206" i="19"/>
  <c r="I2206" i="19"/>
  <c r="J2206" i="19"/>
  <c r="K2206" i="19"/>
  <c r="G2207" i="19"/>
  <c r="H2207" i="19"/>
  <c r="I2207" i="19"/>
  <c r="J2207" i="19"/>
  <c r="K2207" i="19"/>
  <c r="G2208" i="19"/>
  <c r="H2208" i="19"/>
  <c r="I2208" i="19"/>
  <c r="J2208" i="19"/>
  <c r="K2208" i="19"/>
  <c r="G2209" i="19"/>
  <c r="H2209" i="19"/>
  <c r="I2209" i="19"/>
  <c r="J2209" i="19"/>
  <c r="K2209" i="19"/>
  <c r="G2210" i="19"/>
  <c r="H2210" i="19"/>
  <c r="I2210" i="19"/>
  <c r="J2210" i="19"/>
  <c r="K2210" i="19"/>
  <c r="G2211" i="19"/>
  <c r="H2211" i="19"/>
  <c r="I2211" i="19"/>
  <c r="J2211" i="19"/>
  <c r="K2211" i="19"/>
  <c r="G2212" i="19"/>
  <c r="H2212" i="19"/>
  <c r="I2212" i="19"/>
  <c r="J2212" i="19"/>
  <c r="K2212" i="19"/>
  <c r="G2213" i="19"/>
  <c r="H2213" i="19"/>
  <c r="I2213" i="19"/>
  <c r="J2213" i="19"/>
  <c r="K2213" i="19"/>
  <c r="G2214" i="19"/>
  <c r="H2214" i="19"/>
  <c r="I2214" i="19"/>
  <c r="J2214" i="19"/>
  <c r="K2214" i="19"/>
  <c r="G2215" i="19"/>
  <c r="H2215" i="19"/>
  <c r="I2215" i="19"/>
  <c r="J2215" i="19"/>
  <c r="K2215" i="19"/>
  <c r="G2216" i="19"/>
  <c r="H2216" i="19"/>
  <c r="I2216" i="19"/>
  <c r="J2216" i="19"/>
  <c r="K2216" i="19"/>
  <c r="G2217" i="19"/>
  <c r="H2217" i="19"/>
  <c r="I2217" i="19"/>
  <c r="J2217" i="19"/>
  <c r="K2217" i="19"/>
  <c r="G2218" i="19"/>
  <c r="H2218" i="19"/>
  <c r="I2218" i="19"/>
  <c r="J2218" i="19"/>
  <c r="K2218" i="19"/>
  <c r="G2219" i="19"/>
  <c r="H2219" i="19"/>
  <c r="I2219" i="19"/>
  <c r="J2219" i="19"/>
  <c r="K2219" i="19"/>
  <c r="G2220" i="19"/>
  <c r="H2220" i="19"/>
  <c r="I2220" i="19"/>
  <c r="J2220" i="19"/>
  <c r="K2220" i="19"/>
  <c r="G2221" i="19"/>
  <c r="H2221" i="19"/>
  <c r="I2221" i="19"/>
  <c r="J2221" i="19"/>
  <c r="K2221" i="19"/>
  <c r="G2222" i="19"/>
  <c r="H2222" i="19"/>
  <c r="I2222" i="19"/>
  <c r="J2222" i="19"/>
  <c r="K2222" i="19"/>
  <c r="G2223" i="19"/>
  <c r="H2223" i="19"/>
  <c r="I2223" i="19"/>
  <c r="J2223" i="19"/>
  <c r="K2223" i="19"/>
  <c r="G2224" i="19"/>
  <c r="H2224" i="19"/>
  <c r="I2224" i="19"/>
  <c r="J2224" i="19"/>
  <c r="K2224" i="19"/>
  <c r="G2225" i="19"/>
  <c r="H2225" i="19"/>
  <c r="I2225" i="19"/>
  <c r="J2225" i="19"/>
  <c r="K2225" i="19"/>
  <c r="G2226" i="19"/>
  <c r="H2226" i="19"/>
  <c r="I2226" i="19"/>
  <c r="J2226" i="19"/>
  <c r="K2226" i="19"/>
  <c r="G2227" i="19"/>
  <c r="H2227" i="19"/>
  <c r="I2227" i="19"/>
  <c r="J2227" i="19"/>
  <c r="K2227" i="19"/>
  <c r="G2228" i="19"/>
  <c r="H2228" i="19"/>
  <c r="I2228" i="19"/>
  <c r="J2228" i="19"/>
  <c r="K2228" i="19"/>
  <c r="G2229" i="19"/>
  <c r="H2229" i="19"/>
  <c r="I2229" i="19"/>
  <c r="J2229" i="19"/>
  <c r="K2229" i="19"/>
  <c r="G2230" i="19"/>
  <c r="H2230" i="19"/>
  <c r="I2230" i="19"/>
  <c r="J2230" i="19"/>
  <c r="K2230" i="19"/>
  <c r="G2231" i="19"/>
  <c r="H2231" i="19"/>
  <c r="I2231" i="19"/>
  <c r="J2231" i="19"/>
  <c r="K2231" i="19"/>
  <c r="G2232" i="19"/>
  <c r="H2232" i="19"/>
  <c r="I2232" i="19"/>
  <c r="J2232" i="19"/>
  <c r="K2232" i="19"/>
  <c r="G2233" i="19"/>
  <c r="H2233" i="19"/>
  <c r="I2233" i="19"/>
  <c r="J2233" i="19"/>
  <c r="K2233" i="19"/>
  <c r="G2234" i="19"/>
  <c r="H2234" i="19"/>
  <c r="I2234" i="19"/>
  <c r="J2234" i="19"/>
  <c r="K2234" i="19"/>
  <c r="G2235" i="19"/>
  <c r="H2235" i="19"/>
  <c r="I2235" i="19"/>
  <c r="J2235" i="19"/>
  <c r="K2235" i="19"/>
  <c r="G2236" i="19"/>
  <c r="H2236" i="19"/>
  <c r="I2236" i="19"/>
  <c r="J2236" i="19"/>
  <c r="K2236" i="19"/>
  <c r="G2237" i="19"/>
  <c r="H2237" i="19"/>
  <c r="I2237" i="19"/>
  <c r="J2237" i="19"/>
  <c r="K2237" i="19"/>
  <c r="G2238" i="19"/>
  <c r="H2238" i="19"/>
  <c r="I2238" i="19"/>
  <c r="J2238" i="19"/>
  <c r="K2238" i="19"/>
  <c r="G2239" i="19"/>
  <c r="H2239" i="19"/>
  <c r="I2239" i="19"/>
  <c r="J2239" i="19"/>
  <c r="K2239" i="19"/>
  <c r="G2240" i="19"/>
  <c r="H2240" i="19"/>
  <c r="I2240" i="19"/>
  <c r="J2240" i="19"/>
  <c r="K2240" i="19"/>
  <c r="G2241" i="19"/>
  <c r="H2241" i="19"/>
  <c r="I2241" i="19"/>
  <c r="J2241" i="19"/>
  <c r="K2241" i="19"/>
  <c r="G2242" i="19"/>
  <c r="H2242" i="19"/>
  <c r="I2242" i="19"/>
  <c r="J2242" i="19"/>
  <c r="K2242" i="19"/>
  <c r="G2243" i="19"/>
  <c r="H2243" i="19"/>
  <c r="I2243" i="19"/>
  <c r="J2243" i="19"/>
  <c r="K2243" i="19"/>
  <c r="G2244" i="19"/>
  <c r="H2244" i="19"/>
  <c r="I2244" i="19"/>
  <c r="J2244" i="19"/>
  <c r="K2244" i="19"/>
  <c r="G2245" i="19"/>
  <c r="H2245" i="19"/>
  <c r="I2245" i="19"/>
  <c r="J2245" i="19"/>
  <c r="K2245" i="19"/>
  <c r="G2246" i="19"/>
  <c r="H2246" i="19"/>
  <c r="I2246" i="19"/>
  <c r="J2246" i="19"/>
  <c r="K2246" i="19"/>
  <c r="G2247" i="19"/>
  <c r="H2247" i="19"/>
  <c r="I2247" i="19"/>
  <c r="J2247" i="19"/>
  <c r="K2247" i="19"/>
  <c r="G2248" i="19"/>
  <c r="H2248" i="19"/>
  <c r="I2248" i="19"/>
  <c r="J2248" i="19"/>
  <c r="K2248" i="19"/>
  <c r="G2249" i="19"/>
  <c r="H2249" i="19"/>
  <c r="I2249" i="19"/>
  <c r="J2249" i="19"/>
  <c r="K2249" i="19"/>
  <c r="G2250" i="19"/>
  <c r="H2250" i="19"/>
  <c r="I2250" i="19"/>
  <c r="J2250" i="19"/>
  <c r="K2250" i="19"/>
  <c r="G2251" i="19"/>
  <c r="H2251" i="19"/>
  <c r="I2251" i="19"/>
  <c r="J2251" i="19"/>
  <c r="K2251" i="19"/>
  <c r="G2252" i="19"/>
  <c r="H2252" i="19"/>
  <c r="I2252" i="19"/>
  <c r="J2252" i="19"/>
  <c r="K2252" i="19"/>
  <c r="G2253" i="19"/>
  <c r="H2253" i="19"/>
  <c r="I2253" i="19"/>
  <c r="J2253" i="19"/>
  <c r="K2253" i="19"/>
  <c r="G2254" i="19"/>
  <c r="H2254" i="19"/>
  <c r="I2254" i="19"/>
  <c r="J2254" i="19"/>
  <c r="K2254" i="19"/>
  <c r="G2255" i="19"/>
  <c r="H2255" i="19"/>
  <c r="I2255" i="19"/>
  <c r="J2255" i="19"/>
  <c r="K2255" i="19"/>
  <c r="G2256" i="19"/>
  <c r="H2256" i="19"/>
  <c r="I2256" i="19"/>
  <c r="J2256" i="19"/>
  <c r="K2256" i="19"/>
  <c r="G2257" i="19"/>
  <c r="H2257" i="19"/>
  <c r="I2257" i="19"/>
  <c r="J2257" i="19"/>
  <c r="K2257" i="19"/>
  <c r="G2258" i="19"/>
  <c r="H2258" i="19"/>
  <c r="I2258" i="19"/>
  <c r="J2258" i="19"/>
  <c r="K2258" i="19"/>
  <c r="G2259" i="19"/>
  <c r="H2259" i="19"/>
  <c r="I2259" i="19"/>
  <c r="J2259" i="19"/>
  <c r="K2259" i="19"/>
  <c r="G2260" i="19"/>
  <c r="H2260" i="19"/>
  <c r="I2260" i="19"/>
  <c r="J2260" i="19"/>
  <c r="K2260" i="19"/>
  <c r="G2261" i="19"/>
  <c r="H2261" i="19"/>
  <c r="I2261" i="19"/>
  <c r="J2261" i="19"/>
  <c r="K2261" i="19"/>
  <c r="G2262" i="19"/>
  <c r="H2262" i="19"/>
  <c r="I2262" i="19"/>
  <c r="J2262" i="19"/>
  <c r="K2262" i="19"/>
  <c r="G2263" i="19"/>
  <c r="H2263" i="19"/>
  <c r="I2263" i="19"/>
  <c r="J2263" i="19"/>
  <c r="K2263" i="19"/>
  <c r="G2264" i="19"/>
  <c r="H2264" i="19"/>
  <c r="I2264" i="19"/>
  <c r="J2264" i="19"/>
  <c r="K2264" i="19"/>
  <c r="G2265" i="19"/>
  <c r="H2265" i="19"/>
  <c r="I2265" i="19"/>
  <c r="J2265" i="19"/>
  <c r="K2265" i="19"/>
  <c r="G2266" i="19"/>
  <c r="H2266" i="19"/>
  <c r="I2266" i="19"/>
  <c r="J2266" i="19"/>
  <c r="K2266" i="19"/>
  <c r="G2267" i="19"/>
  <c r="H2267" i="19"/>
  <c r="I2267" i="19"/>
  <c r="J2267" i="19"/>
  <c r="K2267" i="19"/>
  <c r="G2268" i="19"/>
  <c r="H2268" i="19"/>
  <c r="I2268" i="19"/>
  <c r="J2268" i="19"/>
  <c r="K2268" i="19"/>
  <c r="G2269" i="19"/>
  <c r="H2269" i="19"/>
  <c r="I2269" i="19"/>
  <c r="J2269" i="19"/>
  <c r="K2269" i="19"/>
  <c r="G2270" i="19"/>
  <c r="H2270" i="19"/>
  <c r="I2270" i="19"/>
  <c r="J2270" i="19"/>
  <c r="K2270" i="19"/>
  <c r="G2271" i="19"/>
  <c r="H2271" i="19"/>
  <c r="I2271" i="19"/>
  <c r="J2271" i="19"/>
  <c r="K2271" i="19"/>
  <c r="G2272" i="19"/>
  <c r="H2272" i="19"/>
  <c r="I2272" i="19"/>
  <c r="J2272" i="19"/>
  <c r="K2272" i="19"/>
  <c r="G2273" i="19"/>
  <c r="H2273" i="19"/>
  <c r="I2273" i="19"/>
  <c r="J2273" i="19"/>
  <c r="K2273" i="19"/>
  <c r="G2274" i="19"/>
  <c r="H2274" i="19"/>
  <c r="I2274" i="19"/>
  <c r="J2274" i="19"/>
  <c r="K2274" i="19"/>
  <c r="G2275" i="19"/>
  <c r="H2275" i="19"/>
  <c r="I2275" i="19"/>
  <c r="J2275" i="19"/>
  <c r="K2275" i="19"/>
  <c r="G2276" i="19"/>
  <c r="H2276" i="19"/>
  <c r="I2276" i="19"/>
  <c r="J2276" i="19"/>
  <c r="K2276" i="19"/>
  <c r="G2277" i="19"/>
  <c r="H2277" i="19"/>
  <c r="I2277" i="19"/>
  <c r="J2277" i="19"/>
  <c r="K2277" i="19"/>
  <c r="G2278" i="19"/>
  <c r="H2278" i="19"/>
  <c r="I2278" i="19"/>
  <c r="J2278" i="19"/>
  <c r="K2278" i="19"/>
  <c r="G2279" i="19"/>
  <c r="H2279" i="19"/>
  <c r="I2279" i="19"/>
  <c r="J2279" i="19"/>
  <c r="K2279" i="19"/>
  <c r="G2280" i="19"/>
  <c r="H2280" i="19"/>
  <c r="I2280" i="19"/>
  <c r="J2280" i="19"/>
  <c r="K2280" i="19"/>
  <c r="G2281" i="19"/>
  <c r="H2281" i="19"/>
  <c r="I2281" i="19"/>
  <c r="J2281" i="19"/>
  <c r="K2281" i="19"/>
  <c r="G2282" i="19"/>
  <c r="H2282" i="19"/>
  <c r="I2282" i="19"/>
  <c r="J2282" i="19"/>
  <c r="K2282" i="19"/>
  <c r="G2283" i="19"/>
  <c r="H2283" i="19"/>
  <c r="I2283" i="19"/>
  <c r="J2283" i="19"/>
  <c r="K2283" i="19"/>
  <c r="G2284" i="19"/>
  <c r="H2284" i="19"/>
  <c r="I2284" i="19"/>
  <c r="J2284" i="19"/>
  <c r="K2284" i="19"/>
  <c r="G2285" i="19"/>
  <c r="H2285" i="19"/>
  <c r="I2285" i="19"/>
  <c r="J2285" i="19"/>
  <c r="K2285" i="19"/>
  <c r="G2286" i="19"/>
  <c r="H2286" i="19"/>
  <c r="I2286" i="19"/>
  <c r="J2286" i="19"/>
  <c r="K2286" i="19"/>
  <c r="G2287" i="19"/>
  <c r="H2287" i="19"/>
  <c r="I2287" i="19"/>
  <c r="J2287" i="19"/>
  <c r="K2287" i="19"/>
  <c r="G2288" i="19"/>
  <c r="H2288" i="19"/>
  <c r="I2288" i="19"/>
  <c r="J2288" i="19"/>
  <c r="K2288" i="19"/>
  <c r="G2289" i="19"/>
  <c r="H2289" i="19"/>
  <c r="I2289" i="19"/>
  <c r="J2289" i="19"/>
  <c r="K2289" i="19"/>
  <c r="G2290" i="19"/>
  <c r="H2290" i="19"/>
  <c r="I2290" i="19"/>
  <c r="J2290" i="19"/>
  <c r="K2290" i="19"/>
  <c r="G2291" i="19"/>
  <c r="H2291" i="19"/>
  <c r="I2291" i="19"/>
  <c r="J2291" i="19"/>
  <c r="K2291" i="19"/>
  <c r="G2292" i="19"/>
  <c r="H2292" i="19"/>
  <c r="I2292" i="19"/>
  <c r="J2292" i="19"/>
  <c r="K2292" i="19"/>
  <c r="G2293" i="19"/>
  <c r="H2293" i="19"/>
  <c r="I2293" i="19"/>
  <c r="J2293" i="19"/>
  <c r="K2293" i="19"/>
  <c r="G2294" i="19"/>
  <c r="H2294" i="19"/>
  <c r="I2294" i="19"/>
  <c r="J2294" i="19"/>
  <c r="K2294" i="19"/>
  <c r="G2295" i="19"/>
  <c r="H2295" i="19"/>
  <c r="I2295" i="19"/>
  <c r="J2295" i="19"/>
  <c r="K2295" i="19"/>
  <c r="G2296" i="19"/>
  <c r="H2296" i="19"/>
  <c r="I2296" i="19"/>
  <c r="J2296" i="19"/>
  <c r="K2296" i="19"/>
  <c r="G2297" i="19"/>
  <c r="H2297" i="19"/>
  <c r="I2297" i="19"/>
  <c r="J2297" i="19"/>
  <c r="K2297" i="19"/>
  <c r="G2298" i="19"/>
  <c r="H2298" i="19"/>
  <c r="I2298" i="19"/>
  <c r="J2298" i="19"/>
  <c r="K2298" i="19"/>
  <c r="G2299" i="19"/>
  <c r="H2299" i="19"/>
  <c r="I2299" i="19"/>
  <c r="J2299" i="19"/>
  <c r="K2299" i="19"/>
  <c r="G2300" i="19"/>
  <c r="H2300" i="19"/>
  <c r="I2300" i="19"/>
  <c r="J2300" i="19"/>
  <c r="K2300" i="19"/>
  <c r="G2301" i="19"/>
  <c r="H2301" i="19"/>
  <c r="I2301" i="19"/>
  <c r="J2301" i="19"/>
  <c r="K2301" i="19"/>
  <c r="G2302" i="19"/>
  <c r="H2302" i="19"/>
  <c r="I2302" i="19"/>
  <c r="J2302" i="19"/>
  <c r="K2302" i="19"/>
  <c r="G2303" i="19"/>
  <c r="H2303" i="19"/>
  <c r="I2303" i="19"/>
  <c r="J2303" i="19"/>
  <c r="K2303" i="19"/>
  <c r="G2304" i="19"/>
  <c r="H2304" i="19"/>
  <c r="I2304" i="19"/>
  <c r="J2304" i="19"/>
  <c r="K2304" i="19"/>
  <c r="G2305" i="19"/>
  <c r="H2305" i="19"/>
  <c r="I2305" i="19"/>
  <c r="J2305" i="19"/>
  <c r="K2305" i="19"/>
  <c r="G2306" i="19"/>
  <c r="H2306" i="19"/>
  <c r="I2306" i="19"/>
  <c r="J2306" i="19"/>
  <c r="K2306" i="19"/>
  <c r="G2307" i="19"/>
  <c r="H2307" i="19"/>
  <c r="I2307" i="19"/>
  <c r="J2307" i="19"/>
  <c r="K2307" i="19"/>
  <c r="G2308" i="19"/>
  <c r="H2308" i="19"/>
  <c r="I2308" i="19"/>
  <c r="J2308" i="19"/>
  <c r="K2308" i="19"/>
  <c r="G2309" i="19"/>
  <c r="H2309" i="19"/>
  <c r="I2309" i="19"/>
  <c r="J2309" i="19"/>
  <c r="K2309" i="19"/>
  <c r="G2310" i="19"/>
  <c r="H2310" i="19"/>
  <c r="I2310" i="19"/>
  <c r="J2310" i="19"/>
  <c r="K2310" i="19"/>
  <c r="G2311" i="19"/>
  <c r="H2311" i="19"/>
  <c r="I2311" i="19"/>
  <c r="J2311" i="19"/>
  <c r="K2311" i="19"/>
  <c r="G2312" i="19"/>
  <c r="H2312" i="19"/>
  <c r="I2312" i="19"/>
  <c r="J2312" i="19"/>
  <c r="K2312" i="19"/>
  <c r="G2313" i="19"/>
  <c r="H2313" i="19"/>
  <c r="I2313" i="19"/>
  <c r="J2313" i="19"/>
  <c r="K2313" i="19"/>
  <c r="G2314" i="19"/>
  <c r="H2314" i="19"/>
  <c r="I2314" i="19"/>
  <c r="J2314" i="19"/>
  <c r="K2314" i="19"/>
  <c r="G2315" i="19"/>
  <c r="H2315" i="19"/>
  <c r="I2315" i="19"/>
  <c r="J2315" i="19"/>
  <c r="K2315" i="19"/>
  <c r="G2316" i="19"/>
  <c r="H2316" i="19"/>
  <c r="I2316" i="19"/>
  <c r="J2316" i="19"/>
  <c r="K2316" i="19"/>
  <c r="G2317" i="19"/>
  <c r="H2317" i="19"/>
  <c r="I2317" i="19"/>
  <c r="J2317" i="19"/>
  <c r="K2317" i="19"/>
  <c r="G2318" i="19"/>
  <c r="H2318" i="19"/>
  <c r="I2318" i="19"/>
  <c r="J2318" i="19"/>
  <c r="K2318" i="19"/>
  <c r="G2319" i="19"/>
  <c r="H2319" i="19"/>
  <c r="I2319" i="19"/>
  <c r="J2319" i="19"/>
  <c r="K2319" i="19"/>
  <c r="G2320" i="19"/>
  <c r="H2320" i="19"/>
  <c r="I2320" i="19"/>
  <c r="J2320" i="19"/>
  <c r="K2320" i="19"/>
  <c r="G2321" i="19"/>
  <c r="H2321" i="19"/>
  <c r="I2321" i="19"/>
  <c r="J2321" i="19"/>
  <c r="K2321" i="19"/>
  <c r="G2322" i="19"/>
  <c r="H2322" i="19"/>
  <c r="I2322" i="19"/>
  <c r="J2322" i="19"/>
  <c r="K2322" i="19"/>
  <c r="G2323" i="19"/>
  <c r="H2323" i="19"/>
  <c r="I2323" i="19"/>
  <c r="J2323" i="19"/>
  <c r="K2323" i="19"/>
  <c r="G2324" i="19"/>
  <c r="H2324" i="19"/>
  <c r="I2324" i="19"/>
  <c r="J2324" i="19"/>
  <c r="K2324" i="19"/>
  <c r="G2325" i="19"/>
  <c r="H2325" i="19"/>
  <c r="I2325" i="19"/>
  <c r="J2325" i="19"/>
  <c r="K2325" i="19"/>
  <c r="G2326" i="19"/>
  <c r="H2326" i="19"/>
  <c r="I2326" i="19"/>
  <c r="J2326" i="19"/>
  <c r="K2326" i="19"/>
  <c r="G2327" i="19"/>
  <c r="H2327" i="19"/>
  <c r="I2327" i="19"/>
  <c r="J2327" i="19"/>
  <c r="K2327" i="19"/>
  <c r="G2328" i="19"/>
  <c r="H2328" i="19"/>
  <c r="I2328" i="19"/>
  <c r="J2328" i="19"/>
  <c r="K2328" i="19"/>
  <c r="G2329" i="19"/>
  <c r="H2329" i="19"/>
  <c r="I2329" i="19"/>
  <c r="J2329" i="19"/>
  <c r="K2329" i="19"/>
  <c r="G2330" i="19"/>
  <c r="H2330" i="19"/>
  <c r="I2330" i="19"/>
  <c r="J2330" i="19"/>
  <c r="K2330" i="19"/>
  <c r="G2331" i="19"/>
  <c r="H2331" i="19"/>
  <c r="I2331" i="19"/>
  <c r="J2331" i="19"/>
  <c r="K2331" i="19"/>
  <c r="G2332" i="19"/>
  <c r="H2332" i="19"/>
  <c r="I2332" i="19"/>
  <c r="J2332" i="19"/>
  <c r="K2332" i="19"/>
  <c r="G2333" i="19"/>
  <c r="H2333" i="19"/>
  <c r="I2333" i="19"/>
  <c r="J2333" i="19"/>
  <c r="K2333" i="19"/>
  <c r="G2334" i="19"/>
  <c r="H2334" i="19"/>
  <c r="I2334" i="19"/>
  <c r="J2334" i="19"/>
  <c r="K2334" i="19"/>
  <c r="G2335" i="19"/>
  <c r="H2335" i="19"/>
  <c r="I2335" i="19"/>
  <c r="J2335" i="19"/>
  <c r="K2335" i="19"/>
  <c r="G2336" i="19"/>
  <c r="H2336" i="19"/>
  <c r="I2336" i="19"/>
  <c r="J2336" i="19"/>
  <c r="K2336" i="19"/>
  <c r="G2337" i="19"/>
  <c r="H2337" i="19"/>
  <c r="I2337" i="19"/>
  <c r="J2337" i="19"/>
  <c r="K2337" i="19"/>
  <c r="G2338" i="19"/>
  <c r="H2338" i="19"/>
  <c r="I2338" i="19"/>
  <c r="J2338" i="19"/>
  <c r="K2338" i="19"/>
  <c r="G2339" i="19"/>
  <c r="H2339" i="19"/>
  <c r="I2339" i="19"/>
  <c r="J2339" i="19"/>
  <c r="K2339" i="19"/>
  <c r="G2340" i="19"/>
  <c r="H2340" i="19"/>
  <c r="I2340" i="19"/>
  <c r="J2340" i="19"/>
  <c r="K2340" i="19"/>
  <c r="G2341" i="19"/>
  <c r="H2341" i="19"/>
  <c r="I2341" i="19"/>
  <c r="J2341" i="19"/>
  <c r="K2341" i="19"/>
  <c r="G2342" i="19"/>
  <c r="H2342" i="19"/>
  <c r="I2342" i="19"/>
  <c r="J2342" i="19"/>
  <c r="K2342" i="19"/>
  <c r="G2343" i="19"/>
  <c r="H2343" i="19"/>
  <c r="I2343" i="19"/>
  <c r="J2343" i="19"/>
  <c r="K2343" i="19"/>
  <c r="G2344" i="19"/>
  <c r="H2344" i="19"/>
  <c r="I2344" i="19"/>
  <c r="J2344" i="19"/>
  <c r="K2344" i="19"/>
  <c r="G2345" i="19"/>
  <c r="H2345" i="19"/>
  <c r="I2345" i="19"/>
  <c r="J2345" i="19"/>
  <c r="K2345" i="19"/>
  <c r="G2346" i="19"/>
  <c r="H2346" i="19"/>
  <c r="I2346" i="19"/>
  <c r="J2346" i="19"/>
  <c r="K2346" i="19"/>
  <c r="G2347" i="19"/>
  <c r="H2347" i="19"/>
  <c r="I2347" i="19"/>
  <c r="J2347" i="19"/>
  <c r="K2347" i="19"/>
  <c r="G2348" i="19"/>
  <c r="H2348" i="19"/>
  <c r="I2348" i="19"/>
  <c r="J2348" i="19"/>
  <c r="K2348" i="19"/>
  <c r="G2349" i="19"/>
  <c r="H2349" i="19"/>
  <c r="I2349" i="19"/>
  <c r="J2349" i="19"/>
  <c r="K2349" i="19"/>
  <c r="G2350" i="19"/>
  <c r="H2350" i="19"/>
  <c r="I2350" i="19"/>
  <c r="J2350" i="19"/>
  <c r="K2350" i="19"/>
  <c r="G2351" i="19"/>
  <c r="H2351" i="19"/>
  <c r="I2351" i="19"/>
  <c r="J2351" i="19"/>
  <c r="K2351" i="19"/>
  <c r="G2352" i="19"/>
  <c r="H2352" i="19"/>
  <c r="I2352" i="19"/>
  <c r="J2352" i="19"/>
  <c r="K2352" i="19"/>
  <c r="G2353" i="19"/>
  <c r="H2353" i="19"/>
  <c r="I2353" i="19"/>
  <c r="J2353" i="19"/>
  <c r="K2353" i="19"/>
  <c r="G2354" i="19"/>
  <c r="H2354" i="19"/>
  <c r="I2354" i="19"/>
  <c r="J2354" i="19"/>
  <c r="K2354" i="19"/>
  <c r="G2355" i="19"/>
  <c r="H2355" i="19"/>
  <c r="I2355" i="19"/>
  <c r="J2355" i="19"/>
  <c r="K2355" i="19"/>
  <c r="G2356" i="19"/>
  <c r="H2356" i="19"/>
  <c r="I2356" i="19"/>
  <c r="J2356" i="19"/>
  <c r="K2356" i="19"/>
  <c r="G2357" i="19"/>
  <c r="H2357" i="19"/>
  <c r="I2357" i="19"/>
  <c r="J2357" i="19"/>
  <c r="K2357" i="19"/>
  <c r="G2358" i="19"/>
  <c r="H2358" i="19"/>
  <c r="I2358" i="19"/>
  <c r="J2358" i="19"/>
  <c r="K2358" i="19"/>
  <c r="G2359" i="19"/>
  <c r="H2359" i="19"/>
  <c r="I2359" i="19"/>
  <c r="J2359" i="19"/>
  <c r="K2359" i="19"/>
  <c r="G2360" i="19"/>
  <c r="H2360" i="19"/>
  <c r="I2360" i="19"/>
  <c r="J2360" i="19"/>
  <c r="K2360" i="19"/>
  <c r="G2361" i="19"/>
  <c r="H2361" i="19"/>
  <c r="I2361" i="19"/>
  <c r="J2361" i="19"/>
  <c r="K2361" i="19"/>
  <c r="G2362" i="19"/>
  <c r="H2362" i="19"/>
  <c r="I2362" i="19"/>
  <c r="J2362" i="19"/>
  <c r="K2362" i="19"/>
  <c r="G2363" i="19"/>
  <c r="H2363" i="19"/>
  <c r="I2363" i="19"/>
  <c r="J2363" i="19"/>
  <c r="K2363" i="19"/>
  <c r="G2364" i="19"/>
  <c r="H2364" i="19"/>
  <c r="I2364" i="19"/>
  <c r="J2364" i="19"/>
  <c r="K2364" i="19"/>
  <c r="G2365" i="19"/>
  <c r="H2365" i="19"/>
  <c r="I2365" i="19"/>
  <c r="J2365" i="19"/>
  <c r="K2365" i="19"/>
  <c r="G2366" i="19"/>
  <c r="H2366" i="19"/>
  <c r="I2366" i="19"/>
  <c r="J2366" i="19"/>
  <c r="K2366" i="19"/>
  <c r="G2367" i="19"/>
  <c r="H2367" i="19"/>
  <c r="I2367" i="19"/>
  <c r="J2367" i="19"/>
  <c r="K2367" i="19"/>
  <c r="G2368" i="19"/>
  <c r="H2368" i="19"/>
  <c r="I2368" i="19"/>
  <c r="J2368" i="19"/>
  <c r="K2368" i="19"/>
  <c r="G2369" i="19"/>
  <c r="H2369" i="19"/>
  <c r="I2369" i="19"/>
  <c r="J2369" i="19"/>
  <c r="K2369" i="19"/>
  <c r="G2370" i="19"/>
  <c r="H2370" i="19"/>
  <c r="I2370" i="19"/>
  <c r="J2370" i="19"/>
  <c r="K2370" i="19"/>
  <c r="G2371" i="19"/>
  <c r="H2371" i="19"/>
  <c r="I2371" i="19"/>
  <c r="J2371" i="19"/>
  <c r="K2371" i="19"/>
  <c r="G2372" i="19"/>
  <c r="H2372" i="19"/>
  <c r="I2372" i="19"/>
  <c r="J2372" i="19"/>
  <c r="K2372" i="19"/>
  <c r="G2373" i="19"/>
  <c r="H2373" i="19"/>
  <c r="I2373" i="19"/>
  <c r="J2373" i="19"/>
  <c r="K2373" i="19"/>
  <c r="G2374" i="19"/>
  <c r="H2374" i="19"/>
  <c r="I2374" i="19"/>
  <c r="J2374" i="19"/>
  <c r="K2374" i="19"/>
  <c r="G2375" i="19"/>
  <c r="H2375" i="19"/>
  <c r="I2375" i="19"/>
  <c r="J2375" i="19"/>
  <c r="K2375" i="19"/>
  <c r="G2376" i="19"/>
  <c r="H2376" i="19"/>
  <c r="I2376" i="19"/>
  <c r="J2376" i="19"/>
  <c r="K2376" i="19"/>
  <c r="G2377" i="19"/>
  <c r="H2377" i="19"/>
  <c r="I2377" i="19"/>
  <c r="J2377" i="19"/>
  <c r="K2377" i="19"/>
  <c r="G2378" i="19"/>
  <c r="H2378" i="19"/>
  <c r="I2378" i="19"/>
  <c r="J2378" i="19"/>
  <c r="K2378" i="19"/>
  <c r="G2379" i="19"/>
  <c r="H2379" i="19"/>
  <c r="I2379" i="19"/>
  <c r="J2379" i="19"/>
  <c r="K2379" i="19"/>
  <c r="G2380" i="19"/>
  <c r="H2380" i="19"/>
  <c r="I2380" i="19"/>
  <c r="J2380" i="19"/>
  <c r="K2380" i="19"/>
  <c r="G2381" i="19"/>
  <c r="H2381" i="19"/>
  <c r="I2381" i="19"/>
  <c r="J2381" i="19"/>
  <c r="K2381" i="19"/>
  <c r="G2382" i="19"/>
  <c r="H2382" i="19"/>
  <c r="I2382" i="19"/>
  <c r="J2382" i="19"/>
  <c r="K2382" i="19"/>
  <c r="G2383" i="19"/>
  <c r="H2383" i="19"/>
  <c r="I2383" i="19"/>
  <c r="J2383" i="19"/>
  <c r="K2383" i="19"/>
  <c r="G2384" i="19"/>
  <c r="H2384" i="19"/>
  <c r="I2384" i="19"/>
  <c r="J2384" i="19"/>
  <c r="K2384" i="19"/>
  <c r="G2385" i="19"/>
  <c r="H2385" i="19"/>
  <c r="I2385" i="19"/>
  <c r="J2385" i="19"/>
  <c r="K2385" i="19"/>
  <c r="G2386" i="19"/>
  <c r="H2386" i="19"/>
  <c r="I2386" i="19"/>
  <c r="J2386" i="19"/>
  <c r="K2386" i="19"/>
  <c r="G2387" i="19"/>
  <c r="H2387" i="19"/>
  <c r="I2387" i="19"/>
  <c r="J2387" i="19"/>
  <c r="K2387" i="19"/>
  <c r="G2388" i="19"/>
  <c r="H2388" i="19"/>
  <c r="I2388" i="19"/>
  <c r="J2388" i="19"/>
  <c r="K2388" i="19"/>
  <c r="G2389" i="19"/>
  <c r="H2389" i="19"/>
  <c r="I2389" i="19"/>
  <c r="J2389" i="19"/>
  <c r="K2389" i="19"/>
  <c r="G2390" i="19"/>
  <c r="H2390" i="19"/>
  <c r="I2390" i="19"/>
  <c r="J2390" i="19"/>
  <c r="K2390" i="19"/>
  <c r="G2391" i="19"/>
  <c r="H2391" i="19"/>
  <c r="I2391" i="19"/>
  <c r="J2391" i="19"/>
  <c r="K2391" i="19"/>
  <c r="G2392" i="19"/>
  <c r="H2392" i="19"/>
  <c r="I2392" i="19"/>
  <c r="J2392" i="19"/>
  <c r="K2392" i="19"/>
  <c r="G2393" i="19"/>
  <c r="H2393" i="19"/>
  <c r="I2393" i="19"/>
  <c r="J2393" i="19"/>
  <c r="K2393" i="19"/>
  <c r="G2394" i="19"/>
  <c r="H2394" i="19"/>
  <c r="I2394" i="19"/>
  <c r="J2394" i="19"/>
  <c r="K2394" i="19"/>
  <c r="G2395" i="19"/>
  <c r="H2395" i="19"/>
  <c r="I2395" i="19"/>
  <c r="J2395" i="19"/>
  <c r="K2395" i="19"/>
  <c r="G2396" i="19"/>
  <c r="H2396" i="19"/>
  <c r="I2396" i="19"/>
  <c r="J2396" i="19"/>
  <c r="K2396" i="19"/>
  <c r="G2397" i="19"/>
  <c r="H2397" i="19"/>
  <c r="I2397" i="19"/>
  <c r="J2397" i="19"/>
  <c r="K2397" i="19"/>
  <c r="G2398" i="19"/>
  <c r="H2398" i="19"/>
  <c r="I2398" i="19"/>
  <c r="J2398" i="19"/>
  <c r="K2398" i="19"/>
  <c r="G2399" i="19"/>
  <c r="H2399" i="19"/>
  <c r="I2399" i="19"/>
  <c r="J2399" i="19"/>
  <c r="K2399" i="19"/>
  <c r="G2400" i="19"/>
  <c r="H2400" i="19"/>
  <c r="I2400" i="19"/>
  <c r="J2400" i="19"/>
  <c r="K2400" i="19"/>
  <c r="G2401" i="19"/>
  <c r="H2401" i="19"/>
  <c r="I2401" i="19"/>
  <c r="J2401" i="19"/>
  <c r="K2401" i="19"/>
  <c r="G2402" i="19"/>
  <c r="H2402" i="19"/>
  <c r="I2402" i="19"/>
  <c r="J2402" i="19"/>
  <c r="K2402" i="19"/>
  <c r="G2403" i="19"/>
  <c r="H2403" i="19"/>
  <c r="I2403" i="19"/>
  <c r="J2403" i="19"/>
  <c r="K2403" i="19"/>
  <c r="G2404" i="19"/>
  <c r="H2404" i="19"/>
  <c r="I2404" i="19"/>
  <c r="J2404" i="19"/>
  <c r="K2404" i="19"/>
  <c r="G2405" i="19"/>
  <c r="H2405" i="19"/>
  <c r="I2405" i="19"/>
  <c r="J2405" i="19"/>
  <c r="K2405" i="19"/>
  <c r="G2406" i="19"/>
  <c r="H2406" i="19"/>
  <c r="I2406" i="19"/>
  <c r="J2406" i="19"/>
  <c r="K2406" i="19"/>
  <c r="G2407" i="19"/>
  <c r="H2407" i="19"/>
  <c r="I2407" i="19"/>
  <c r="J2407" i="19"/>
  <c r="K2407" i="19"/>
  <c r="G2408" i="19"/>
  <c r="H2408" i="19"/>
  <c r="I2408" i="19"/>
  <c r="J2408" i="19"/>
  <c r="K2408" i="19"/>
  <c r="G2409" i="19"/>
  <c r="H2409" i="19"/>
  <c r="I2409" i="19"/>
  <c r="J2409" i="19"/>
  <c r="K2409" i="19"/>
  <c r="G2410" i="19"/>
  <c r="H2410" i="19"/>
  <c r="I2410" i="19"/>
  <c r="J2410" i="19"/>
  <c r="K2410" i="19"/>
  <c r="G2411" i="19"/>
  <c r="H2411" i="19"/>
  <c r="I2411" i="19"/>
  <c r="J2411" i="19"/>
  <c r="K2411" i="19"/>
  <c r="G2412" i="19"/>
  <c r="H2412" i="19"/>
  <c r="I2412" i="19"/>
  <c r="J2412" i="19"/>
  <c r="K2412" i="19"/>
  <c r="G2413" i="19"/>
  <c r="H2413" i="19"/>
  <c r="I2413" i="19"/>
  <c r="J2413" i="19"/>
  <c r="K2413" i="19"/>
  <c r="G2414" i="19"/>
  <c r="H2414" i="19"/>
  <c r="I2414" i="19"/>
  <c r="J2414" i="19"/>
  <c r="K2414" i="19"/>
  <c r="G2415" i="19"/>
  <c r="H2415" i="19"/>
  <c r="I2415" i="19"/>
  <c r="J2415" i="19"/>
  <c r="K2415" i="19"/>
  <c r="G2416" i="19"/>
  <c r="H2416" i="19"/>
  <c r="I2416" i="19"/>
  <c r="J2416" i="19"/>
  <c r="K2416" i="19"/>
  <c r="G2417" i="19"/>
  <c r="H2417" i="19"/>
  <c r="I2417" i="19"/>
  <c r="J2417" i="19"/>
  <c r="K2417" i="19"/>
  <c r="G2418" i="19"/>
  <c r="H2418" i="19"/>
  <c r="I2418" i="19"/>
  <c r="J2418" i="19"/>
  <c r="K2418" i="19"/>
  <c r="G2419" i="19"/>
  <c r="H2419" i="19"/>
  <c r="I2419" i="19"/>
  <c r="J2419" i="19"/>
  <c r="K2419" i="19"/>
  <c r="G2420" i="19"/>
  <c r="H2420" i="19"/>
  <c r="I2420" i="19"/>
  <c r="J2420" i="19"/>
  <c r="K2420" i="19"/>
  <c r="G2421" i="19"/>
  <c r="H2421" i="19"/>
  <c r="I2421" i="19"/>
  <c r="J2421" i="19"/>
  <c r="K2421" i="19"/>
  <c r="G2422" i="19"/>
  <c r="H2422" i="19"/>
  <c r="I2422" i="19"/>
  <c r="J2422" i="19"/>
  <c r="K2422" i="19"/>
  <c r="G2423" i="19"/>
  <c r="H2423" i="19"/>
  <c r="I2423" i="19"/>
  <c r="J2423" i="19"/>
  <c r="K2423" i="19"/>
  <c r="G2424" i="19"/>
  <c r="H2424" i="19"/>
  <c r="I2424" i="19"/>
  <c r="J2424" i="19"/>
  <c r="K2424" i="19"/>
  <c r="G2425" i="19"/>
  <c r="H2425" i="19"/>
  <c r="I2425" i="19"/>
  <c r="J2425" i="19"/>
  <c r="K2425" i="19"/>
  <c r="G2426" i="19"/>
  <c r="H2426" i="19"/>
  <c r="I2426" i="19"/>
  <c r="J2426" i="19"/>
  <c r="K2426" i="19"/>
  <c r="G2427" i="19"/>
  <c r="H2427" i="19"/>
  <c r="I2427" i="19"/>
  <c r="J2427" i="19"/>
  <c r="K2427" i="19"/>
  <c r="G2428" i="19"/>
  <c r="H2428" i="19"/>
  <c r="I2428" i="19"/>
  <c r="J2428" i="19"/>
  <c r="K2428" i="19"/>
  <c r="G2429" i="19"/>
  <c r="H2429" i="19"/>
  <c r="I2429" i="19"/>
  <c r="J2429" i="19"/>
  <c r="K2429" i="19"/>
  <c r="G2430" i="19"/>
  <c r="H2430" i="19"/>
  <c r="I2430" i="19"/>
  <c r="J2430" i="19"/>
  <c r="K2430" i="19"/>
  <c r="G2431" i="19"/>
  <c r="H2431" i="19"/>
  <c r="I2431" i="19"/>
  <c r="J2431" i="19"/>
  <c r="K2431" i="19"/>
  <c r="G2432" i="19"/>
  <c r="H2432" i="19"/>
  <c r="I2432" i="19"/>
  <c r="J2432" i="19"/>
  <c r="K2432" i="19"/>
  <c r="G2433" i="19"/>
  <c r="H2433" i="19"/>
  <c r="I2433" i="19"/>
  <c r="J2433" i="19"/>
  <c r="K2433" i="19"/>
  <c r="G2434" i="19"/>
  <c r="H2434" i="19"/>
  <c r="I2434" i="19"/>
  <c r="J2434" i="19"/>
  <c r="K2434" i="19"/>
  <c r="G2435" i="19"/>
  <c r="H2435" i="19"/>
  <c r="I2435" i="19"/>
  <c r="J2435" i="19"/>
  <c r="K2435" i="19"/>
  <c r="G2436" i="19"/>
  <c r="H2436" i="19"/>
  <c r="I2436" i="19"/>
  <c r="J2436" i="19"/>
  <c r="K2436" i="19"/>
  <c r="G2437" i="19"/>
  <c r="H2437" i="19"/>
  <c r="I2437" i="19"/>
  <c r="J2437" i="19"/>
  <c r="K2437" i="19"/>
  <c r="G2438" i="19"/>
  <c r="H2438" i="19"/>
  <c r="I2438" i="19"/>
  <c r="J2438" i="19"/>
  <c r="K2438" i="19"/>
  <c r="G2439" i="19"/>
  <c r="H2439" i="19"/>
  <c r="I2439" i="19"/>
  <c r="J2439" i="19"/>
  <c r="K2439" i="19"/>
  <c r="G2440" i="19"/>
  <c r="H2440" i="19"/>
  <c r="I2440" i="19"/>
  <c r="J2440" i="19"/>
  <c r="K2440" i="19"/>
  <c r="G2441" i="19"/>
  <c r="H2441" i="19"/>
  <c r="I2441" i="19"/>
  <c r="J2441" i="19"/>
  <c r="K2441" i="19"/>
  <c r="G2442" i="19"/>
  <c r="H2442" i="19"/>
  <c r="I2442" i="19"/>
  <c r="J2442" i="19"/>
  <c r="K2442" i="19"/>
  <c r="G2443" i="19"/>
  <c r="H2443" i="19"/>
  <c r="I2443" i="19"/>
  <c r="J2443" i="19"/>
  <c r="K2443" i="19"/>
  <c r="G2444" i="19"/>
  <c r="H2444" i="19"/>
  <c r="I2444" i="19"/>
  <c r="J2444" i="19"/>
  <c r="K2444" i="19"/>
  <c r="G2445" i="19"/>
  <c r="H2445" i="19"/>
  <c r="I2445" i="19"/>
  <c r="J2445" i="19"/>
  <c r="K2445" i="19"/>
  <c r="G2446" i="19"/>
  <c r="H2446" i="19"/>
  <c r="I2446" i="19"/>
  <c r="J2446" i="19"/>
  <c r="K2446" i="19"/>
  <c r="G2447" i="19"/>
  <c r="H2447" i="19"/>
  <c r="I2447" i="19"/>
  <c r="J2447" i="19"/>
  <c r="K2447" i="19"/>
  <c r="G2448" i="19"/>
  <c r="H2448" i="19"/>
  <c r="I2448" i="19"/>
  <c r="J2448" i="19"/>
  <c r="K2448" i="19"/>
  <c r="G2449" i="19"/>
  <c r="H2449" i="19"/>
  <c r="I2449" i="19"/>
  <c r="J2449" i="19"/>
  <c r="K2449" i="19"/>
  <c r="G2450" i="19"/>
  <c r="H2450" i="19"/>
  <c r="I2450" i="19"/>
  <c r="J2450" i="19"/>
  <c r="K2450" i="19"/>
  <c r="G2451" i="19"/>
  <c r="H2451" i="19"/>
  <c r="I2451" i="19"/>
  <c r="J2451" i="19"/>
  <c r="K2451" i="19"/>
  <c r="G2452" i="19"/>
  <c r="H2452" i="19"/>
  <c r="I2452" i="19"/>
  <c r="J2452" i="19"/>
  <c r="K2452" i="19"/>
  <c r="G2453" i="19"/>
  <c r="H2453" i="19"/>
  <c r="I2453" i="19"/>
  <c r="J2453" i="19"/>
  <c r="K2453" i="19"/>
  <c r="G2454" i="19"/>
  <c r="H2454" i="19"/>
  <c r="I2454" i="19"/>
  <c r="J2454" i="19"/>
  <c r="K2454" i="19"/>
  <c r="G2455" i="19"/>
  <c r="H2455" i="19"/>
  <c r="I2455" i="19"/>
  <c r="J2455" i="19"/>
  <c r="K2455" i="19"/>
  <c r="G2456" i="19"/>
  <c r="H2456" i="19"/>
  <c r="I2456" i="19"/>
  <c r="J2456" i="19"/>
  <c r="K2456" i="19"/>
  <c r="G2457" i="19"/>
  <c r="H2457" i="19"/>
  <c r="I2457" i="19"/>
  <c r="J2457" i="19"/>
  <c r="K2457" i="19"/>
  <c r="G2458" i="19"/>
  <c r="H2458" i="19"/>
  <c r="I2458" i="19"/>
  <c r="J2458" i="19"/>
  <c r="K2458" i="19"/>
  <c r="G2459" i="19"/>
  <c r="H2459" i="19"/>
  <c r="I2459" i="19"/>
  <c r="J2459" i="19"/>
  <c r="K2459" i="19"/>
  <c r="G2460" i="19"/>
  <c r="H2460" i="19"/>
  <c r="I2460" i="19"/>
  <c r="J2460" i="19"/>
  <c r="K2460" i="19"/>
  <c r="G2461" i="19"/>
  <c r="H2461" i="19"/>
  <c r="I2461" i="19"/>
  <c r="J2461" i="19"/>
  <c r="K2461" i="19"/>
  <c r="G2462" i="19"/>
  <c r="H2462" i="19"/>
  <c r="I2462" i="19"/>
  <c r="J2462" i="19"/>
  <c r="K2462" i="19"/>
  <c r="G2463" i="19"/>
  <c r="H2463" i="19"/>
  <c r="I2463" i="19"/>
  <c r="J2463" i="19"/>
  <c r="K2463" i="19"/>
  <c r="G2464" i="19"/>
  <c r="H2464" i="19"/>
  <c r="I2464" i="19"/>
  <c r="J2464" i="19"/>
  <c r="K2464" i="19"/>
  <c r="G2465" i="19"/>
  <c r="H2465" i="19"/>
  <c r="I2465" i="19"/>
  <c r="J2465" i="19"/>
  <c r="K2465" i="19"/>
  <c r="G2466" i="19"/>
  <c r="H2466" i="19"/>
  <c r="I2466" i="19"/>
  <c r="J2466" i="19"/>
  <c r="K2466" i="19"/>
  <c r="G2467" i="19"/>
  <c r="H2467" i="19"/>
  <c r="I2467" i="19"/>
  <c r="J2467" i="19"/>
  <c r="K2467" i="19"/>
  <c r="G2468" i="19"/>
  <c r="H2468" i="19"/>
  <c r="I2468" i="19"/>
  <c r="J2468" i="19"/>
  <c r="K2468" i="19"/>
  <c r="G2469" i="19"/>
  <c r="H2469" i="19"/>
  <c r="I2469" i="19"/>
  <c r="J2469" i="19"/>
  <c r="K2469" i="19"/>
  <c r="G2470" i="19"/>
  <c r="H2470" i="19"/>
  <c r="I2470" i="19"/>
  <c r="J2470" i="19"/>
  <c r="K2470" i="19"/>
  <c r="G2471" i="19"/>
  <c r="H2471" i="19"/>
  <c r="I2471" i="19"/>
  <c r="J2471" i="19"/>
  <c r="K2471" i="19"/>
  <c r="G2472" i="19"/>
  <c r="H2472" i="19"/>
  <c r="I2472" i="19"/>
  <c r="J2472" i="19"/>
  <c r="K2472" i="19"/>
  <c r="G2473" i="19"/>
  <c r="H2473" i="19"/>
  <c r="I2473" i="19"/>
  <c r="J2473" i="19"/>
  <c r="K2473" i="19"/>
  <c r="G2474" i="19"/>
  <c r="H2474" i="19"/>
  <c r="I2474" i="19"/>
  <c r="J2474" i="19"/>
  <c r="K2474" i="19"/>
  <c r="G2475" i="19"/>
  <c r="H2475" i="19"/>
  <c r="I2475" i="19"/>
  <c r="J2475" i="19"/>
  <c r="K2475" i="19"/>
  <c r="G2476" i="19"/>
  <c r="H2476" i="19"/>
  <c r="I2476" i="19"/>
  <c r="J2476" i="19"/>
  <c r="K2476" i="19"/>
  <c r="G2477" i="19"/>
  <c r="H2477" i="19"/>
  <c r="I2477" i="19"/>
  <c r="J2477" i="19"/>
  <c r="K2477" i="19"/>
  <c r="G2478" i="19"/>
  <c r="H2478" i="19"/>
  <c r="I2478" i="19"/>
  <c r="J2478" i="19"/>
  <c r="K2478" i="19"/>
  <c r="G2479" i="19"/>
  <c r="H2479" i="19"/>
  <c r="I2479" i="19"/>
  <c r="J2479" i="19"/>
  <c r="K2479" i="19"/>
  <c r="G2480" i="19"/>
  <c r="H2480" i="19"/>
  <c r="I2480" i="19"/>
  <c r="J2480" i="19"/>
  <c r="K2480" i="19"/>
  <c r="G2481" i="19"/>
  <c r="H2481" i="19"/>
  <c r="I2481" i="19"/>
  <c r="J2481" i="19"/>
  <c r="K2481" i="19"/>
  <c r="G2482" i="19"/>
  <c r="H2482" i="19"/>
  <c r="I2482" i="19"/>
  <c r="J2482" i="19"/>
  <c r="K2482" i="19"/>
  <c r="G2483" i="19"/>
  <c r="H2483" i="19"/>
  <c r="I2483" i="19"/>
  <c r="J2483" i="19"/>
  <c r="K2483" i="19"/>
  <c r="G2484" i="19"/>
  <c r="H2484" i="19"/>
  <c r="I2484" i="19"/>
  <c r="J2484" i="19"/>
  <c r="K2484" i="19"/>
  <c r="G2485" i="19"/>
  <c r="H2485" i="19"/>
  <c r="I2485" i="19"/>
  <c r="J2485" i="19"/>
  <c r="K2485" i="19"/>
  <c r="G2486" i="19"/>
  <c r="H2486" i="19"/>
  <c r="I2486" i="19"/>
  <c r="J2486" i="19"/>
  <c r="K2486" i="19"/>
  <c r="G2487" i="19"/>
  <c r="H2487" i="19"/>
  <c r="I2487" i="19"/>
  <c r="J2487" i="19"/>
  <c r="K2487" i="19"/>
  <c r="G2488" i="19"/>
  <c r="H2488" i="19"/>
  <c r="I2488" i="19"/>
  <c r="J2488" i="19"/>
  <c r="K2488" i="19"/>
  <c r="G2489" i="19"/>
  <c r="H2489" i="19"/>
  <c r="I2489" i="19"/>
  <c r="J2489" i="19"/>
  <c r="K2489" i="19"/>
  <c r="G2490" i="19"/>
  <c r="H2490" i="19"/>
  <c r="I2490" i="19"/>
  <c r="J2490" i="19"/>
  <c r="K2490" i="19"/>
  <c r="G2491" i="19"/>
  <c r="H2491" i="19"/>
  <c r="I2491" i="19"/>
  <c r="J2491" i="19"/>
  <c r="K2491" i="19"/>
  <c r="G2492" i="19"/>
  <c r="H2492" i="19"/>
  <c r="I2492" i="19"/>
  <c r="J2492" i="19"/>
  <c r="K2492" i="19"/>
  <c r="G2493" i="19"/>
  <c r="H2493" i="19"/>
  <c r="I2493" i="19"/>
  <c r="J2493" i="19"/>
  <c r="K2493" i="19"/>
  <c r="G2494" i="19"/>
  <c r="H2494" i="19"/>
  <c r="I2494" i="19"/>
  <c r="J2494" i="19"/>
  <c r="K2494" i="19"/>
  <c r="G2495" i="19"/>
  <c r="H2495" i="19"/>
  <c r="I2495" i="19"/>
  <c r="J2495" i="19"/>
  <c r="K2495" i="19"/>
  <c r="G2496" i="19"/>
  <c r="H2496" i="19"/>
  <c r="I2496" i="19"/>
  <c r="J2496" i="19"/>
  <c r="K2496" i="19"/>
  <c r="G2497" i="19"/>
  <c r="H2497" i="19"/>
  <c r="I2497" i="19"/>
  <c r="J2497" i="19"/>
  <c r="K2497" i="19"/>
  <c r="G2498" i="19"/>
  <c r="H2498" i="19"/>
  <c r="I2498" i="19"/>
  <c r="J2498" i="19"/>
  <c r="K2498" i="19"/>
  <c r="G2499" i="19"/>
  <c r="H2499" i="19"/>
  <c r="I2499" i="19"/>
  <c r="J2499" i="19"/>
  <c r="K2499" i="19"/>
  <c r="G2500" i="19"/>
  <c r="H2500" i="19"/>
  <c r="I2500" i="19"/>
  <c r="J2500" i="19"/>
  <c r="K2500" i="19"/>
  <c r="G2501" i="19"/>
  <c r="H2501" i="19"/>
  <c r="I2501" i="19"/>
  <c r="J2501" i="19"/>
  <c r="K2501" i="19"/>
  <c r="G2502" i="19"/>
  <c r="H2502" i="19"/>
  <c r="I2502" i="19"/>
  <c r="J2502" i="19"/>
  <c r="K2502" i="19"/>
  <c r="G2503" i="19"/>
  <c r="H2503" i="19"/>
  <c r="I2503" i="19"/>
  <c r="J2503" i="19"/>
  <c r="K2503" i="19"/>
  <c r="G2504" i="19"/>
  <c r="H2504" i="19"/>
  <c r="I2504" i="19"/>
  <c r="J2504" i="19"/>
  <c r="K2504" i="19"/>
  <c r="G2505" i="19"/>
  <c r="H2505" i="19"/>
  <c r="I2505" i="19"/>
  <c r="J2505" i="19"/>
  <c r="K2505" i="19"/>
  <c r="G2506" i="19"/>
  <c r="H2506" i="19"/>
  <c r="I2506" i="19"/>
  <c r="J2506" i="19"/>
  <c r="K2506" i="19"/>
  <c r="G2507" i="19"/>
  <c r="H2507" i="19"/>
  <c r="I2507" i="19"/>
  <c r="J2507" i="19"/>
  <c r="K2507" i="19"/>
  <c r="G2508" i="19"/>
  <c r="H2508" i="19"/>
  <c r="I2508" i="19"/>
  <c r="J2508" i="19"/>
  <c r="K2508" i="19"/>
  <c r="G2509" i="19"/>
  <c r="H2509" i="19"/>
  <c r="I2509" i="19"/>
  <c r="J2509" i="19"/>
  <c r="K2509" i="19"/>
  <c r="G2510" i="19"/>
  <c r="H2510" i="19"/>
  <c r="I2510" i="19"/>
  <c r="J2510" i="19"/>
  <c r="K2510" i="19"/>
  <c r="G2511" i="19"/>
  <c r="H2511" i="19"/>
  <c r="I2511" i="19"/>
  <c r="J2511" i="19"/>
  <c r="K2511" i="19"/>
  <c r="G2512" i="19"/>
  <c r="H2512" i="19"/>
  <c r="I2512" i="19"/>
  <c r="J2512" i="19"/>
  <c r="K2512" i="19"/>
  <c r="G2513" i="19"/>
  <c r="H2513" i="19"/>
  <c r="I2513" i="19"/>
  <c r="J2513" i="19"/>
  <c r="K2513" i="19"/>
  <c r="G2514" i="19"/>
  <c r="H2514" i="19"/>
  <c r="I2514" i="19"/>
  <c r="J2514" i="19"/>
  <c r="K2514" i="19"/>
  <c r="G2515" i="19"/>
  <c r="H2515" i="19"/>
  <c r="I2515" i="19"/>
  <c r="J2515" i="19"/>
  <c r="K2515" i="19"/>
  <c r="G2516" i="19"/>
  <c r="H2516" i="19"/>
  <c r="I2516" i="19"/>
  <c r="J2516" i="19"/>
  <c r="K2516" i="19"/>
  <c r="G2517" i="19"/>
  <c r="H2517" i="19"/>
  <c r="I2517" i="19"/>
  <c r="J2517" i="19"/>
  <c r="K2517" i="19"/>
  <c r="G2518" i="19"/>
  <c r="H2518" i="19"/>
  <c r="I2518" i="19"/>
  <c r="J2518" i="19"/>
  <c r="K2518" i="19"/>
  <c r="G2519" i="19"/>
  <c r="H2519" i="19"/>
  <c r="I2519" i="19"/>
  <c r="J2519" i="19"/>
  <c r="K2519" i="19"/>
  <c r="G2520" i="19"/>
  <c r="H2520" i="19"/>
  <c r="I2520" i="19"/>
  <c r="J2520" i="19"/>
  <c r="K2520" i="19"/>
  <c r="G2521" i="19"/>
  <c r="H2521" i="19"/>
  <c r="I2521" i="19"/>
  <c r="J2521" i="19"/>
  <c r="K2521" i="19"/>
  <c r="G2522" i="19"/>
  <c r="H2522" i="19"/>
  <c r="I2522" i="19"/>
  <c r="J2522" i="19"/>
  <c r="K2522" i="19"/>
  <c r="G2523" i="19"/>
  <c r="H2523" i="19"/>
  <c r="I2523" i="19"/>
  <c r="J2523" i="19"/>
  <c r="K2523" i="19"/>
  <c r="G2524" i="19"/>
  <c r="H2524" i="19"/>
  <c r="I2524" i="19"/>
  <c r="J2524" i="19"/>
  <c r="K2524" i="19"/>
  <c r="G2525" i="19"/>
  <c r="H2525" i="19"/>
  <c r="I2525" i="19"/>
  <c r="J2525" i="19"/>
  <c r="K2525" i="19"/>
  <c r="G2526" i="19"/>
  <c r="H2526" i="19"/>
  <c r="I2526" i="19"/>
  <c r="J2526" i="19"/>
  <c r="K2526" i="19"/>
  <c r="G2527" i="19"/>
  <c r="H2527" i="19"/>
  <c r="I2527" i="19"/>
  <c r="J2527" i="19"/>
  <c r="K2527" i="19"/>
  <c r="G2528" i="19"/>
  <c r="H2528" i="19"/>
  <c r="I2528" i="19"/>
  <c r="J2528" i="19"/>
  <c r="K2528" i="19"/>
  <c r="G2529" i="19"/>
  <c r="H2529" i="19"/>
  <c r="I2529" i="19"/>
  <c r="J2529" i="19"/>
  <c r="K2529" i="19"/>
  <c r="G2530" i="19"/>
  <c r="H2530" i="19"/>
  <c r="I2530" i="19"/>
  <c r="J2530" i="19"/>
  <c r="K2530" i="19"/>
  <c r="G2531" i="19"/>
  <c r="H2531" i="19"/>
  <c r="I2531" i="19"/>
  <c r="J2531" i="19"/>
  <c r="K2531" i="19"/>
  <c r="G2532" i="19"/>
  <c r="H2532" i="19"/>
  <c r="I2532" i="19"/>
  <c r="J2532" i="19"/>
  <c r="K2532" i="19"/>
  <c r="G2533" i="19"/>
  <c r="H2533" i="19"/>
  <c r="I2533" i="19"/>
  <c r="J2533" i="19"/>
  <c r="K2533" i="19"/>
  <c r="G2534" i="19"/>
  <c r="H2534" i="19"/>
  <c r="I2534" i="19"/>
  <c r="J2534" i="19"/>
  <c r="K2534" i="19"/>
  <c r="G2535" i="19"/>
  <c r="H2535" i="19"/>
  <c r="I2535" i="19"/>
  <c r="J2535" i="19"/>
  <c r="K2535" i="19"/>
  <c r="G2536" i="19"/>
  <c r="H2536" i="19"/>
  <c r="I2536" i="19"/>
  <c r="J2536" i="19"/>
  <c r="K2536" i="19"/>
  <c r="G2537" i="19"/>
  <c r="H2537" i="19"/>
  <c r="I2537" i="19"/>
  <c r="J2537" i="19"/>
  <c r="K2537" i="19"/>
  <c r="G2538" i="19"/>
  <c r="H2538" i="19"/>
  <c r="I2538" i="19"/>
  <c r="J2538" i="19"/>
  <c r="K2538" i="19"/>
  <c r="G2539" i="19"/>
  <c r="H2539" i="19"/>
  <c r="I2539" i="19"/>
  <c r="J2539" i="19"/>
  <c r="K2539" i="19"/>
  <c r="G2540" i="19"/>
  <c r="H2540" i="19"/>
  <c r="I2540" i="19"/>
  <c r="J2540" i="19"/>
  <c r="K2540" i="19"/>
  <c r="G2541" i="19"/>
  <c r="H2541" i="19"/>
  <c r="I2541" i="19"/>
  <c r="J2541" i="19"/>
  <c r="K2541" i="19"/>
  <c r="G2542" i="19"/>
  <c r="H2542" i="19"/>
  <c r="I2542" i="19"/>
  <c r="J2542" i="19"/>
  <c r="K2542" i="19"/>
  <c r="G2543" i="19"/>
  <c r="H2543" i="19"/>
  <c r="I2543" i="19"/>
  <c r="J2543" i="19"/>
  <c r="K2543" i="19"/>
  <c r="G2544" i="19"/>
  <c r="H2544" i="19"/>
  <c r="I2544" i="19"/>
  <c r="J2544" i="19"/>
  <c r="K2544" i="19"/>
  <c r="G2545" i="19"/>
  <c r="H2545" i="19"/>
  <c r="I2545" i="19"/>
  <c r="J2545" i="19"/>
  <c r="K2545" i="19"/>
  <c r="G2546" i="19"/>
  <c r="H2546" i="19"/>
  <c r="I2546" i="19"/>
  <c r="J2546" i="19"/>
  <c r="K2546" i="19"/>
  <c r="G2547" i="19"/>
  <c r="H2547" i="19"/>
  <c r="I2547" i="19"/>
  <c r="J2547" i="19"/>
  <c r="K2547" i="19"/>
  <c r="G2548" i="19"/>
  <c r="H2548" i="19"/>
  <c r="I2548" i="19"/>
  <c r="J2548" i="19"/>
  <c r="K2548" i="19"/>
  <c r="G2549" i="19"/>
  <c r="H2549" i="19"/>
  <c r="I2549" i="19"/>
  <c r="J2549" i="19"/>
  <c r="K2549" i="19"/>
  <c r="G2550" i="19"/>
  <c r="H2550" i="19"/>
  <c r="I2550" i="19"/>
  <c r="J2550" i="19"/>
  <c r="K2550" i="19"/>
  <c r="G2551" i="19"/>
  <c r="H2551" i="19"/>
  <c r="I2551" i="19"/>
  <c r="J2551" i="19"/>
  <c r="K2551" i="19"/>
  <c r="G2552" i="19"/>
  <c r="H2552" i="19"/>
  <c r="I2552" i="19"/>
  <c r="J2552" i="19"/>
  <c r="K2552" i="19"/>
  <c r="G2553" i="19"/>
  <c r="H2553" i="19"/>
  <c r="I2553" i="19"/>
  <c r="J2553" i="19"/>
  <c r="K2553" i="19"/>
  <c r="G2554" i="19"/>
  <c r="H2554" i="19"/>
  <c r="I2554" i="19"/>
  <c r="J2554" i="19"/>
  <c r="K2554" i="19"/>
  <c r="G2555" i="19"/>
  <c r="H2555" i="19"/>
  <c r="I2555" i="19"/>
  <c r="J2555" i="19"/>
  <c r="K2555" i="19"/>
  <c r="G2556" i="19"/>
  <c r="H2556" i="19"/>
  <c r="I2556" i="19"/>
  <c r="J2556" i="19"/>
  <c r="K2556" i="19"/>
  <c r="G2557" i="19"/>
  <c r="H2557" i="19"/>
  <c r="I2557" i="19"/>
  <c r="J2557" i="19"/>
  <c r="K2557" i="19"/>
  <c r="G2558" i="19"/>
  <c r="H2558" i="19"/>
  <c r="I2558" i="19"/>
  <c r="J2558" i="19"/>
  <c r="K2558" i="19"/>
  <c r="G2559" i="19"/>
  <c r="H2559" i="19"/>
  <c r="I2559" i="19"/>
  <c r="J2559" i="19"/>
  <c r="K2559" i="19"/>
  <c r="G2560" i="19"/>
  <c r="H2560" i="19"/>
  <c r="I2560" i="19"/>
  <c r="J2560" i="19"/>
  <c r="K2560" i="19"/>
  <c r="G2561" i="19"/>
  <c r="H2561" i="19"/>
  <c r="I2561" i="19"/>
  <c r="J2561" i="19"/>
  <c r="K2561" i="19"/>
  <c r="G2562" i="19"/>
  <c r="H2562" i="19"/>
  <c r="I2562" i="19"/>
  <c r="J2562" i="19"/>
  <c r="K2562" i="19"/>
  <c r="G2563" i="19"/>
  <c r="H2563" i="19"/>
  <c r="I2563" i="19"/>
  <c r="J2563" i="19"/>
  <c r="K2563" i="19"/>
  <c r="G2564" i="19"/>
  <c r="H2564" i="19"/>
  <c r="I2564" i="19"/>
  <c r="J2564" i="19"/>
  <c r="K2564" i="19"/>
  <c r="G2565" i="19"/>
  <c r="H2565" i="19"/>
  <c r="I2565" i="19"/>
  <c r="J2565" i="19"/>
  <c r="K2565" i="19"/>
  <c r="G2566" i="19"/>
  <c r="H2566" i="19"/>
  <c r="I2566" i="19"/>
  <c r="J2566" i="19"/>
  <c r="K2566" i="19"/>
  <c r="G2567" i="19"/>
  <c r="H2567" i="19"/>
  <c r="I2567" i="19"/>
  <c r="J2567" i="19"/>
  <c r="K2567" i="19"/>
  <c r="G2568" i="19"/>
  <c r="H2568" i="19"/>
  <c r="I2568" i="19"/>
  <c r="J2568" i="19"/>
  <c r="K2568" i="19"/>
  <c r="G2569" i="19"/>
  <c r="H2569" i="19"/>
  <c r="I2569" i="19"/>
  <c r="J2569" i="19"/>
  <c r="K2569" i="19"/>
  <c r="G2570" i="19"/>
  <c r="H2570" i="19"/>
  <c r="I2570" i="19"/>
  <c r="J2570" i="19"/>
  <c r="K2570" i="19"/>
  <c r="G2571" i="19"/>
  <c r="H2571" i="19"/>
  <c r="I2571" i="19"/>
  <c r="J2571" i="19"/>
  <c r="K2571" i="19"/>
  <c r="G2572" i="19"/>
  <c r="H2572" i="19"/>
  <c r="I2572" i="19"/>
  <c r="J2572" i="19"/>
  <c r="K2572" i="19"/>
  <c r="G2573" i="19"/>
  <c r="H2573" i="19"/>
  <c r="I2573" i="19"/>
  <c r="J2573" i="19"/>
  <c r="K2573" i="19"/>
  <c r="G2574" i="19"/>
  <c r="H2574" i="19"/>
  <c r="I2574" i="19"/>
  <c r="J2574" i="19"/>
  <c r="K2574" i="19"/>
  <c r="G2575" i="19"/>
  <c r="H2575" i="19"/>
  <c r="I2575" i="19"/>
  <c r="J2575" i="19"/>
  <c r="K2575" i="19"/>
  <c r="G2576" i="19"/>
  <c r="H2576" i="19"/>
  <c r="I2576" i="19"/>
  <c r="J2576" i="19"/>
  <c r="K2576" i="19"/>
  <c r="G2577" i="19"/>
  <c r="H2577" i="19"/>
  <c r="I2577" i="19"/>
  <c r="J2577" i="19"/>
  <c r="K2577" i="19"/>
  <c r="G2578" i="19"/>
  <c r="H2578" i="19"/>
  <c r="I2578" i="19"/>
  <c r="J2578" i="19"/>
  <c r="K2578" i="19"/>
  <c r="G2579" i="19"/>
  <c r="H2579" i="19"/>
  <c r="I2579" i="19"/>
  <c r="J2579" i="19"/>
  <c r="K2579" i="19"/>
  <c r="G2580" i="19"/>
  <c r="H2580" i="19"/>
  <c r="I2580" i="19"/>
  <c r="J2580" i="19"/>
  <c r="K2580" i="19"/>
  <c r="G2581" i="19"/>
  <c r="H2581" i="19"/>
  <c r="I2581" i="19"/>
  <c r="J2581" i="19"/>
  <c r="K2581" i="19"/>
  <c r="G2582" i="19"/>
  <c r="H2582" i="19"/>
  <c r="I2582" i="19"/>
  <c r="J2582" i="19"/>
  <c r="K2582" i="19"/>
  <c r="G2583" i="19"/>
  <c r="H2583" i="19"/>
  <c r="I2583" i="19"/>
  <c r="J2583" i="19"/>
  <c r="K2583" i="19"/>
  <c r="G2584" i="19"/>
  <c r="H2584" i="19"/>
  <c r="I2584" i="19"/>
  <c r="J2584" i="19"/>
  <c r="K2584" i="19"/>
  <c r="G2585" i="19"/>
  <c r="H2585" i="19"/>
  <c r="I2585" i="19"/>
  <c r="J2585" i="19"/>
  <c r="K2585" i="19"/>
  <c r="G2586" i="19"/>
  <c r="H2586" i="19"/>
  <c r="I2586" i="19"/>
  <c r="J2586" i="19"/>
  <c r="K2586" i="19"/>
  <c r="G2587" i="19"/>
  <c r="H2587" i="19"/>
  <c r="I2587" i="19"/>
  <c r="J2587" i="19"/>
  <c r="K2587" i="19"/>
  <c r="G2588" i="19"/>
  <c r="H2588" i="19"/>
  <c r="I2588" i="19"/>
  <c r="J2588" i="19"/>
  <c r="K2588" i="19"/>
  <c r="G2589" i="19"/>
  <c r="H2589" i="19"/>
  <c r="I2589" i="19"/>
  <c r="J2589" i="19"/>
  <c r="K2589" i="19"/>
  <c r="G2590" i="19"/>
  <c r="H2590" i="19"/>
  <c r="I2590" i="19"/>
  <c r="J2590" i="19"/>
  <c r="K2590" i="19"/>
  <c r="G2591" i="19"/>
  <c r="H2591" i="19"/>
  <c r="I2591" i="19"/>
  <c r="J2591" i="19"/>
  <c r="K2591" i="19"/>
  <c r="G2592" i="19"/>
  <c r="H2592" i="19"/>
  <c r="I2592" i="19"/>
  <c r="J2592" i="19"/>
  <c r="K2592" i="19"/>
  <c r="G2593" i="19"/>
  <c r="H2593" i="19"/>
  <c r="I2593" i="19"/>
  <c r="J2593" i="19"/>
  <c r="K2593" i="19"/>
  <c r="G2594" i="19"/>
  <c r="H2594" i="19"/>
  <c r="I2594" i="19"/>
  <c r="J2594" i="19"/>
  <c r="K2594" i="19"/>
  <c r="G2595" i="19"/>
  <c r="H2595" i="19"/>
  <c r="I2595" i="19"/>
  <c r="J2595" i="19"/>
  <c r="K2595" i="19"/>
  <c r="G2596" i="19"/>
  <c r="H2596" i="19"/>
  <c r="I2596" i="19"/>
  <c r="J2596" i="19"/>
  <c r="K2596" i="19"/>
  <c r="G2597" i="19"/>
  <c r="H2597" i="19"/>
  <c r="I2597" i="19"/>
  <c r="J2597" i="19"/>
  <c r="K2597" i="19"/>
  <c r="G2598" i="19"/>
  <c r="H2598" i="19"/>
  <c r="I2598" i="19"/>
  <c r="J2598" i="19"/>
  <c r="K2598" i="19"/>
  <c r="G2599" i="19"/>
  <c r="H2599" i="19"/>
  <c r="I2599" i="19"/>
  <c r="J2599" i="19"/>
  <c r="K2599" i="19"/>
  <c r="G2600" i="19"/>
  <c r="H2600" i="19"/>
  <c r="I2600" i="19"/>
  <c r="J2600" i="19"/>
  <c r="K2600" i="19"/>
  <c r="G2601" i="19"/>
  <c r="H2601" i="19"/>
  <c r="I2601" i="19"/>
  <c r="J2601" i="19"/>
  <c r="K2601" i="19"/>
  <c r="G2602" i="19"/>
  <c r="H2602" i="19"/>
  <c r="I2602" i="19"/>
  <c r="J2602" i="19"/>
  <c r="K2602" i="19"/>
  <c r="G2603" i="19"/>
  <c r="H2603" i="19"/>
  <c r="I2603" i="19"/>
  <c r="J2603" i="19"/>
  <c r="K2603" i="19"/>
  <c r="G2604" i="19"/>
  <c r="H2604" i="19"/>
  <c r="I2604" i="19"/>
  <c r="J2604" i="19"/>
  <c r="K2604" i="19"/>
  <c r="G2605" i="19"/>
  <c r="H2605" i="19"/>
  <c r="I2605" i="19"/>
  <c r="J2605" i="19"/>
  <c r="K2605" i="19"/>
  <c r="G2606" i="19"/>
  <c r="H2606" i="19"/>
  <c r="I2606" i="19"/>
  <c r="J2606" i="19"/>
  <c r="K2606" i="19"/>
  <c r="G2607" i="19"/>
  <c r="H2607" i="19"/>
  <c r="I2607" i="19"/>
  <c r="J2607" i="19"/>
  <c r="K2607" i="19"/>
  <c r="G2608" i="19"/>
  <c r="H2608" i="19"/>
  <c r="I2608" i="19"/>
  <c r="J2608" i="19"/>
  <c r="K2608" i="19"/>
  <c r="G2609" i="19"/>
  <c r="H2609" i="19"/>
  <c r="I2609" i="19"/>
  <c r="J2609" i="19"/>
  <c r="K2609" i="19"/>
  <c r="G2610" i="19"/>
  <c r="H2610" i="19"/>
  <c r="I2610" i="19"/>
  <c r="J2610" i="19"/>
  <c r="K2610" i="19"/>
  <c r="G2611" i="19"/>
  <c r="H2611" i="19"/>
  <c r="I2611" i="19"/>
  <c r="J2611" i="19"/>
  <c r="K2611" i="19"/>
  <c r="G2612" i="19"/>
  <c r="H2612" i="19"/>
  <c r="I2612" i="19"/>
  <c r="J2612" i="19"/>
  <c r="K2612" i="19"/>
  <c r="G2613" i="19"/>
  <c r="H2613" i="19"/>
  <c r="I2613" i="19"/>
  <c r="J2613" i="19"/>
  <c r="K2613" i="19"/>
  <c r="G2614" i="19"/>
  <c r="H2614" i="19"/>
  <c r="I2614" i="19"/>
  <c r="J2614" i="19"/>
  <c r="K2614" i="19"/>
  <c r="G2615" i="19"/>
  <c r="H2615" i="19"/>
  <c r="I2615" i="19"/>
  <c r="J2615" i="19"/>
  <c r="K2615" i="19"/>
  <c r="G2616" i="19"/>
  <c r="H2616" i="19"/>
  <c r="I2616" i="19"/>
  <c r="J2616" i="19"/>
  <c r="K2616" i="19"/>
  <c r="G2617" i="19"/>
  <c r="H2617" i="19"/>
  <c r="I2617" i="19"/>
  <c r="J2617" i="19"/>
  <c r="K2617" i="19"/>
  <c r="G2618" i="19"/>
  <c r="H2618" i="19"/>
  <c r="I2618" i="19"/>
  <c r="J2618" i="19"/>
  <c r="K2618" i="19"/>
  <c r="G2619" i="19"/>
  <c r="H2619" i="19"/>
  <c r="I2619" i="19"/>
  <c r="J2619" i="19"/>
  <c r="K2619" i="19"/>
  <c r="G2620" i="19"/>
  <c r="H2620" i="19"/>
  <c r="I2620" i="19"/>
  <c r="J2620" i="19"/>
  <c r="K2620" i="19"/>
  <c r="G2621" i="19"/>
  <c r="H2621" i="19"/>
  <c r="I2621" i="19"/>
  <c r="J2621" i="19"/>
  <c r="K2621" i="19"/>
  <c r="G2622" i="19"/>
  <c r="H2622" i="19"/>
  <c r="I2622" i="19"/>
  <c r="J2622" i="19"/>
  <c r="K2622" i="19"/>
  <c r="G2623" i="19"/>
  <c r="H2623" i="19"/>
  <c r="I2623" i="19"/>
  <c r="J2623" i="19"/>
  <c r="K2623" i="19"/>
  <c r="G2624" i="19"/>
  <c r="H2624" i="19"/>
  <c r="I2624" i="19"/>
  <c r="J2624" i="19"/>
  <c r="K2624" i="19"/>
  <c r="G2625" i="19"/>
  <c r="H2625" i="19"/>
  <c r="I2625" i="19"/>
  <c r="J2625" i="19"/>
  <c r="K2625" i="19"/>
  <c r="G2626" i="19"/>
  <c r="H2626" i="19"/>
  <c r="I2626" i="19"/>
  <c r="J2626" i="19"/>
  <c r="K2626" i="19"/>
  <c r="G2627" i="19"/>
  <c r="H2627" i="19"/>
  <c r="I2627" i="19"/>
  <c r="J2627" i="19"/>
  <c r="K2627" i="19"/>
  <c r="G2628" i="19"/>
  <c r="H2628" i="19"/>
  <c r="I2628" i="19"/>
  <c r="J2628" i="19"/>
  <c r="K2628" i="19"/>
  <c r="G2629" i="19"/>
  <c r="H2629" i="19"/>
  <c r="I2629" i="19"/>
  <c r="J2629" i="19"/>
  <c r="K2629" i="19"/>
  <c r="G2630" i="19"/>
  <c r="H2630" i="19"/>
  <c r="I2630" i="19"/>
  <c r="J2630" i="19"/>
  <c r="K2630" i="19"/>
  <c r="G2631" i="19"/>
  <c r="H2631" i="19"/>
  <c r="I2631" i="19"/>
  <c r="J2631" i="19"/>
  <c r="K2631" i="19"/>
  <c r="G2632" i="19"/>
  <c r="H2632" i="19"/>
  <c r="I2632" i="19"/>
  <c r="J2632" i="19"/>
  <c r="K2632" i="19"/>
  <c r="G2633" i="19"/>
  <c r="H2633" i="19"/>
  <c r="I2633" i="19"/>
  <c r="J2633" i="19"/>
  <c r="K2633" i="19"/>
  <c r="G2634" i="19"/>
  <c r="H2634" i="19"/>
  <c r="I2634" i="19"/>
  <c r="J2634" i="19"/>
  <c r="K2634" i="19"/>
  <c r="G2635" i="19"/>
  <c r="H2635" i="19"/>
  <c r="I2635" i="19"/>
  <c r="J2635" i="19"/>
  <c r="K2635" i="19"/>
  <c r="G2636" i="19"/>
  <c r="H2636" i="19"/>
  <c r="I2636" i="19"/>
  <c r="J2636" i="19"/>
  <c r="K2636" i="19"/>
  <c r="G2637" i="19"/>
  <c r="H2637" i="19"/>
  <c r="I2637" i="19"/>
  <c r="J2637" i="19"/>
  <c r="K2637" i="19"/>
  <c r="G2638" i="19"/>
  <c r="H2638" i="19"/>
  <c r="I2638" i="19"/>
  <c r="J2638" i="19"/>
  <c r="K2638" i="19"/>
  <c r="G2639" i="19"/>
  <c r="H2639" i="19"/>
  <c r="I2639" i="19"/>
  <c r="J2639" i="19"/>
  <c r="K2639" i="19"/>
  <c r="G2640" i="19"/>
  <c r="H2640" i="19"/>
  <c r="I2640" i="19"/>
  <c r="J2640" i="19"/>
  <c r="K2640" i="19"/>
  <c r="G2641" i="19"/>
  <c r="H2641" i="19"/>
  <c r="I2641" i="19"/>
  <c r="J2641" i="19"/>
  <c r="K2641" i="19"/>
  <c r="G2642" i="19"/>
  <c r="H2642" i="19"/>
  <c r="I2642" i="19"/>
  <c r="J2642" i="19"/>
  <c r="K2642" i="19"/>
  <c r="G2643" i="19"/>
  <c r="H2643" i="19"/>
  <c r="I2643" i="19"/>
  <c r="J2643" i="19"/>
  <c r="K2643" i="19"/>
  <c r="G2644" i="19"/>
  <c r="H2644" i="19"/>
  <c r="I2644" i="19"/>
  <c r="J2644" i="19"/>
  <c r="K2644" i="19"/>
  <c r="G2645" i="19"/>
  <c r="H2645" i="19"/>
  <c r="I2645" i="19"/>
  <c r="J2645" i="19"/>
  <c r="K2645" i="19"/>
  <c r="G2646" i="19"/>
  <c r="H2646" i="19"/>
  <c r="I2646" i="19"/>
  <c r="J2646" i="19"/>
  <c r="K2646" i="19"/>
  <c r="G2647" i="19"/>
  <c r="H2647" i="19"/>
  <c r="I2647" i="19"/>
  <c r="J2647" i="19"/>
  <c r="K2647" i="19"/>
  <c r="G2648" i="19"/>
  <c r="H2648" i="19"/>
  <c r="I2648" i="19"/>
  <c r="J2648" i="19"/>
  <c r="K2648" i="19"/>
  <c r="G2649" i="19"/>
  <c r="H2649" i="19"/>
  <c r="I2649" i="19"/>
  <c r="J2649" i="19"/>
  <c r="K2649" i="19"/>
  <c r="G2650" i="19"/>
  <c r="H2650" i="19"/>
  <c r="I2650" i="19"/>
  <c r="J2650" i="19"/>
  <c r="K2650" i="19"/>
  <c r="G2651" i="19"/>
  <c r="H2651" i="19"/>
  <c r="I2651" i="19"/>
  <c r="J2651" i="19"/>
  <c r="K2651" i="19"/>
  <c r="G2652" i="19"/>
  <c r="H2652" i="19"/>
  <c r="I2652" i="19"/>
  <c r="J2652" i="19"/>
  <c r="K2652" i="19"/>
  <c r="G2653" i="19"/>
  <c r="H2653" i="19"/>
  <c r="I2653" i="19"/>
  <c r="J2653" i="19"/>
  <c r="K2653" i="19"/>
  <c r="G2654" i="19"/>
  <c r="H2654" i="19"/>
  <c r="I2654" i="19"/>
  <c r="J2654" i="19"/>
  <c r="K2654" i="19"/>
  <c r="G2655" i="19"/>
  <c r="H2655" i="19"/>
  <c r="I2655" i="19"/>
  <c r="J2655" i="19"/>
  <c r="K2655" i="19"/>
  <c r="G2656" i="19"/>
  <c r="H2656" i="19"/>
  <c r="I2656" i="19"/>
  <c r="J2656" i="19"/>
  <c r="K2656" i="19"/>
  <c r="G2657" i="19"/>
  <c r="H2657" i="19"/>
  <c r="I2657" i="19"/>
  <c r="J2657" i="19"/>
  <c r="K2657" i="19"/>
  <c r="G2658" i="19"/>
  <c r="H2658" i="19"/>
  <c r="I2658" i="19"/>
  <c r="J2658" i="19"/>
  <c r="K2658" i="19"/>
  <c r="G2659" i="19"/>
  <c r="H2659" i="19"/>
  <c r="I2659" i="19"/>
  <c r="J2659" i="19"/>
  <c r="K2659" i="19"/>
  <c r="G2660" i="19"/>
  <c r="H2660" i="19"/>
  <c r="I2660" i="19"/>
  <c r="J2660" i="19"/>
  <c r="K2660" i="19"/>
  <c r="G2661" i="19"/>
  <c r="H2661" i="19"/>
  <c r="I2661" i="19"/>
  <c r="J2661" i="19"/>
  <c r="K2661" i="19"/>
  <c r="G2662" i="19"/>
  <c r="H2662" i="19"/>
  <c r="I2662" i="19"/>
  <c r="J2662" i="19"/>
  <c r="K2662" i="19"/>
  <c r="G2663" i="19"/>
  <c r="H2663" i="19"/>
  <c r="I2663" i="19"/>
  <c r="J2663" i="19"/>
  <c r="K2663" i="19"/>
  <c r="G2664" i="19"/>
  <c r="H2664" i="19"/>
  <c r="I2664" i="19"/>
  <c r="J2664" i="19"/>
  <c r="K2664" i="19"/>
  <c r="G2665" i="19"/>
  <c r="H2665" i="19"/>
  <c r="I2665" i="19"/>
  <c r="J2665" i="19"/>
  <c r="K2665" i="19"/>
  <c r="G2666" i="19"/>
  <c r="H2666" i="19"/>
  <c r="I2666" i="19"/>
  <c r="J2666" i="19"/>
  <c r="K2666" i="19"/>
  <c r="G2667" i="19"/>
  <c r="H2667" i="19"/>
  <c r="I2667" i="19"/>
  <c r="J2667" i="19"/>
  <c r="K2667" i="19"/>
  <c r="G2668" i="19"/>
  <c r="H2668" i="19"/>
  <c r="I2668" i="19"/>
  <c r="J2668" i="19"/>
  <c r="K2668" i="19"/>
  <c r="G2669" i="19"/>
  <c r="H2669" i="19"/>
  <c r="I2669" i="19"/>
  <c r="J2669" i="19"/>
  <c r="K2669" i="19"/>
  <c r="G2670" i="19"/>
  <c r="H2670" i="19"/>
  <c r="I2670" i="19"/>
  <c r="J2670" i="19"/>
  <c r="K2670" i="19"/>
  <c r="G2671" i="19"/>
  <c r="H2671" i="19"/>
  <c r="I2671" i="19"/>
  <c r="J2671" i="19"/>
  <c r="K2671" i="19"/>
  <c r="G2672" i="19"/>
  <c r="H2672" i="19"/>
  <c r="I2672" i="19"/>
  <c r="J2672" i="19"/>
  <c r="K2672" i="19"/>
  <c r="G2673" i="19"/>
  <c r="H2673" i="19"/>
  <c r="I2673" i="19"/>
  <c r="J2673" i="19"/>
  <c r="K2673" i="19"/>
  <c r="G2674" i="19"/>
  <c r="H2674" i="19"/>
  <c r="I2674" i="19"/>
  <c r="J2674" i="19"/>
  <c r="K2674" i="19"/>
  <c r="G2675" i="19"/>
  <c r="H2675" i="19"/>
  <c r="I2675" i="19"/>
  <c r="J2675" i="19"/>
  <c r="K2675" i="19"/>
  <c r="G2676" i="19"/>
  <c r="H2676" i="19"/>
  <c r="I2676" i="19"/>
  <c r="J2676" i="19"/>
  <c r="K2676" i="19"/>
  <c r="G2677" i="19"/>
  <c r="H2677" i="19"/>
  <c r="I2677" i="19"/>
  <c r="J2677" i="19"/>
  <c r="K2677" i="19"/>
  <c r="G2678" i="19"/>
  <c r="H2678" i="19"/>
  <c r="I2678" i="19"/>
  <c r="J2678" i="19"/>
  <c r="K2678" i="19"/>
  <c r="G2679" i="19"/>
  <c r="H2679" i="19"/>
  <c r="I2679" i="19"/>
  <c r="J2679" i="19"/>
  <c r="K2679" i="19"/>
  <c r="G2680" i="19"/>
  <c r="H2680" i="19"/>
  <c r="I2680" i="19"/>
  <c r="J2680" i="19"/>
  <c r="K2680" i="19"/>
  <c r="G2681" i="19"/>
  <c r="H2681" i="19"/>
  <c r="I2681" i="19"/>
  <c r="J2681" i="19"/>
  <c r="K2681" i="19"/>
  <c r="G2682" i="19"/>
  <c r="H2682" i="19"/>
  <c r="I2682" i="19"/>
  <c r="J2682" i="19"/>
  <c r="K2682" i="19"/>
  <c r="G2683" i="19"/>
  <c r="H2683" i="19"/>
  <c r="I2683" i="19"/>
  <c r="J2683" i="19"/>
  <c r="K2683" i="19"/>
  <c r="G2684" i="19"/>
  <c r="H2684" i="19"/>
  <c r="I2684" i="19"/>
  <c r="J2684" i="19"/>
  <c r="K2684" i="19"/>
  <c r="G2685" i="19"/>
  <c r="H2685" i="19"/>
  <c r="I2685" i="19"/>
  <c r="J2685" i="19"/>
  <c r="K2685" i="19"/>
  <c r="G2686" i="19"/>
  <c r="H2686" i="19"/>
  <c r="I2686" i="19"/>
  <c r="J2686" i="19"/>
  <c r="K2686" i="19"/>
  <c r="G2687" i="19"/>
  <c r="H2687" i="19"/>
  <c r="I2687" i="19"/>
  <c r="J2687" i="19"/>
  <c r="K2687" i="19"/>
  <c r="G2688" i="19"/>
  <c r="H2688" i="19"/>
  <c r="I2688" i="19"/>
  <c r="J2688" i="19"/>
  <c r="K2688" i="19"/>
  <c r="G2689" i="19"/>
  <c r="H2689" i="19"/>
  <c r="I2689" i="19"/>
  <c r="J2689" i="19"/>
  <c r="K2689" i="19"/>
  <c r="G2690" i="19"/>
  <c r="H2690" i="19"/>
  <c r="I2690" i="19"/>
  <c r="J2690" i="19"/>
  <c r="K2690" i="19"/>
  <c r="G2691" i="19"/>
  <c r="H2691" i="19"/>
  <c r="I2691" i="19"/>
  <c r="J2691" i="19"/>
  <c r="K2691" i="19"/>
  <c r="G2692" i="19"/>
  <c r="H2692" i="19"/>
  <c r="I2692" i="19"/>
  <c r="J2692" i="19"/>
  <c r="K2692" i="19"/>
  <c r="G2693" i="19"/>
  <c r="H2693" i="19"/>
  <c r="I2693" i="19"/>
  <c r="J2693" i="19"/>
  <c r="K2693" i="19"/>
  <c r="G2694" i="19"/>
  <c r="H2694" i="19"/>
  <c r="I2694" i="19"/>
  <c r="J2694" i="19"/>
  <c r="K2694" i="19"/>
  <c r="G2695" i="19"/>
  <c r="H2695" i="19"/>
  <c r="I2695" i="19"/>
  <c r="J2695" i="19"/>
  <c r="K2695" i="19"/>
  <c r="G2696" i="19"/>
  <c r="H2696" i="19"/>
  <c r="I2696" i="19"/>
  <c r="J2696" i="19"/>
  <c r="K2696" i="19"/>
  <c r="G2697" i="19"/>
  <c r="H2697" i="19"/>
  <c r="I2697" i="19"/>
  <c r="J2697" i="19"/>
  <c r="K2697" i="19"/>
  <c r="G2698" i="19"/>
  <c r="H2698" i="19"/>
  <c r="I2698" i="19"/>
  <c r="J2698" i="19"/>
  <c r="K2698" i="19"/>
  <c r="G2699" i="19"/>
  <c r="H2699" i="19"/>
  <c r="I2699" i="19"/>
  <c r="J2699" i="19"/>
  <c r="K2699" i="19"/>
  <c r="G2700" i="19"/>
  <c r="H2700" i="19"/>
  <c r="I2700" i="19"/>
  <c r="J2700" i="19"/>
  <c r="K2700" i="19"/>
  <c r="G2701" i="19"/>
  <c r="H2701" i="19"/>
  <c r="I2701" i="19"/>
  <c r="J2701" i="19"/>
  <c r="K2701" i="19"/>
  <c r="G2702" i="19"/>
  <c r="H2702" i="19"/>
  <c r="I2702" i="19"/>
  <c r="J2702" i="19"/>
  <c r="K2702" i="19"/>
  <c r="G2703" i="19"/>
  <c r="H2703" i="19"/>
  <c r="I2703" i="19"/>
  <c r="J2703" i="19"/>
  <c r="K2703" i="19"/>
  <c r="G2704" i="19"/>
  <c r="H2704" i="19"/>
  <c r="I2704" i="19"/>
  <c r="J2704" i="19"/>
  <c r="K2704" i="19"/>
  <c r="G2705" i="19"/>
  <c r="H2705" i="19"/>
  <c r="I2705" i="19"/>
  <c r="J2705" i="19"/>
  <c r="K2705" i="19"/>
  <c r="G2706" i="19"/>
  <c r="H2706" i="19"/>
  <c r="I2706" i="19"/>
  <c r="J2706" i="19"/>
  <c r="K2706" i="19"/>
  <c r="G2707" i="19"/>
  <c r="H2707" i="19"/>
  <c r="I2707" i="19"/>
  <c r="J2707" i="19"/>
  <c r="K2707" i="19"/>
  <c r="G2708" i="19"/>
  <c r="H2708" i="19"/>
  <c r="I2708" i="19"/>
  <c r="J2708" i="19"/>
  <c r="K2708" i="19"/>
  <c r="G2709" i="19"/>
  <c r="H2709" i="19"/>
  <c r="I2709" i="19"/>
  <c r="J2709" i="19"/>
  <c r="K2709" i="19"/>
  <c r="G2710" i="19"/>
  <c r="H2710" i="19"/>
  <c r="I2710" i="19"/>
  <c r="J2710" i="19"/>
  <c r="K2710" i="19"/>
  <c r="G2711" i="19"/>
  <c r="H2711" i="19"/>
  <c r="I2711" i="19"/>
  <c r="J2711" i="19"/>
  <c r="K2711" i="19"/>
  <c r="G2712" i="19"/>
  <c r="H2712" i="19"/>
  <c r="I2712" i="19"/>
  <c r="J2712" i="19"/>
  <c r="K2712" i="19"/>
  <c r="G2713" i="19"/>
  <c r="H2713" i="19"/>
  <c r="I2713" i="19"/>
  <c r="J2713" i="19"/>
  <c r="K2713" i="19"/>
  <c r="G2714" i="19"/>
  <c r="H2714" i="19"/>
  <c r="I2714" i="19"/>
  <c r="J2714" i="19"/>
  <c r="K2714" i="19"/>
  <c r="G2715" i="19"/>
  <c r="H2715" i="19"/>
  <c r="I2715" i="19"/>
  <c r="J2715" i="19"/>
  <c r="K2715" i="19"/>
  <c r="G2716" i="19"/>
  <c r="H2716" i="19"/>
  <c r="I2716" i="19"/>
  <c r="J2716" i="19"/>
  <c r="K2716" i="19"/>
  <c r="G2717" i="19"/>
  <c r="H2717" i="19"/>
  <c r="I2717" i="19"/>
  <c r="J2717" i="19"/>
  <c r="K2717" i="19"/>
  <c r="G2718" i="19"/>
  <c r="H2718" i="19"/>
  <c r="I2718" i="19"/>
  <c r="J2718" i="19"/>
  <c r="K2718" i="19"/>
  <c r="G2719" i="19"/>
  <c r="H2719" i="19"/>
  <c r="I2719" i="19"/>
  <c r="J2719" i="19"/>
  <c r="K2719" i="19"/>
  <c r="G2720" i="19"/>
  <c r="H2720" i="19"/>
  <c r="I2720" i="19"/>
  <c r="J2720" i="19"/>
  <c r="K2720" i="19"/>
  <c r="G2721" i="19"/>
  <c r="H2721" i="19"/>
  <c r="I2721" i="19"/>
  <c r="J2721" i="19"/>
  <c r="K2721" i="19"/>
  <c r="G2722" i="19"/>
  <c r="H2722" i="19"/>
  <c r="I2722" i="19"/>
  <c r="J2722" i="19"/>
  <c r="K2722" i="19"/>
  <c r="G2723" i="19"/>
  <c r="H2723" i="19"/>
  <c r="I2723" i="19"/>
  <c r="J2723" i="19"/>
  <c r="K2723" i="19"/>
  <c r="G2724" i="19"/>
  <c r="H2724" i="19"/>
  <c r="I2724" i="19"/>
  <c r="J2724" i="19"/>
  <c r="K2724" i="19"/>
  <c r="G2725" i="19"/>
  <c r="H2725" i="19"/>
  <c r="I2725" i="19"/>
  <c r="J2725" i="19"/>
  <c r="K2725" i="19"/>
  <c r="G2726" i="19"/>
  <c r="H2726" i="19"/>
  <c r="I2726" i="19"/>
  <c r="J2726" i="19"/>
  <c r="K2726" i="19"/>
  <c r="G2727" i="19"/>
  <c r="H2727" i="19"/>
  <c r="I2727" i="19"/>
  <c r="J2727" i="19"/>
  <c r="K2727" i="19"/>
  <c r="G2728" i="19"/>
  <c r="H2728" i="19"/>
  <c r="I2728" i="19"/>
  <c r="J2728" i="19"/>
  <c r="K2728" i="19"/>
  <c r="G2729" i="19"/>
  <c r="H2729" i="19"/>
  <c r="I2729" i="19"/>
  <c r="J2729" i="19"/>
  <c r="K2729" i="19"/>
  <c r="G2730" i="19"/>
  <c r="H2730" i="19"/>
  <c r="I2730" i="19"/>
  <c r="J2730" i="19"/>
  <c r="K2730" i="19"/>
  <c r="G2731" i="19"/>
  <c r="H2731" i="19"/>
  <c r="I2731" i="19"/>
  <c r="J2731" i="19"/>
  <c r="K2731" i="19"/>
  <c r="G2732" i="19"/>
  <c r="H2732" i="19"/>
  <c r="I2732" i="19"/>
  <c r="J2732" i="19"/>
  <c r="K2732" i="19"/>
  <c r="G2733" i="19"/>
  <c r="H2733" i="19"/>
  <c r="I2733" i="19"/>
  <c r="J2733" i="19"/>
  <c r="K2733" i="19"/>
  <c r="G2734" i="19"/>
  <c r="H2734" i="19"/>
  <c r="I2734" i="19"/>
  <c r="J2734" i="19"/>
  <c r="K2734" i="19"/>
  <c r="G2735" i="19"/>
  <c r="H2735" i="19"/>
  <c r="I2735" i="19"/>
  <c r="J2735" i="19"/>
  <c r="K2735" i="19"/>
  <c r="G2736" i="19"/>
  <c r="H2736" i="19"/>
  <c r="I2736" i="19"/>
  <c r="J2736" i="19"/>
  <c r="K2736" i="19"/>
  <c r="G2737" i="19"/>
  <c r="H2737" i="19"/>
  <c r="I2737" i="19"/>
  <c r="J2737" i="19"/>
  <c r="K2737" i="19"/>
  <c r="G2738" i="19"/>
  <c r="H2738" i="19"/>
  <c r="I2738" i="19"/>
  <c r="J2738" i="19"/>
  <c r="K2738" i="19"/>
  <c r="G2739" i="19"/>
  <c r="H2739" i="19"/>
  <c r="I2739" i="19"/>
  <c r="J2739" i="19"/>
  <c r="K2739" i="19"/>
  <c r="G2740" i="19"/>
  <c r="H2740" i="19"/>
  <c r="I2740" i="19"/>
  <c r="J2740" i="19"/>
  <c r="K2740" i="19"/>
  <c r="G2741" i="19"/>
  <c r="H2741" i="19"/>
  <c r="I2741" i="19"/>
  <c r="J2741" i="19"/>
  <c r="K2741" i="19"/>
  <c r="G2742" i="19"/>
  <c r="H2742" i="19"/>
  <c r="I2742" i="19"/>
  <c r="J2742" i="19"/>
  <c r="K2742" i="19"/>
  <c r="G2743" i="19"/>
  <c r="H2743" i="19"/>
  <c r="I2743" i="19"/>
  <c r="J2743" i="19"/>
  <c r="K2743" i="19"/>
  <c r="G2744" i="19"/>
  <c r="H2744" i="19"/>
  <c r="I2744" i="19"/>
  <c r="J2744" i="19"/>
  <c r="K2744" i="19"/>
  <c r="G2745" i="19"/>
  <c r="H2745" i="19"/>
  <c r="I2745" i="19"/>
  <c r="J2745" i="19"/>
  <c r="K2745" i="19"/>
  <c r="G2746" i="19"/>
  <c r="H2746" i="19"/>
  <c r="I2746" i="19"/>
  <c r="J2746" i="19"/>
  <c r="K2746" i="19"/>
  <c r="G2747" i="19"/>
  <c r="H2747" i="19"/>
  <c r="I2747" i="19"/>
  <c r="J2747" i="19"/>
  <c r="K2747" i="19"/>
  <c r="G2748" i="19"/>
  <c r="H2748" i="19"/>
  <c r="I2748" i="19"/>
  <c r="J2748" i="19"/>
  <c r="K2748" i="19"/>
  <c r="G2749" i="19"/>
  <c r="H2749" i="19"/>
  <c r="I2749" i="19"/>
  <c r="J2749" i="19"/>
  <c r="K2749" i="19"/>
  <c r="G2750" i="19"/>
  <c r="H2750" i="19"/>
  <c r="I2750" i="19"/>
  <c r="J2750" i="19"/>
  <c r="K2750" i="19"/>
  <c r="G2751" i="19"/>
  <c r="H2751" i="19"/>
  <c r="I2751" i="19"/>
  <c r="J2751" i="19"/>
  <c r="K2751" i="19"/>
  <c r="G2752" i="19"/>
  <c r="H2752" i="19"/>
  <c r="I2752" i="19"/>
  <c r="J2752" i="19"/>
  <c r="K2752" i="19"/>
  <c r="G2753" i="19"/>
  <c r="H2753" i="19"/>
  <c r="I2753" i="19"/>
  <c r="J2753" i="19"/>
  <c r="K2753" i="19"/>
  <c r="G2754" i="19"/>
  <c r="H2754" i="19"/>
  <c r="I2754" i="19"/>
  <c r="J2754" i="19"/>
  <c r="K2754" i="19"/>
  <c r="G2755" i="19"/>
  <c r="H2755" i="19"/>
  <c r="I2755" i="19"/>
  <c r="J2755" i="19"/>
  <c r="K2755" i="19"/>
  <c r="G2756" i="19"/>
  <c r="H2756" i="19"/>
  <c r="I2756" i="19"/>
  <c r="J2756" i="19"/>
  <c r="K2756" i="19"/>
  <c r="G2757" i="19"/>
  <c r="H2757" i="19"/>
  <c r="I2757" i="19"/>
  <c r="J2757" i="19"/>
  <c r="K2757" i="19"/>
  <c r="G2758" i="19"/>
  <c r="H2758" i="19"/>
  <c r="I2758" i="19"/>
  <c r="J2758" i="19"/>
  <c r="K2758" i="19"/>
  <c r="G2759" i="19"/>
  <c r="H2759" i="19"/>
  <c r="I2759" i="19"/>
  <c r="J2759" i="19"/>
  <c r="K2759" i="19"/>
  <c r="G2760" i="19"/>
  <c r="H2760" i="19"/>
  <c r="I2760" i="19"/>
  <c r="J2760" i="19"/>
  <c r="K2760" i="19"/>
  <c r="G2761" i="19"/>
  <c r="H2761" i="19"/>
  <c r="I2761" i="19"/>
  <c r="J2761" i="19"/>
  <c r="K2761" i="19"/>
  <c r="G2762" i="19"/>
  <c r="H2762" i="19"/>
  <c r="I2762" i="19"/>
  <c r="J2762" i="19"/>
  <c r="K2762" i="19"/>
  <c r="G2763" i="19"/>
  <c r="H2763" i="19"/>
  <c r="I2763" i="19"/>
  <c r="J2763" i="19"/>
  <c r="K2763" i="19"/>
  <c r="G2764" i="19"/>
  <c r="H2764" i="19"/>
  <c r="I2764" i="19"/>
  <c r="J2764" i="19"/>
  <c r="K2764" i="19"/>
  <c r="G2765" i="19"/>
  <c r="H2765" i="19"/>
  <c r="I2765" i="19"/>
  <c r="J2765" i="19"/>
  <c r="K2765" i="19"/>
  <c r="G2766" i="19"/>
  <c r="H2766" i="19"/>
  <c r="I2766" i="19"/>
  <c r="J2766" i="19"/>
  <c r="K2766" i="19"/>
  <c r="G2767" i="19"/>
  <c r="H2767" i="19"/>
  <c r="I2767" i="19"/>
  <c r="J2767" i="19"/>
  <c r="K2767" i="19"/>
  <c r="G2768" i="19"/>
  <c r="H2768" i="19"/>
  <c r="I2768" i="19"/>
  <c r="J2768" i="19"/>
  <c r="K2768" i="19"/>
  <c r="G2769" i="19"/>
  <c r="H2769" i="19"/>
  <c r="I2769" i="19"/>
  <c r="J2769" i="19"/>
  <c r="K2769" i="19"/>
  <c r="G2770" i="19"/>
  <c r="H2770" i="19"/>
  <c r="I2770" i="19"/>
  <c r="J2770" i="19"/>
  <c r="K2770" i="19"/>
  <c r="G2771" i="19"/>
  <c r="H2771" i="19"/>
  <c r="I2771" i="19"/>
  <c r="J2771" i="19"/>
  <c r="K2771" i="19"/>
  <c r="G2772" i="19"/>
  <c r="H2772" i="19"/>
  <c r="I2772" i="19"/>
  <c r="J2772" i="19"/>
  <c r="K2772" i="19"/>
  <c r="G2773" i="19"/>
  <c r="H2773" i="19"/>
  <c r="I2773" i="19"/>
  <c r="J2773" i="19"/>
  <c r="K2773" i="19"/>
  <c r="G2774" i="19"/>
  <c r="H2774" i="19"/>
  <c r="I2774" i="19"/>
  <c r="J2774" i="19"/>
  <c r="K2774" i="19"/>
  <c r="G2775" i="19"/>
  <c r="H2775" i="19"/>
  <c r="I2775" i="19"/>
  <c r="J2775" i="19"/>
  <c r="K2775" i="19"/>
  <c r="G2776" i="19"/>
  <c r="H2776" i="19"/>
  <c r="I2776" i="19"/>
  <c r="J2776" i="19"/>
  <c r="K2776" i="19"/>
  <c r="G2777" i="19"/>
  <c r="H2777" i="19"/>
  <c r="I2777" i="19"/>
  <c r="J2777" i="19"/>
  <c r="K2777" i="19"/>
  <c r="G2778" i="19"/>
  <c r="H2778" i="19"/>
  <c r="I2778" i="19"/>
  <c r="J2778" i="19"/>
  <c r="K2778" i="19"/>
  <c r="G2779" i="19"/>
  <c r="H2779" i="19"/>
  <c r="I2779" i="19"/>
  <c r="J2779" i="19"/>
  <c r="K2779" i="19"/>
  <c r="G2780" i="19"/>
  <c r="H2780" i="19"/>
  <c r="I2780" i="19"/>
  <c r="J2780" i="19"/>
  <c r="K2780" i="19"/>
  <c r="G2781" i="19"/>
  <c r="H2781" i="19"/>
  <c r="I2781" i="19"/>
  <c r="J2781" i="19"/>
  <c r="K2781" i="19"/>
  <c r="G2782" i="19"/>
  <c r="H2782" i="19"/>
  <c r="I2782" i="19"/>
  <c r="J2782" i="19"/>
  <c r="K2782" i="19"/>
  <c r="G2783" i="19"/>
  <c r="H2783" i="19"/>
  <c r="I2783" i="19"/>
  <c r="J2783" i="19"/>
  <c r="K2783" i="19"/>
  <c r="G2784" i="19"/>
  <c r="H2784" i="19"/>
  <c r="I2784" i="19"/>
  <c r="J2784" i="19"/>
  <c r="K2784" i="19"/>
  <c r="G2785" i="19"/>
  <c r="H2785" i="19"/>
  <c r="I2785" i="19"/>
  <c r="J2785" i="19"/>
  <c r="K2785" i="19"/>
  <c r="G2786" i="19"/>
  <c r="H2786" i="19"/>
  <c r="I2786" i="19"/>
  <c r="J2786" i="19"/>
  <c r="K2786" i="19"/>
  <c r="G2787" i="19"/>
  <c r="H2787" i="19"/>
  <c r="I2787" i="19"/>
  <c r="J2787" i="19"/>
  <c r="K2787" i="19"/>
  <c r="G2788" i="19"/>
  <c r="H2788" i="19"/>
  <c r="I2788" i="19"/>
  <c r="J2788" i="19"/>
  <c r="K2788" i="19"/>
  <c r="G2789" i="19"/>
  <c r="H2789" i="19"/>
  <c r="I2789" i="19"/>
  <c r="J2789" i="19"/>
  <c r="K2789" i="19"/>
  <c r="G2790" i="19"/>
  <c r="H2790" i="19"/>
  <c r="I2790" i="19"/>
  <c r="J2790" i="19"/>
  <c r="K2790" i="19"/>
  <c r="G2791" i="19"/>
  <c r="H2791" i="19"/>
  <c r="I2791" i="19"/>
  <c r="J2791" i="19"/>
  <c r="K2791" i="19"/>
  <c r="G2792" i="19"/>
  <c r="H2792" i="19"/>
  <c r="I2792" i="19"/>
  <c r="J2792" i="19"/>
  <c r="K2792" i="19"/>
  <c r="G2793" i="19"/>
  <c r="H2793" i="19"/>
  <c r="I2793" i="19"/>
  <c r="J2793" i="19"/>
  <c r="K2793" i="19"/>
  <c r="G2794" i="19"/>
  <c r="H2794" i="19"/>
  <c r="I2794" i="19"/>
  <c r="J2794" i="19"/>
  <c r="K2794" i="19"/>
  <c r="G2795" i="19"/>
  <c r="H2795" i="19"/>
  <c r="I2795" i="19"/>
  <c r="J2795" i="19"/>
  <c r="K2795" i="19"/>
  <c r="G2796" i="19"/>
  <c r="H2796" i="19"/>
  <c r="I2796" i="19"/>
  <c r="J2796" i="19"/>
  <c r="K2796" i="19"/>
  <c r="G2797" i="19"/>
  <c r="H2797" i="19"/>
  <c r="I2797" i="19"/>
  <c r="J2797" i="19"/>
  <c r="K2797" i="19"/>
  <c r="G2798" i="19"/>
  <c r="H2798" i="19"/>
  <c r="I2798" i="19"/>
  <c r="J2798" i="19"/>
  <c r="K2798" i="19"/>
  <c r="G2799" i="19"/>
  <c r="H2799" i="19"/>
  <c r="I2799" i="19"/>
  <c r="J2799" i="19"/>
  <c r="K2799" i="19"/>
  <c r="G2800" i="19"/>
  <c r="H2800" i="19"/>
  <c r="I2800" i="19"/>
  <c r="J2800" i="19"/>
  <c r="K2800" i="19"/>
  <c r="G2801" i="19"/>
  <c r="H2801" i="19"/>
  <c r="I2801" i="19"/>
  <c r="J2801" i="19"/>
  <c r="K2801" i="19"/>
  <c r="G2802" i="19"/>
  <c r="H2802" i="19"/>
  <c r="I2802" i="19"/>
  <c r="J2802" i="19"/>
  <c r="K2802" i="19"/>
  <c r="G2803" i="19"/>
  <c r="H2803" i="19"/>
  <c r="I2803" i="19"/>
  <c r="J2803" i="19"/>
  <c r="K2803" i="19"/>
  <c r="G2804" i="19"/>
  <c r="H2804" i="19"/>
  <c r="I2804" i="19"/>
  <c r="J2804" i="19"/>
  <c r="K2804" i="19"/>
  <c r="G2805" i="19"/>
  <c r="H2805" i="19"/>
  <c r="I2805" i="19"/>
  <c r="J2805" i="19"/>
  <c r="K2805" i="19"/>
  <c r="G2806" i="19"/>
  <c r="H2806" i="19"/>
  <c r="I2806" i="19"/>
  <c r="J2806" i="19"/>
  <c r="K2806" i="19"/>
  <c r="G2807" i="19"/>
  <c r="H2807" i="19"/>
  <c r="I2807" i="19"/>
  <c r="J2807" i="19"/>
  <c r="K2807" i="19"/>
  <c r="G2808" i="19"/>
  <c r="H2808" i="19"/>
  <c r="I2808" i="19"/>
  <c r="J2808" i="19"/>
  <c r="K2808" i="19"/>
  <c r="G2809" i="19"/>
  <c r="H2809" i="19"/>
  <c r="I2809" i="19"/>
  <c r="J2809" i="19"/>
  <c r="K2809" i="19"/>
  <c r="G2810" i="19"/>
  <c r="H2810" i="19"/>
  <c r="I2810" i="19"/>
  <c r="J2810" i="19"/>
  <c r="K2810" i="19"/>
  <c r="G2811" i="19"/>
  <c r="H2811" i="19"/>
  <c r="I2811" i="19"/>
  <c r="J2811" i="19"/>
  <c r="K2811" i="19"/>
  <c r="G2812" i="19"/>
  <c r="H2812" i="19"/>
  <c r="I2812" i="19"/>
  <c r="J2812" i="19"/>
  <c r="K2812" i="19"/>
  <c r="G2813" i="19"/>
  <c r="H2813" i="19"/>
  <c r="I2813" i="19"/>
  <c r="J2813" i="19"/>
  <c r="K2813" i="19"/>
  <c r="G2814" i="19"/>
  <c r="H2814" i="19"/>
  <c r="I2814" i="19"/>
  <c r="J2814" i="19"/>
  <c r="K2814" i="19"/>
  <c r="G2815" i="19"/>
  <c r="H2815" i="19"/>
  <c r="I2815" i="19"/>
  <c r="J2815" i="19"/>
  <c r="K2815" i="19"/>
  <c r="G2816" i="19"/>
  <c r="H2816" i="19"/>
  <c r="I2816" i="19"/>
  <c r="J2816" i="19"/>
  <c r="K2816" i="19"/>
  <c r="G2817" i="19"/>
  <c r="H2817" i="19"/>
  <c r="I2817" i="19"/>
  <c r="J2817" i="19"/>
  <c r="K2817" i="19"/>
  <c r="G2818" i="19"/>
  <c r="H2818" i="19"/>
  <c r="I2818" i="19"/>
  <c r="J2818" i="19"/>
  <c r="K2818" i="19"/>
  <c r="G2819" i="19"/>
  <c r="H2819" i="19"/>
  <c r="I2819" i="19"/>
  <c r="J2819" i="19"/>
  <c r="K2819" i="19"/>
  <c r="G2820" i="19"/>
  <c r="H2820" i="19"/>
  <c r="I2820" i="19"/>
  <c r="J2820" i="19"/>
  <c r="K2820" i="19"/>
  <c r="G2821" i="19"/>
  <c r="H2821" i="19"/>
  <c r="I2821" i="19"/>
  <c r="J2821" i="19"/>
  <c r="K2821" i="19"/>
  <c r="G2822" i="19"/>
  <c r="H2822" i="19"/>
  <c r="I2822" i="19"/>
  <c r="J2822" i="19"/>
  <c r="K2822" i="19"/>
  <c r="G2823" i="19"/>
  <c r="H2823" i="19"/>
  <c r="I2823" i="19"/>
  <c r="J2823" i="19"/>
  <c r="K2823" i="19"/>
  <c r="G2824" i="19"/>
  <c r="H2824" i="19"/>
  <c r="I2824" i="19"/>
  <c r="J2824" i="19"/>
  <c r="K2824" i="19"/>
  <c r="G2825" i="19"/>
  <c r="H2825" i="19"/>
  <c r="I2825" i="19"/>
  <c r="J2825" i="19"/>
  <c r="K2825" i="19"/>
  <c r="G2826" i="19"/>
  <c r="H2826" i="19"/>
  <c r="I2826" i="19"/>
  <c r="J2826" i="19"/>
  <c r="K2826" i="19"/>
  <c r="G2827" i="19"/>
  <c r="H2827" i="19"/>
  <c r="I2827" i="19"/>
  <c r="J2827" i="19"/>
  <c r="K2827" i="19"/>
  <c r="G2828" i="19"/>
  <c r="H2828" i="19"/>
  <c r="I2828" i="19"/>
  <c r="J2828" i="19"/>
  <c r="K2828" i="19"/>
  <c r="G2829" i="19"/>
  <c r="H2829" i="19"/>
  <c r="I2829" i="19"/>
  <c r="J2829" i="19"/>
  <c r="K2829" i="19"/>
  <c r="G2830" i="19"/>
  <c r="H2830" i="19"/>
  <c r="I2830" i="19"/>
  <c r="J2830" i="19"/>
  <c r="K2830" i="19"/>
  <c r="G2831" i="19"/>
  <c r="H2831" i="19"/>
  <c r="I2831" i="19"/>
  <c r="J2831" i="19"/>
  <c r="K2831" i="19"/>
  <c r="G2832" i="19"/>
  <c r="H2832" i="19"/>
  <c r="I2832" i="19"/>
  <c r="J2832" i="19"/>
  <c r="K2832" i="19"/>
  <c r="G2833" i="19"/>
  <c r="H2833" i="19"/>
  <c r="I2833" i="19"/>
  <c r="J2833" i="19"/>
  <c r="K2833" i="19"/>
  <c r="G2834" i="19"/>
  <c r="H2834" i="19"/>
  <c r="I2834" i="19"/>
  <c r="J2834" i="19"/>
  <c r="K2834" i="19"/>
  <c r="G2835" i="19"/>
  <c r="H2835" i="19"/>
  <c r="I2835" i="19"/>
  <c r="J2835" i="19"/>
  <c r="K2835" i="19"/>
  <c r="G2836" i="19"/>
  <c r="H2836" i="19"/>
  <c r="I2836" i="19"/>
  <c r="J2836" i="19"/>
  <c r="K2836" i="19"/>
  <c r="G2837" i="19"/>
  <c r="H2837" i="19"/>
  <c r="I2837" i="19"/>
  <c r="J2837" i="19"/>
  <c r="K2837" i="19"/>
  <c r="G2838" i="19"/>
  <c r="H2838" i="19"/>
  <c r="I2838" i="19"/>
  <c r="J2838" i="19"/>
  <c r="K2838" i="19"/>
  <c r="G2839" i="19"/>
  <c r="H2839" i="19"/>
  <c r="I2839" i="19"/>
  <c r="J2839" i="19"/>
  <c r="K2839" i="19"/>
  <c r="G2840" i="19"/>
  <c r="H2840" i="19"/>
  <c r="I2840" i="19"/>
  <c r="J2840" i="19"/>
  <c r="K2840" i="19"/>
  <c r="G2841" i="19"/>
  <c r="H2841" i="19"/>
  <c r="I2841" i="19"/>
  <c r="J2841" i="19"/>
  <c r="K2841" i="19"/>
  <c r="G2842" i="19"/>
  <c r="H2842" i="19"/>
  <c r="I2842" i="19"/>
  <c r="J2842" i="19"/>
  <c r="K2842" i="19"/>
  <c r="G2843" i="19"/>
  <c r="H2843" i="19"/>
  <c r="I2843" i="19"/>
  <c r="J2843" i="19"/>
  <c r="K2843" i="19"/>
  <c r="G2844" i="19"/>
  <c r="H2844" i="19"/>
  <c r="I2844" i="19"/>
  <c r="J2844" i="19"/>
  <c r="K2844" i="19"/>
  <c r="G2845" i="19"/>
  <c r="H2845" i="19"/>
  <c r="I2845" i="19"/>
  <c r="J2845" i="19"/>
  <c r="K2845" i="19"/>
  <c r="G2846" i="19"/>
  <c r="H2846" i="19"/>
  <c r="I2846" i="19"/>
  <c r="J2846" i="19"/>
  <c r="K2846" i="19"/>
  <c r="G2847" i="19"/>
  <c r="H2847" i="19"/>
  <c r="I2847" i="19"/>
  <c r="J2847" i="19"/>
  <c r="K2847" i="19"/>
  <c r="G2848" i="19"/>
  <c r="H2848" i="19"/>
  <c r="I2848" i="19"/>
  <c r="J2848" i="19"/>
  <c r="K2848" i="19"/>
  <c r="G2849" i="19"/>
  <c r="H2849" i="19"/>
  <c r="I2849" i="19"/>
  <c r="J2849" i="19"/>
  <c r="K2849" i="19"/>
  <c r="G2850" i="19"/>
  <c r="H2850" i="19"/>
  <c r="I2850" i="19"/>
  <c r="J2850" i="19"/>
  <c r="K2850" i="19"/>
  <c r="G2851" i="19"/>
  <c r="H2851" i="19"/>
  <c r="I2851" i="19"/>
  <c r="J2851" i="19"/>
  <c r="K2851" i="19"/>
  <c r="G2852" i="19"/>
  <c r="H2852" i="19"/>
  <c r="I2852" i="19"/>
  <c r="J2852" i="19"/>
  <c r="K2852" i="19"/>
  <c r="G2853" i="19"/>
  <c r="H2853" i="19"/>
  <c r="I2853" i="19"/>
  <c r="J2853" i="19"/>
  <c r="K2853" i="19"/>
  <c r="G2854" i="19"/>
  <c r="H2854" i="19"/>
  <c r="I2854" i="19"/>
  <c r="J2854" i="19"/>
  <c r="K2854" i="19"/>
  <c r="G2855" i="19"/>
  <c r="H2855" i="19"/>
  <c r="I2855" i="19"/>
  <c r="J2855" i="19"/>
  <c r="K2855" i="19"/>
  <c r="G2856" i="19"/>
  <c r="H2856" i="19"/>
  <c r="I2856" i="19"/>
  <c r="J2856" i="19"/>
  <c r="K2856" i="19"/>
  <c r="G2857" i="19"/>
  <c r="H2857" i="19"/>
  <c r="I2857" i="19"/>
  <c r="J2857" i="19"/>
  <c r="K2857" i="19"/>
  <c r="G2858" i="19"/>
  <c r="H2858" i="19"/>
  <c r="I2858" i="19"/>
  <c r="J2858" i="19"/>
  <c r="K2858" i="19"/>
  <c r="G2859" i="19"/>
  <c r="H2859" i="19"/>
  <c r="I2859" i="19"/>
  <c r="J2859" i="19"/>
  <c r="K2859" i="19"/>
  <c r="G2860" i="19"/>
  <c r="H2860" i="19"/>
  <c r="I2860" i="19"/>
  <c r="J2860" i="19"/>
  <c r="K2860" i="19"/>
  <c r="G2861" i="19"/>
  <c r="H2861" i="19"/>
  <c r="I2861" i="19"/>
  <c r="J2861" i="19"/>
  <c r="K2861" i="19"/>
  <c r="G2862" i="19"/>
  <c r="H2862" i="19"/>
  <c r="I2862" i="19"/>
  <c r="J2862" i="19"/>
  <c r="K2862" i="19"/>
  <c r="G2863" i="19"/>
  <c r="H2863" i="19"/>
  <c r="I2863" i="19"/>
  <c r="J2863" i="19"/>
  <c r="K2863" i="19"/>
  <c r="G2864" i="19"/>
  <c r="H2864" i="19"/>
  <c r="I2864" i="19"/>
  <c r="J2864" i="19"/>
  <c r="K2864" i="19"/>
  <c r="G2865" i="19"/>
  <c r="H2865" i="19"/>
  <c r="I2865" i="19"/>
  <c r="J2865" i="19"/>
  <c r="K2865" i="19"/>
  <c r="G2866" i="19"/>
  <c r="H2866" i="19"/>
  <c r="I2866" i="19"/>
  <c r="J2866" i="19"/>
  <c r="K2866" i="19"/>
  <c r="G2867" i="19"/>
  <c r="H2867" i="19"/>
  <c r="I2867" i="19"/>
  <c r="J2867" i="19"/>
  <c r="K2867" i="19"/>
  <c r="G2868" i="19"/>
  <c r="H2868" i="19"/>
  <c r="I2868" i="19"/>
  <c r="J2868" i="19"/>
  <c r="K2868" i="19"/>
  <c r="G2869" i="19"/>
  <c r="H2869" i="19"/>
  <c r="I2869" i="19"/>
  <c r="J2869" i="19"/>
  <c r="K2869" i="19"/>
  <c r="G2870" i="19"/>
  <c r="H2870" i="19"/>
  <c r="I2870" i="19"/>
  <c r="J2870" i="19"/>
  <c r="K2870" i="19"/>
  <c r="G2871" i="19"/>
  <c r="H2871" i="19"/>
  <c r="I2871" i="19"/>
  <c r="J2871" i="19"/>
  <c r="K2871" i="19"/>
  <c r="G2872" i="19"/>
  <c r="H2872" i="19"/>
  <c r="I2872" i="19"/>
  <c r="J2872" i="19"/>
  <c r="K2872" i="19"/>
  <c r="G2873" i="19"/>
  <c r="H2873" i="19"/>
  <c r="I2873" i="19"/>
  <c r="J2873" i="19"/>
  <c r="K2873" i="19"/>
  <c r="G2874" i="19"/>
  <c r="H2874" i="19"/>
  <c r="I2874" i="19"/>
  <c r="J2874" i="19"/>
  <c r="K2874" i="19"/>
  <c r="G2875" i="19"/>
  <c r="H2875" i="19"/>
  <c r="I2875" i="19"/>
  <c r="J2875" i="19"/>
  <c r="K2875" i="19"/>
  <c r="G2876" i="19"/>
  <c r="H2876" i="19"/>
  <c r="I2876" i="19"/>
  <c r="J2876" i="19"/>
  <c r="K2876" i="19"/>
  <c r="G2877" i="19"/>
  <c r="H2877" i="19"/>
  <c r="I2877" i="19"/>
  <c r="J2877" i="19"/>
  <c r="K2877" i="19"/>
  <c r="G2878" i="19"/>
  <c r="H2878" i="19"/>
  <c r="I2878" i="19"/>
  <c r="J2878" i="19"/>
  <c r="K2878" i="19"/>
  <c r="G2879" i="19"/>
  <c r="H2879" i="19"/>
  <c r="I2879" i="19"/>
  <c r="J2879" i="19"/>
  <c r="K2879" i="19"/>
  <c r="G2880" i="19"/>
  <c r="H2880" i="19"/>
  <c r="I2880" i="19"/>
  <c r="J2880" i="19"/>
  <c r="K2880" i="19"/>
  <c r="G2881" i="19"/>
  <c r="H2881" i="19"/>
  <c r="I2881" i="19"/>
  <c r="J2881" i="19"/>
  <c r="K2881" i="19"/>
  <c r="G2882" i="19"/>
  <c r="H2882" i="19"/>
  <c r="I2882" i="19"/>
  <c r="J2882" i="19"/>
  <c r="K2882" i="19"/>
  <c r="G2883" i="19"/>
  <c r="H2883" i="19"/>
  <c r="I2883" i="19"/>
  <c r="J2883" i="19"/>
  <c r="K2883" i="19"/>
  <c r="G2884" i="19"/>
  <c r="H2884" i="19"/>
  <c r="I2884" i="19"/>
  <c r="J2884" i="19"/>
  <c r="K2884" i="19"/>
  <c r="G2885" i="19"/>
  <c r="H2885" i="19"/>
  <c r="I2885" i="19"/>
  <c r="J2885" i="19"/>
  <c r="K2885" i="19"/>
  <c r="G2886" i="19"/>
  <c r="H2886" i="19"/>
  <c r="I2886" i="19"/>
  <c r="J2886" i="19"/>
  <c r="K2886" i="19"/>
  <c r="G2887" i="19"/>
  <c r="H2887" i="19"/>
  <c r="I2887" i="19"/>
  <c r="J2887" i="19"/>
  <c r="K2887" i="19"/>
  <c r="G2888" i="19"/>
  <c r="H2888" i="19"/>
  <c r="I2888" i="19"/>
  <c r="J2888" i="19"/>
  <c r="K2888" i="19"/>
  <c r="G2889" i="19"/>
  <c r="H2889" i="19"/>
  <c r="I2889" i="19"/>
  <c r="J2889" i="19"/>
  <c r="K2889" i="19"/>
  <c r="G2890" i="19"/>
  <c r="H2890" i="19"/>
  <c r="I2890" i="19"/>
  <c r="J2890" i="19"/>
  <c r="K2890" i="19"/>
  <c r="G2891" i="19"/>
  <c r="H2891" i="19"/>
  <c r="I2891" i="19"/>
  <c r="J2891" i="19"/>
  <c r="K2891" i="19"/>
  <c r="G2892" i="19"/>
  <c r="H2892" i="19"/>
  <c r="I2892" i="19"/>
  <c r="J2892" i="19"/>
  <c r="K2892" i="19"/>
  <c r="G2893" i="19"/>
  <c r="H2893" i="19"/>
  <c r="I2893" i="19"/>
  <c r="J2893" i="19"/>
  <c r="K2893" i="19"/>
  <c r="G2894" i="19"/>
  <c r="H2894" i="19"/>
  <c r="I2894" i="19"/>
  <c r="J2894" i="19"/>
  <c r="K2894" i="19"/>
  <c r="G2895" i="19"/>
  <c r="H2895" i="19"/>
  <c r="I2895" i="19"/>
  <c r="J2895" i="19"/>
  <c r="K2895" i="19"/>
  <c r="G2896" i="19"/>
  <c r="H2896" i="19"/>
  <c r="I2896" i="19"/>
  <c r="J2896" i="19"/>
  <c r="K2896" i="19"/>
  <c r="G2897" i="19"/>
  <c r="H2897" i="19"/>
  <c r="I2897" i="19"/>
  <c r="J2897" i="19"/>
  <c r="K2897" i="19"/>
  <c r="G2898" i="19"/>
  <c r="H2898" i="19"/>
  <c r="I2898" i="19"/>
  <c r="J2898" i="19"/>
  <c r="K2898" i="19"/>
  <c r="G2899" i="19"/>
  <c r="H2899" i="19"/>
  <c r="I2899" i="19"/>
  <c r="J2899" i="19"/>
  <c r="K2899" i="19"/>
  <c r="G2900" i="19"/>
  <c r="H2900" i="19"/>
  <c r="I2900" i="19"/>
  <c r="J2900" i="19"/>
  <c r="K2900" i="19"/>
  <c r="G2901" i="19"/>
  <c r="H2901" i="19"/>
  <c r="I2901" i="19"/>
  <c r="J2901" i="19"/>
  <c r="K2901" i="19"/>
  <c r="G2902" i="19"/>
  <c r="H2902" i="19"/>
  <c r="I2902" i="19"/>
  <c r="J2902" i="19"/>
  <c r="K2902" i="19"/>
  <c r="G2903" i="19"/>
  <c r="H2903" i="19"/>
  <c r="I2903" i="19"/>
  <c r="J2903" i="19"/>
  <c r="K2903" i="19"/>
  <c r="G2904" i="19"/>
  <c r="H2904" i="19"/>
  <c r="I2904" i="19"/>
  <c r="J2904" i="19"/>
  <c r="K2904" i="19"/>
  <c r="G2905" i="19"/>
  <c r="H2905" i="19"/>
  <c r="I2905" i="19"/>
  <c r="J2905" i="19"/>
  <c r="K2905" i="19"/>
  <c r="G2906" i="19"/>
  <c r="H2906" i="19"/>
  <c r="I2906" i="19"/>
  <c r="J2906" i="19"/>
  <c r="K2906" i="19"/>
  <c r="G2907" i="19"/>
  <c r="H2907" i="19"/>
  <c r="I2907" i="19"/>
  <c r="J2907" i="19"/>
  <c r="K2907" i="19"/>
  <c r="G2908" i="19"/>
  <c r="H2908" i="19"/>
  <c r="I2908" i="19"/>
  <c r="J2908" i="19"/>
  <c r="K2908" i="19"/>
  <c r="G2909" i="19"/>
  <c r="H2909" i="19"/>
  <c r="I2909" i="19"/>
  <c r="J2909" i="19"/>
  <c r="K2909" i="19"/>
  <c r="G2910" i="19"/>
  <c r="H2910" i="19"/>
  <c r="I2910" i="19"/>
  <c r="J2910" i="19"/>
  <c r="K2910" i="19"/>
  <c r="G2911" i="19"/>
  <c r="H2911" i="19"/>
  <c r="I2911" i="19"/>
  <c r="J2911" i="19"/>
  <c r="K2911" i="19"/>
  <c r="G2912" i="19"/>
  <c r="H2912" i="19"/>
  <c r="I2912" i="19"/>
  <c r="J2912" i="19"/>
  <c r="K2912" i="19"/>
  <c r="G2913" i="19"/>
  <c r="H2913" i="19"/>
  <c r="I2913" i="19"/>
  <c r="J2913" i="19"/>
  <c r="K2913" i="19"/>
  <c r="G2914" i="19"/>
  <c r="H2914" i="19"/>
  <c r="I2914" i="19"/>
  <c r="J2914" i="19"/>
  <c r="K2914" i="19"/>
  <c r="G2915" i="19"/>
  <c r="H2915" i="19"/>
  <c r="I2915" i="19"/>
  <c r="J2915" i="19"/>
  <c r="K2915" i="19"/>
  <c r="G2916" i="19"/>
  <c r="H2916" i="19"/>
  <c r="I2916" i="19"/>
  <c r="J2916" i="19"/>
  <c r="K2916" i="19"/>
  <c r="G2917" i="19"/>
  <c r="H2917" i="19"/>
  <c r="I2917" i="19"/>
  <c r="J2917" i="19"/>
  <c r="K2917" i="19"/>
  <c r="G2918" i="19"/>
  <c r="H2918" i="19"/>
  <c r="I2918" i="19"/>
  <c r="J2918" i="19"/>
  <c r="K2918" i="19"/>
  <c r="G2919" i="19"/>
  <c r="H2919" i="19"/>
  <c r="I2919" i="19"/>
  <c r="J2919" i="19"/>
  <c r="K2919" i="19"/>
  <c r="G2920" i="19"/>
  <c r="H2920" i="19"/>
  <c r="I2920" i="19"/>
  <c r="J2920" i="19"/>
  <c r="K2920" i="19"/>
  <c r="G2921" i="19"/>
  <c r="H2921" i="19"/>
  <c r="I2921" i="19"/>
  <c r="J2921" i="19"/>
  <c r="K2921" i="19"/>
  <c r="G2922" i="19"/>
  <c r="H2922" i="19"/>
  <c r="I2922" i="19"/>
  <c r="J2922" i="19"/>
  <c r="K2922" i="19"/>
  <c r="G2923" i="19"/>
  <c r="H2923" i="19"/>
  <c r="I2923" i="19"/>
  <c r="J2923" i="19"/>
  <c r="K2923" i="19"/>
  <c r="G2924" i="19"/>
  <c r="H2924" i="19"/>
  <c r="I2924" i="19"/>
  <c r="J2924" i="19"/>
  <c r="K2924" i="19"/>
  <c r="G2925" i="19"/>
  <c r="H2925" i="19"/>
  <c r="I2925" i="19"/>
  <c r="J2925" i="19"/>
  <c r="K2925" i="19"/>
  <c r="G2926" i="19"/>
  <c r="H2926" i="19"/>
  <c r="I2926" i="19"/>
  <c r="J2926" i="19"/>
  <c r="K2926" i="19"/>
  <c r="G2927" i="19"/>
  <c r="H2927" i="19"/>
  <c r="I2927" i="19"/>
  <c r="J2927" i="19"/>
  <c r="K2927" i="19"/>
  <c r="G2928" i="19"/>
  <c r="H2928" i="19"/>
  <c r="I2928" i="19"/>
  <c r="J2928" i="19"/>
  <c r="K2928" i="19"/>
  <c r="G2929" i="19"/>
  <c r="H2929" i="19"/>
  <c r="I2929" i="19"/>
  <c r="J2929" i="19"/>
  <c r="K2929" i="19"/>
  <c r="G2930" i="19"/>
  <c r="H2930" i="19"/>
  <c r="I2930" i="19"/>
  <c r="J2930" i="19"/>
  <c r="K2930" i="19"/>
  <c r="G2931" i="19"/>
  <c r="H2931" i="19"/>
  <c r="I2931" i="19"/>
  <c r="J2931" i="19"/>
  <c r="K2931" i="19"/>
  <c r="G2932" i="19"/>
  <c r="H2932" i="19"/>
  <c r="I2932" i="19"/>
  <c r="J2932" i="19"/>
  <c r="K2932" i="19"/>
  <c r="G2933" i="19"/>
  <c r="H2933" i="19"/>
  <c r="I2933" i="19"/>
  <c r="J2933" i="19"/>
  <c r="K2933" i="19"/>
  <c r="G2934" i="19"/>
  <c r="H2934" i="19"/>
  <c r="I2934" i="19"/>
  <c r="J2934" i="19"/>
  <c r="K2934" i="19"/>
  <c r="G2935" i="19"/>
  <c r="H2935" i="19"/>
  <c r="I2935" i="19"/>
  <c r="J2935" i="19"/>
  <c r="K2935" i="19"/>
  <c r="G2936" i="19"/>
  <c r="H2936" i="19"/>
  <c r="I2936" i="19"/>
  <c r="J2936" i="19"/>
  <c r="K2936" i="19"/>
  <c r="G2937" i="19"/>
  <c r="H2937" i="19"/>
  <c r="I2937" i="19"/>
  <c r="J2937" i="19"/>
  <c r="K2937" i="19"/>
  <c r="G2938" i="19"/>
  <c r="H2938" i="19"/>
  <c r="I2938" i="19"/>
  <c r="J2938" i="19"/>
  <c r="K2938" i="19"/>
  <c r="G2939" i="19"/>
  <c r="H2939" i="19"/>
  <c r="I2939" i="19"/>
  <c r="J2939" i="19"/>
  <c r="K2939" i="19"/>
  <c r="G2940" i="19"/>
  <c r="H2940" i="19"/>
  <c r="I2940" i="19"/>
  <c r="J2940" i="19"/>
  <c r="K2940" i="19"/>
  <c r="G2941" i="19"/>
  <c r="H2941" i="19"/>
  <c r="I2941" i="19"/>
  <c r="J2941" i="19"/>
  <c r="K2941" i="19"/>
  <c r="G2942" i="19"/>
  <c r="H2942" i="19"/>
  <c r="I2942" i="19"/>
  <c r="J2942" i="19"/>
  <c r="K2942" i="19"/>
  <c r="G2943" i="19"/>
  <c r="H2943" i="19"/>
  <c r="I2943" i="19"/>
  <c r="J2943" i="19"/>
  <c r="K2943" i="19"/>
  <c r="G2944" i="19"/>
  <c r="H2944" i="19"/>
  <c r="I2944" i="19"/>
  <c r="J2944" i="19"/>
  <c r="K2944" i="19"/>
  <c r="G2945" i="19"/>
  <c r="H2945" i="19"/>
  <c r="I2945" i="19"/>
  <c r="J2945" i="19"/>
  <c r="K2945" i="19"/>
  <c r="G2946" i="19"/>
  <c r="H2946" i="19"/>
  <c r="I2946" i="19"/>
  <c r="J2946" i="19"/>
  <c r="K2946" i="19"/>
  <c r="G2947" i="19"/>
  <c r="H2947" i="19"/>
  <c r="I2947" i="19"/>
  <c r="J2947" i="19"/>
  <c r="K2947" i="19"/>
  <c r="G2948" i="19"/>
  <c r="H2948" i="19"/>
  <c r="I2948" i="19"/>
  <c r="J2948" i="19"/>
  <c r="K2948" i="19"/>
  <c r="G2949" i="19"/>
  <c r="H2949" i="19"/>
  <c r="I2949" i="19"/>
  <c r="J2949" i="19"/>
  <c r="K2949" i="19"/>
  <c r="G2950" i="19"/>
  <c r="H2950" i="19"/>
  <c r="I2950" i="19"/>
  <c r="J2950" i="19"/>
  <c r="K2950" i="19"/>
  <c r="G2951" i="19"/>
  <c r="H2951" i="19"/>
  <c r="I2951" i="19"/>
  <c r="J2951" i="19"/>
  <c r="K2951" i="19"/>
  <c r="G2952" i="19"/>
  <c r="H2952" i="19"/>
  <c r="I2952" i="19"/>
  <c r="J2952" i="19"/>
  <c r="K2952" i="19"/>
  <c r="G2953" i="19"/>
  <c r="H2953" i="19"/>
  <c r="I2953" i="19"/>
  <c r="J2953" i="19"/>
  <c r="K2953" i="19"/>
  <c r="G2954" i="19"/>
  <c r="H2954" i="19"/>
  <c r="I2954" i="19"/>
  <c r="J2954" i="19"/>
  <c r="K2954" i="19"/>
  <c r="G2955" i="19"/>
  <c r="H2955" i="19"/>
  <c r="I2955" i="19"/>
  <c r="J2955" i="19"/>
  <c r="K2955" i="19"/>
  <c r="G2956" i="19"/>
  <c r="H2956" i="19"/>
  <c r="I2956" i="19"/>
  <c r="J2956" i="19"/>
  <c r="K2956" i="19"/>
  <c r="G2957" i="19"/>
  <c r="H2957" i="19"/>
  <c r="I2957" i="19"/>
  <c r="J2957" i="19"/>
  <c r="K2957" i="19"/>
  <c r="G2958" i="19"/>
  <c r="H2958" i="19"/>
  <c r="I2958" i="19"/>
  <c r="J2958" i="19"/>
  <c r="K2958" i="19"/>
  <c r="G2959" i="19"/>
  <c r="H2959" i="19"/>
  <c r="I2959" i="19"/>
  <c r="J2959" i="19"/>
  <c r="K2959" i="19"/>
  <c r="G2960" i="19"/>
  <c r="H2960" i="19"/>
  <c r="I2960" i="19"/>
  <c r="J2960" i="19"/>
  <c r="K2960" i="19"/>
  <c r="G2961" i="19"/>
  <c r="H2961" i="19"/>
  <c r="I2961" i="19"/>
  <c r="J2961" i="19"/>
  <c r="K2961" i="19"/>
  <c r="G2962" i="19"/>
  <c r="H2962" i="19"/>
  <c r="I2962" i="19"/>
  <c r="J2962" i="19"/>
  <c r="K2962" i="19"/>
  <c r="G2963" i="19"/>
  <c r="H2963" i="19"/>
  <c r="I2963" i="19"/>
  <c r="J2963" i="19"/>
  <c r="K2963" i="19"/>
  <c r="G2964" i="19"/>
  <c r="H2964" i="19"/>
  <c r="I2964" i="19"/>
  <c r="J2964" i="19"/>
  <c r="K2964" i="19"/>
  <c r="G2965" i="19"/>
  <c r="H2965" i="19"/>
  <c r="I2965" i="19"/>
  <c r="J2965" i="19"/>
  <c r="K2965" i="19"/>
  <c r="G2966" i="19"/>
  <c r="H2966" i="19"/>
  <c r="I2966" i="19"/>
  <c r="J2966" i="19"/>
  <c r="K2966" i="19"/>
  <c r="G2967" i="19"/>
  <c r="H2967" i="19"/>
  <c r="I2967" i="19"/>
  <c r="J2967" i="19"/>
  <c r="K2967" i="19"/>
  <c r="G2968" i="19"/>
  <c r="H2968" i="19"/>
  <c r="I2968" i="19"/>
  <c r="J2968" i="19"/>
  <c r="K2968" i="19"/>
  <c r="G2969" i="19"/>
  <c r="H2969" i="19"/>
  <c r="I2969" i="19"/>
  <c r="J2969" i="19"/>
  <c r="K2969" i="19"/>
  <c r="G2970" i="19"/>
  <c r="H2970" i="19"/>
  <c r="I2970" i="19"/>
  <c r="J2970" i="19"/>
  <c r="K2970" i="19"/>
  <c r="G2971" i="19"/>
  <c r="H2971" i="19"/>
  <c r="I2971" i="19"/>
  <c r="J2971" i="19"/>
  <c r="K2971" i="19"/>
  <c r="G2972" i="19"/>
  <c r="H2972" i="19"/>
  <c r="I2972" i="19"/>
  <c r="J2972" i="19"/>
  <c r="K2972" i="19"/>
  <c r="G2973" i="19"/>
  <c r="H2973" i="19"/>
  <c r="I2973" i="19"/>
  <c r="J2973" i="19"/>
  <c r="K2973" i="19"/>
  <c r="G2974" i="19"/>
  <c r="H2974" i="19"/>
  <c r="I2974" i="19"/>
  <c r="J2974" i="19"/>
  <c r="K2974" i="19"/>
  <c r="G2975" i="19"/>
  <c r="H2975" i="19"/>
  <c r="I2975" i="19"/>
  <c r="J2975" i="19"/>
  <c r="K2975" i="19"/>
  <c r="G2976" i="19"/>
  <c r="H2976" i="19"/>
  <c r="I2976" i="19"/>
  <c r="J2976" i="19"/>
  <c r="K2976" i="19"/>
  <c r="G2977" i="19"/>
  <c r="H2977" i="19"/>
  <c r="I2977" i="19"/>
  <c r="J2977" i="19"/>
  <c r="K2977" i="19"/>
  <c r="G2978" i="19"/>
  <c r="H2978" i="19"/>
  <c r="I2978" i="19"/>
  <c r="J2978" i="19"/>
  <c r="K2978" i="19"/>
  <c r="G2979" i="19"/>
  <c r="H2979" i="19"/>
  <c r="I2979" i="19"/>
  <c r="J2979" i="19"/>
  <c r="K2979" i="19"/>
  <c r="G2980" i="19"/>
  <c r="H2980" i="19"/>
  <c r="I2980" i="19"/>
  <c r="J2980" i="19"/>
  <c r="K2980" i="19"/>
  <c r="G2981" i="19"/>
  <c r="H2981" i="19"/>
  <c r="I2981" i="19"/>
  <c r="J2981" i="19"/>
  <c r="K2981" i="19"/>
  <c r="G2982" i="19"/>
  <c r="H2982" i="19"/>
  <c r="I2982" i="19"/>
  <c r="J2982" i="19"/>
  <c r="K2982" i="19"/>
  <c r="G2983" i="19"/>
  <c r="H2983" i="19"/>
  <c r="I2983" i="19"/>
  <c r="J2983" i="19"/>
  <c r="K2983" i="19"/>
  <c r="G2984" i="19"/>
  <c r="H2984" i="19"/>
  <c r="I2984" i="19"/>
  <c r="J2984" i="19"/>
  <c r="K2984" i="19"/>
  <c r="G2985" i="19"/>
  <c r="H2985" i="19"/>
  <c r="I2985" i="19"/>
  <c r="J2985" i="19"/>
  <c r="K2985" i="19"/>
  <c r="G2986" i="19"/>
  <c r="H2986" i="19"/>
  <c r="I2986" i="19"/>
  <c r="J2986" i="19"/>
  <c r="K2986" i="19"/>
  <c r="G2987" i="19"/>
  <c r="H2987" i="19"/>
  <c r="I2987" i="19"/>
  <c r="J2987" i="19"/>
  <c r="K2987" i="19"/>
  <c r="G2988" i="19"/>
  <c r="H2988" i="19"/>
  <c r="I2988" i="19"/>
  <c r="J2988" i="19"/>
  <c r="K2988" i="19"/>
  <c r="G2989" i="19"/>
  <c r="H2989" i="19"/>
  <c r="I2989" i="19"/>
  <c r="J2989" i="19"/>
  <c r="K2989" i="19"/>
  <c r="G2990" i="19"/>
  <c r="H2990" i="19"/>
  <c r="I2990" i="19"/>
  <c r="J2990" i="19"/>
  <c r="K2990" i="19"/>
  <c r="G2991" i="19"/>
  <c r="H2991" i="19"/>
  <c r="I2991" i="19"/>
  <c r="J2991" i="19"/>
  <c r="K2991" i="19"/>
  <c r="G2992" i="19"/>
  <c r="H2992" i="19"/>
  <c r="I2992" i="19"/>
  <c r="J2992" i="19"/>
  <c r="K2992" i="19"/>
  <c r="G2993" i="19"/>
  <c r="H2993" i="19"/>
  <c r="I2993" i="19"/>
  <c r="J2993" i="19"/>
  <c r="K2993" i="19"/>
  <c r="G2994" i="19"/>
  <c r="H2994" i="19"/>
  <c r="I2994" i="19"/>
  <c r="J2994" i="19"/>
  <c r="K2994" i="19"/>
  <c r="G2995" i="19"/>
  <c r="H2995" i="19"/>
  <c r="I2995" i="19"/>
  <c r="J2995" i="19"/>
  <c r="K2995" i="19"/>
  <c r="G2996" i="19"/>
  <c r="H2996" i="19"/>
  <c r="I2996" i="19"/>
  <c r="J2996" i="19"/>
  <c r="K2996" i="19"/>
  <c r="G2997" i="19"/>
  <c r="H2997" i="19"/>
  <c r="I2997" i="19"/>
  <c r="J2997" i="19"/>
  <c r="K2997" i="19"/>
  <c r="G2998" i="19"/>
  <c r="H2998" i="19"/>
  <c r="I2998" i="19"/>
  <c r="J2998" i="19"/>
  <c r="K2998" i="19"/>
  <c r="G2999" i="19"/>
  <c r="H2999" i="19"/>
  <c r="I2999" i="19"/>
  <c r="J2999" i="19"/>
  <c r="K2999" i="19"/>
  <c r="G3000" i="19"/>
  <c r="H3000" i="19"/>
  <c r="I3000" i="19"/>
  <c r="J3000" i="19"/>
  <c r="K3000" i="19"/>
  <c r="G3001" i="19"/>
  <c r="H3001" i="19"/>
  <c r="I3001" i="19"/>
  <c r="J3001" i="19"/>
  <c r="K3001" i="19"/>
  <c r="G3002" i="19"/>
  <c r="H3002" i="19"/>
  <c r="I3002" i="19"/>
  <c r="J3002" i="19"/>
  <c r="K3002" i="19"/>
  <c r="G3003" i="19"/>
  <c r="H3003" i="19"/>
  <c r="I3003" i="19"/>
  <c r="J3003" i="19"/>
  <c r="K3003" i="19"/>
  <c r="G3004" i="19"/>
  <c r="H3004" i="19"/>
  <c r="I3004" i="19"/>
  <c r="J3004" i="19"/>
  <c r="K3004" i="19"/>
  <c r="G3005" i="19"/>
  <c r="H3005" i="19"/>
  <c r="I3005" i="19"/>
  <c r="J3005" i="19"/>
  <c r="K3005" i="19"/>
  <c r="G3006" i="19"/>
  <c r="H3006" i="19"/>
  <c r="I3006" i="19"/>
  <c r="J3006" i="19"/>
  <c r="K3006" i="19"/>
  <c r="G3007" i="19"/>
  <c r="H3007" i="19"/>
  <c r="I3007" i="19"/>
  <c r="J3007" i="19"/>
  <c r="K3007" i="19"/>
  <c r="G3008" i="19"/>
  <c r="H3008" i="19"/>
  <c r="I3008" i="19"/>
  <c r="J3008" i="19"/>
  <c r="K3008" i="19"/>
  <c r="G3009" i="19"/>
  <c r="H3009" i="19"/>
  <c r="I3009" i="19"/>
  <c r="J3009" i="19"/>
  <c r="K3009" i="19"/>
  <c r="G3010" i="19"/>
  <c r="H3010" i="19"/>
  <c r="I3010" i="19"/>
  <c r="J3010" i="19"/>
  <c r="K3010" i="19"/>
  <c r="G3011" i="19"/>
  <c r="H3011" i="19"/>
  <c r="I3011" i="19"/>
  <c r="J3011" i="19"/>
  <c r="K3011" i="19"/>
  <c r="G3012" i="19"/>
  <c r="H3012" i="19"/>
  <c r="I3012" i="19"/>
  <c r="J3012" i="19"/>
  <c r="K3012" i="19"/>
  <c r="G3013" i="19"/>
  <c r="H3013" i="19"/>
  <c r="I3013" i="19"/>
  <c r="J3013" i="19"/>
  <c r="K3013" i="19"/>
  <c r="G3014" i="19"/>
  <c r="H3014" i="19"/>
  <c r="I3014" i="19"/>
  <c r="J3014" i="19"/>
  <c r="K3014" i="19"/>
  <c r="G3015" i="19"/>
  <c r="H3015" i="19"/>
  <c r="I3015" i="19"/>
  <c r="J3015" i="19"/>
  <c r="K3015" i="19"/>
  <c r="G3016" i="19"/>
  <c r="H3016" i="19"/>
  <c r="I3016" i="19"/>
  <c r="J3016" i="19"/>
  <c r="K3016" i="19"/>
  <c r="G3017" i="19"/>
  <c r="H3017" i="19"/>
  <c r="I3017" i="19"/>
  <c r="J3017" i="19"/>
  <c r="K3017" i="19"/>
  <c r="G3018" i="19"/>
  <c r="H3018" i="19"/>
  <c r="I3018" i="19"/>
  <c r="J3018" i="19"/>
  <c r="K3018" i="19"/>
  <c r="G3019" i="19"/>
  <c r="H3019" i="19"/>
  <c r="I3019" i="19"/>
  <c r="J3019" i="19"/>
  <c r="K3019" i="19"/>
  <c r="G3020" i="19"/>
  <c r="H3020" i="19"/>
  <c r="I3020" i="19"/>
  <c r="J3020" i="19"/>
  <c r="K3020" i="19"/>
  <c r="G3021" i="19"/>
  <c r="H3021" i="19"/>
  <c r="I3021" i="19"/>
  <c r="J3021" i="19"/>
  <c r="K3021" i="19"/>
  <c r="G3022" i="19"/>
  <c r="H3022" i="19"/>
  <c r="I3022" i="19"/>
  <c r="J3022" i="19"/>
  <c r="K3022" i="19"/>
  <c r="G3023" i="19"/>
  <c r="H3023" i="19"/>
  <c r="I3023" i="19"/>
  <c r="J3023" i="19"/>
  <c r="K3023" i="19"/>
  <c r="G3024" i="19"/>
  <c r="H3024" i="19"/>
  <c r="I3024" i="19"/>
  <c r="J3024" i="19"/>
  <c r="K3024" i="19"/>
  <c r="G3025" i="19"/>
  <c r="H3025" i="19"/>
  <c r="I3025" i="19"/>
  <c r="J3025" i="19"/>
  <c r="K3025" i="19"/>
  <c r="G3026" i="19"/>
  <c r="H3026" i="19"/>
  <c r="I3026" i="19"/>
  <c r="J3026" i="19"/>
  <c r="K3026" i="19"/>
  <c r="G3027" i="19"/>
  <c r="H3027" i="19"/>
  <c r="I3027" i="19"/>
  <c r="J3027" i="19"/>
  <c r="K3027" i="19"/>
  <c r="G3028" i="19"/>
  <c r="H3028" i="19"/>
  <c r="I3028" i="19"/>
  <c r="J3028" i="19"/>
  <c r="K3028" i="19"/>
  <c r="G3029" i="19"/>
  <c r="H3029" i="19"/>
  <c r="I3029" i="19"/>
  <c r="J3029" i="19"/>
  <c r="K3029" i="19"/>
  <c r="G3030" i="19"/>
  <c r="H3030" i="19"/>
  <c r="I3030" i="19"/>
  <c r="J3030" i="19"/>
  <c r="K3030" i="19"/>
  <c r="G3031" i="19"/>
  <c r="H3031" i="19"/>
  <c r="I3031" i="19"/>
  <c r="J3031" i="19"/>
  <c r="K3031" i="19"/>
  <c r="G3032" i="19"/>
  <c r="H3032" i="19"/>
  <c r="I3032" i="19"/>
  <c r="J3032" i="19"/>
  <c r="K3032" i="19"/>
  <c r="G3033" i="19"/>
  <c r="H3033" i="19"/>
  <c r="I3033" i="19"/>
  <c r="J3033" i="19"/>
  <c r="K3033" i="19"/>
  <c r="G3034" i="19"/>
  <c r="H3034" i="19"/>
  <c r="I3034" i="19"/>
  <c r="J3034" i="19"/>
  <c r="K3034" i="19"/>
  <c r="G3035" i="19"/>
  <c r="H3035" i="19"/>
  <c r="I3035" i="19"/>
  <c r="J3035" i="19"/>
  <c r="K3035" i="19"/>
  <c r="G3036" i="19"/>
  <c r="H3036" i="19"/>
  <c r="I3036" i="19"/>
  <c r="J3036" i="19"/>
  <c r="K3036" i="19"/>
  <c r="G3037" i="19"/>
  <c r="H3037" i="19"/>
  <c r="I3037" i="19"/>
  <c r="J3037" i="19"/>
  <c r="K3037" i="19"/>
  <c r="G3038" i="19"/>
  <c r="H3038" i="19"/>
  <c r="I3038" i="19"/>
  <c r="J3038" i="19"/>
  <c r="K3038" i="19"/>
  <c r="G3039" i="19"/>
  <c r="H3039" i="19"/>
  <c r="I3039" i="19"/>
  <c r="J3039" i="19"/>
  <c r="K3039" i="19"/>
  <c r="G3040" i="19"/>
  <c r="H3040" i="19"/>
  <c r="I3040" i="19"/>
  <c r="J3040" i="19"/>
  <c r="K3040" i="19"/>
  <c r="G3041" i="19"/>
  <c r="H3041" i="19"/>
  <c r="I3041" i="19"/>
  <c r="J3041" i="19"/>
  <c r="K3041" i="19"/>
  <c r="G3042" i="19"/>
  <c r="H3042" i="19"/>
  <c r="I3042" i="19"/>
  <c r="J3042" i="19"/>
  <c r="K3042" i="19"/>
  <c r="G3043" i="19"/>
  <c r="H3043" i="19"/>
  <c r="I3043" i="19"/>
  <c r="J3043" i="19"/>
  <c r="K3043" i="19"/>
  <c r="G3044" i="19"/>
  <c r="H3044" i="19"/>
  <c r="I3044" i="19"/>
  <c r="J3044" i="19"/>
  <c r="K3044" i="19"/>
  <c r="G3045" i="19"/>
  <c r="H3045" i="19"/>
  <c r="I3045" i="19"/>
  <c r="J3045" i="19"/>
  <c r="K3045" i="19"/>
  <c r="G3046" i="19"/>
  <c r="H3046" i="19"/>
  <c r="I3046" i="19"/>
  <c r="J3046" i="19"/>
  <c r="K3046" i="19"/>
  <c r="G3047" i="19"/>
  <c r="H3047" i="19"/>
  <c r="I3047" i="19"/>
  <c r="J3047" i="19"/>
  <c r="K3047" i="19"/>
  <c r="G3048" i="19"/>
  <c r="H3048" i="19"/>
  <c r="I3048" i="19"/>
  <c r="J3048" i="19"/>
  <c r="K3048" i="19"/>
  <c r="G3049" i="19"/>
  <c r="H3049" i="19"/>
  <c r="I3049" i="19"/>
  <c r="J3049" i="19"/>
  <c r="K3049" i="19"/>
  <c r="G3050" i="19"/>
  <c r="H3050" i="19"/>
  <c r="I3050" i="19"/>
  <c r="J3050" i="19"/>
  <c r="K3050" i="19"/>
  <c r="G3051" i="19"/>
  <c r="H3051" i="19"/>
  <c r="I3051" i="19"/>
  <c r="J3051" i="19"/>
  <c r="K3051" i="19"/>
  <c r="G3052" i="19"/>
  <c r="H3052" i="19"/>
  <c r="I3052" i="19"/>
  <c r="J3052" i="19"/>
  <c r="K3052" i="19"/>
  <c r="G3053" i="19"/>
  <c r="H3053" i="19"/>
  <c r="I3053" i="19"/>
  <c r="J3053" i="19"/>
  <c r="K3053" i="19"/>
  <c r="G3054" i="19"/>
  <c r="H3054" i="19"/>
  <c r="I3054" i="19"/>
  <c r="J3054" i="19"/>
  <c r="K3054" i="19"/>
  <c r="G3055" i="19"/>
  <c r="H3055" i="19"/>
  <c r="I3055" i="19"/>
  <c r="J3055" i="19"/>
  <c r="K3055" i="19"/>
  <c r="G3056" i="19"/>
  <c r="H3056" i="19"/>
  <c r="I3056" i="19"/>
  <c r="J3056" i="19"/>
  <c r="K3056" i="19"/>
  <c r="G3057" i="19"/>
  <c r="H3057" i="19"/>
  <c r="I3057" i="19"/>
  <c r="J3057" i="19"/>
  <c r="K3057" i="19"/>
  <c r="G3058" i="19"/>
  <c r="H3058" i="19"/>
  <c r="I3058" i="19"/>
  <c r="J3058" i="19"/>
  <c r="K3058" i="19"/>
  <c r="G3059" i="19"/>
  <c r="H3059" i="19"/>
  <c r="I3059" i="19"/>
  <c r="J3059" i="19"/>
  <c r="K3059" i="19"/>
  <c r="G3060" i="19"/>
  <c r="H3060" i="19"/>
  <c r="I3060" i="19"/>
  <c r="J3060" i="19"/>
  <c r="K3060" i="19"/>
  <c r="G3061" i="19"/>
  <c r="H3061" i="19"/>
  <c r="I3061" i="19"/>
  <c r="J3061" i="19"/>
  <c r="K3061" i="19"/>
  <c r="G3062" i="19"/>
  <c r="H3062" i="19"/>
  <c r="I3062" i="19"/>
  <c r="J3062" i="19"/>
  <c r="K3062" i="19"/>
  <c r="G3063" i="19"/>
  <c r="H3063" i="19"/>
  <c r="I3063" i="19"/>
  <c r="J3063" i="19"/>
  <c r="K3063" i="19"/>
  <c r="G3064" i="19"/>
  <c r="H3064" i="19"/>
  <c r="I3064" i="19"/>
  <c r="J3064" i="19"/>
  <c r="K3064" i="19"/>
  <c r="G3065" i="19"/>
  <c r="H3065" i="19"/>
  <c r="I3065" i="19"/>
  <c r="J3065" i="19"/>
  <c r="K3065" i="19"/>
  <c r="G3066" i="19"/>
  <c r="H3066" i="19"/>
  <c r="I3066" i="19"/>
  <c r="J3066" i="19"/>
  <c r="K3066" i="19"/>
  <c r="G3067" i="19"/>
  <c r="H3067" i="19"/>
  <c r="I3067" i="19"/>
  <c r="J3067" i="19"/>
  <c r="K3067" i="19"/>
  <c r="G3068" i="19"/>
  <c r="H3068" i="19"/>
  <c r="I3068" i="19"/>
  <c r="J3068" i="19"/>
  <c r="K3068" i="19"/>
  <c r="G3069" i="19"/>
  <c r="H3069" i="19"/>
  <c r="I3069" i="19"/>
  <c r="J3069" i="19"/>
  <c r="K3069" i="19"/>
  <c r="G3070" i="19"/>
  <c r="H3070" i="19"/>
  <c r="I3070" i="19"/>
  <c r="J3070" i="19"/>
  <c r="K3070" i="19"/>
  <c r="G3071" i="19"/>
  <c r="H3071" i="19"/>
  <c r="I3071" i="19"/>
  <c r="J3071" i="19"/>
  <c r="K3071" i="19"/>
  <c r="G3072" i="19"/>
  <c r="H3072" i="19"/>
  <c r="I3072" i="19"/>
  <c r="J3072" i="19"/>
  <c r="K3072" i="19"/>
  <c r="G3073" i="19"/>
  <c r="H3073" i="19"/>
  <c r="I3073" i="19"/>
  <c r="J3073" i="19"/>
  <c r="K3073" i="19"/>
  <c r="G3074" i="19"/>
  <c r="H3074" i="19"/>
  <c r="I3074" i="19"/>
  <c r="J3074" i="19"/>
  <c r="K3074" i="19"/>
  <c r="G3075" i="19"/>
  <c r="H3075" i="19"/>
  <c r="I3075" i="19"/>
  <c r="J3075" i="19"/>
  <c r="K3075" i="19"/>
  <c r="G3076" i="19"/>
  <c r="H3076" i="19"/>
  <c r="I3076" i="19"/>
  <c r="J3076" i="19"/>
  <c r="K3076" i="19"/>
  <c r="G3077" i="19"/>
  <c r="H3077" i="19"/>
  <c r="I3077" i="19"/>
  <c r="J3077" i="19"/>
  <c r="K3077" i="19"/>
  <c r="G3078" i="19"/>
  <c r="H3078" i="19"/>
  <c r="I3078" i="19"/>
  <c r="J3078" i="19"/>
  <c r="K3078" i="19"/>
  <c r="G3079" i="19"/>
  <c r="H3079" i="19"/>
  <c r="I3079" i="19"/>
  <c r="J3079" i="19"/>
  <c r="K3079" i="19"/>
  <c r="G3080" i="19"/>
  <c r="H3080" i="19"/>
  <c r="I3080" i="19"/>
  <c r="J3080" i="19"/>
  <c r="K3080" i="19"/>
  <c r="G3081" i="19"/>
  <c r="H3081" i="19"/>
  <c r="I3081" i="19"/>
  <c r="J3081" i="19"/>
  <c r="K3081" i="19"/>
  <c r="G3082" i="19"/>
  <c r="H3082" i="19"/>
  <c r="I3082" i="19"/>
  <c r="J3082" i="19"/>
  <c r="K3082" i="19"/>
  <c r="G3083" i="19"/>
  <c r="H3083" i="19"/>
  <c r="I3083" i="19"/>
  <c r="J3083" i="19"/>
  <c r="K3083" i="19"/>
  <c r="G3084" i="19"/>
  <c r="H3084" i="19"/>
  <c r="I3084" i="19"/>
  <c r="J3084" i="19"/>
  <c r="K3084" i="19"/>
  <c r="G3085" i="19"/>
  <c r="H3085" i="19"/>
  <c r="I3085" i="19"/>
  <c r="J3085" i="19"/>
  <c r="K3085" i="19"/>
  <c r="G3086" i="19"/>
  <c r="H3086" i="19"/>
  <c r="I3086" i="19"/>
  <c r="J3086" i="19"/>
  <c r="K3086" i="19"/>
  <c r="G3087" i="19"/>
  <c r="H3087" i="19"/>
  <c r="I3087" i="19"/>
  <c r="J3087" i="19"/>
  <c r="K3087" i="19"/>
  <c r="G3088" i="19"/>
  <c r="H3088" i="19"/>
  <c r="I3088" i="19"/>
  <c r="J3088" i="19"/>
  <c r="K3088" i="19"/>
  <c r="G3089" i="19"/>
  <c r="H3089" i="19"/>
  <c r="I3089" i="19"/>
  <c r="J3089" i="19"/>
  <c r="K3089" i="19"/>
  <c r="G3090" i="19"/>
  <c r="H3090" i="19"/>
  <c r="I3090" i="19"/>
  <c r="J3090" i="19"/>
  <c r="K3090" i="19"/>
  <c r="G3091" i="19"/>
  <c r="H3091" i="19"/>
  <c r="I3091" i="19"/>
  <c r="J3091" i="19"/>
  <c r="K3091" i="19"/>
  <c r="G3092" i="19"/>
  <c r="H3092" i="19"/>
  <c r="I3092" i="19"/>
  <c r="J3092" i="19"/>
  <c r="K3092" i="19"/>
  <c r="G3093" i="19"/>
  <c r="H3093" i="19"/>
  <c r="I3093" i="19"/>
  <c r="J3093" i="19"/>
  <c r="K3093" i="19"/>
  <c r="G3094" i="19"/>
  <c r="H3094" i="19"/>
  <c r="I3094" i="19"/>
  <c r="J3094" i="19"/>
  <c r="K3094" i="19"/>
  <c r="G3095" i="19"/>
  <c r="H3095" i="19"/>
  <c r="I3095" i="19"/>
  <c r="J3095" i="19"/>
  <c r="K3095" i="19"/>
  <c r="G3096" i="19"/>
  <c r="H3096" i="19"/>
  <c r="I3096" i="19"/>
  <c r="J3096" i="19"/>
  <c r="K3096" i="19"/>
  <c r="G3097" i="19"/>
  <c r="H3097" i="19"/>
  <c r="I3097" i="19"/>
  <c r="J3097" i="19"/>
  <c r="K3097" i="19"/>
  <c r="G3098" i="19"/>
  <c r="H3098" i="19"/>
  <c r="I3098" i="19"/>
  <c r="J3098" i="19"/>
  <c r="K3098" i="19"/>
  <c r="G3099" i="19"/>
  <c r="H3099" i="19"/>
  <c r="I3099" i="19"/>
  <c r="J3099" i="19"/>
  <c r="K3099" i="19"/>
  <c r="G3100" i="19"/>
  <c r="H3100" i="19"/>
  <c r="I3100" i="19"/>
  <c r="J3100" i="19"/>
  <c r="K3100" i="19"/>
  <c r="G3101" i="19"/>
  <c r="H3101" i="19"/>
  <c r="I3101" i="19"/>
  <c r="J3101" i="19"/>
  <c r="K3101" i="19"/>
  <c r="G3102" i="19"/>
  <c r="H3102" i="19"/>
  <c r="I3102" i="19"/>
  <c r="J3102" i="19"/>
  <c r="K3102" i="19"/>
  <c r="G3103" i="19"/>
  <c r="H3103" i="19"/>
  <c r="I3103" i="19"/>
  <c r="J3103" i="19"/>
  <c r="K3103" i="19"/>
  <c r="G3104" i="19"/>
  <c r="H3104" i="19"/>
  <c r="I3104" i="19"/>
  <c r="J3104" i="19"/>
  <c r="K3104" i="19"/>
  <c r="G3105" i="19"/>
  <c r="H3105" i="19"/>
  <c r="I3105" i="19"/>
  <c r="J3105" i="19"/>
  <c r="K3105" i="19"/>
  <c r="G3106" i="19"/>
  <c r="H3106" i="19"/>
  <c r="I3106" i="19"/>
  <c r="J3106" i="19"/>
  <c r="K3106" i="19"/>
  <c r="G3107" i="19"/>
  <c r="H3107" i="19"/>
  <c r="I3107" i="19"/>
  <c r="J3107" i="19"/>
  <c r="K3107" i="19"/>
  <c r="G3108" i="19"/>
  <c r="H3108" i="19"/>
  <c r="I3108" i="19"/>
  <c r="J3108" i="19"/>
  <c r="K3108" i="19"/>
  <c r="G3109" i="19"/>
  <c r="H3109" i="19"/>
  <c r="I3109" i="19"/>
  <c r="J3109" i="19"/>
  <c r="K3109" i="19"/>
  <c r="G3110" i="19"/>
  <c r="H3110" i="19"/>
  <c r="I3110" i="19"/>
  <c r="J3110" i="19"/>
  <c r="K3110" i="19"/>
  <c r="G3111" i="19"/>
  <c r="H3111" i="19"/>
  <c r="I3111" i="19"/>
  <c r="J3111" i="19"/>
  <c r="K3111" i="19"/>
  <c r="G3112" i="19"/>
  <c r="H3112" i="19"/>
  <c r="I3112" i="19"/>
  <c r="J3112" i="19"/>
  <c r="K3112" i="19"/>
  <c r="G3113" i="19"/>
  <c r="H3113" i="19"/>
  <c r="I3113" i="19"/>
  <c r="J3113" i="19"/>
  <c r="K3113" i="19"/>
  <c r="G3114" i="19"/>
  <c r="H3114" i="19"/>
  <c r="I3114" i="19"/>
  <c r="J3114" i="19"/>
  <c r="K3114" i="19"/>
  <c r="G3115" i="19"/>
  <c r="H3115" i="19"/>
  <c r="I3115" i="19"/>
  <c r="J3115" i="19"/>
  <c r="K3115" i="19"/>
  <c r="G3116" i="19"/>
  <c r="H3116" i="19"/>
  <c r="I3116" i="19"/>
  <c r="J3116" i="19"/>
  <c r="K3116" i="19"/>
  <c r="G3117" i="19"/>
  <c r="H3117" i="19"/>
  <c r="I3117" i="19"/>
  <c r="J3117" i="19"/>
  <c r="K3117" i="19"/>
  <c r="G3118" i="19"/>
  <c r="H3118" i="19"/>
  <c r="I3118" i="19"/>
  <c r="J3118" i="19"/>
  <c r="K3118" i="19"/>
  <c r="G3119" i="19"/>
  <c r="H3119" i="19"/>
  <c r="I3119" i="19"/>
  <c r="J3119" i="19"/>
  <c r="K3119" i="19"/>
  <c r="G3120" i="19"/>
  <c r="H3120" i="19"/>
  <c r="I3120" i="19"/>
  <c r="J3120" i="19"/>
  <c r="K3120" i="19"/>
  <c r="G3121" i="19"/>
  <c r="H3121" i="19"/>
  <c r="I3121" i="19"/>
  <c r="J3121" i="19"/>
  <c r="K3121" i="19"/>
  <c r="G3122" i="19"/>
  <c r="H3122" i="19"/>
  <c r="I3122" i="19"/>
  <c r="J3122" i="19"/>
  <c r="K3122" i="19"/>
  <c r="G3123" i="19"/>
  <c r="H3123" i="19"/>
  <c r="I3123" i="19"/>
  <c r="J3123" i="19"/>
  <c r="K3123" i="19"/>
  <c r="G3124" i="19"/>
  <c r="H3124" i="19"/>
  <c r="I3124" i="19"/>
  <c r="J3124" i="19"/>
  <c r="K3124" i="19"/>
  <c r="G3125" i="19"/>
  <c r="H3125" i="19"/>
  <c r="I3125" i="19"/>
  <c r="J3125" i="19"/>
  <c r="K3125" i="19"/>
  <c r="G3126" i="19"/>
  <c r="H3126" i="19"/>
  <c r="I3126" i="19"/>
  <c r="J3126" i="19"/>
  <c r="K3126" i="19"/>
  <c r="G3127" i="19"/>
  <c r="H3127" i="19"/>
  <c r="I3127" i="19"/>
  <c r="J3127" i="19"/>
  <c r="K3127" i="19"/>
  <c r="G3128" i="19"/>
  <c r="H3128" i="19"/>
  <c r="I3128" i="19"/>
  <c r="J3128" i="19"/>
  <c r="K3128" i="19"/>
  <c r="G3129" i="19"/>
  <c r="H3129" i="19"/>
  <c r="I3129" i="19"/>
  <c r="J3129" i="19"/>
  <c r="K3129" i="19"/>
  <c r="G3130" i="19"/>
  <c r="H3130" i="19"/>
  <c r="I3130" i="19"/>
  <c r="J3130" i="19"/>
  <c r="K3130" i="19"/>
  <c r="G3131" i="19"/>
  <c r="H3131" i="19"/>
  <c r="I3131" i="19"/>
  <c r="J3131" i="19"/>
  <c r="K3131" i="19"/>
  <c r="G3132" i="19"/>
  <c r="H3132" i="19"/>
  <c r="I3132" i="19"/>
  <c r="J3132" i="19"/>
  <c r="K3132" i="19"/>
  <c r="G3133" i="19"/>
  <c r="H3133" i="19"/>
  <c r="I3133" i="19"/>
  <c r="J3133" i="19"/>
  <c r="K3133" i="19"/>
  <c r="G3134" i="19"/>
  <c r="H3134" i="19"/>
  <c r="I3134" i="19"/>
  <c r="J3134" i="19"/>
  <c r="K3134" i="19"/>
  <c r="G3135" i="19"/>
  <c r="H3135" i="19"/>
  <c r="I3135" i="19"/>
  <c r="J3135" i="19"/>
  <c r="K3135" i="19"/>
  <c r="G3136" i="19"/>
  <c r="H3136" i="19"/>
  <c r="I3136" i="19"/>
  <c r="J3136" i="19"/>
  <c r="K3136" i="19"/>
  <c r="G3137" i="19"/>
  <c r="H3137" i="19"/>
  <c r="I3137" i="19"/>
  <c r="J3137" i="19"/>
  <c r="K3137" i="19"/>
  <c r="G3138" i="19"/>
  <c r="H3138" i="19"/>
  <c r="I3138" i="19"/>
  <c r="J3138" i="19"/>
  <c r="K3138" i="19"/>
  <c r="G3139" i="19"/>
  <c r="H3139" i="19"/>
  <c r="I3139" i="19"/>
  <c r="J3139" i="19"/>
  <c r="K3139" i="19"/>
  <c r="G3140" i="19"/>
  <c r="H3140" i="19"/>
  <c r="I3140" i="19"/>
  <c r="J3140" i="19"/>
  <c r="K3140" i="19"/>
  <c r="G3141" i="19"/>
  <c r="H3141" i="19"/>
  <c r="I3141" i="19"/>
  <c r="J3141" i="19"/>
  <c r="K3141" i="19"/>
  <c r="G3142" i="19"/>
  <c r="H3142" i="19"/>
  <c r="I3142" i="19"/>
  <c r="J3142" i="19"/>
  <c r="K3142" i="19"/>
  <c r="G3143" i="19"/>
  <c r="H3143" i="19"/>
  <c r="I3143" i="19"/>
  <c r="J3143" i="19"/>
  <c r="K3143" i="19"/>
  <c r="G3144" i="19"/>
  <c r="H3144" i="19"/>
  <c r="I3144" i="19"/>
  <c r="J3144" i="19"/>
  <c r="K3144" i="19"/>
  <c r="G3145" i="19"/>
  <c r="H3145" i="19"/>
  <c r="I3145" i="19"/>
  <c r="J3145" i="19"/>
  <c r="K3145" i="19"/>
  <c r="G3146" i="19"/>
  <c r="H3146" i="19"/>
  <c r="I3146" i="19"/>
  <c r="J3146" i="19"/>
  <c r="K3146" i="19"/>
  <c r="G3147" i="19"/>
  <c r="H3147" i="19"/>
  <c r="I3147" i="19"/>
  <c r="J3147" i="19"/>
  <c r="K3147" i="19"/>
  <c r="G3148" i="19"/>
  <c r="H3148" i="19"/>
  <c r="I3148" i="19"/>
  <c r="J3148" i="19"/>
  <c r="K3148" i="19"/>
  <c r="G3149" i="19"/>
  <c r="H3149" i="19"/>
  <c r="I3149" i="19"/>
  <c r="J3149" i="19"/>
  <c r="K3149" i="19"/>
  <c r="G3150" i="19"/>
  <c r="H3150" i="19"/>
  <c r="I3150" i="19"/>
  <c r="J3150" i="19"/>
  <c r="K3150" i="19"/>
  <c r="G3151" i="19"/>
  <c r="H3151" i="19"/>
  <c r="I3151" i="19"/>
  <c r="J3151" i="19"/>
  <c r="K3151" i="19"/>
  <c r="G3152" i="19"/>
  <c r="H3152" i="19"/>
  <c r="I3152" i="19"/>
  <c r="J3152" i="19"/>
  <c r="K3152" i="19"/>
  <c r="G3153" i="19"/>
  <c r="H3153" i="19"/>
  <c r="I3153" i="19"/>
  <c r="J3153" i="19"/>
  <c r="K3153" i="19"/>
  <c r="G3154" i="19"/>
  <c r="H3154" i="19"/>
  <c r="I3154" i="19"/>
  <c r="J3154" i="19"/>
  <c r="K3154" i="19"/>
  <c r="G3155" i="19"/>
  <c r="H3155" i="19"/>
  <c r="I3155" i="19"/>
  <c r="J3155" i="19"/>
  <c r="K3155" i="19"/>
  <c r="G3156" i="19"/>
  <c r="H3156" i="19"/>
  <c r="I3156" i="19"/>
  <c r="J3156" i="19"/>
  <c r="K3156" i="19"/>
  <c r="G3157" i="19"/>
  <c r="H3157" i="19"/>
  <c r="I3157" i="19"/>
  <c r="J3157" i="19"/>
  <c r="K3157" i="19"/>
  <c r="G3158" i="19"/>
  <c r="H3158" i="19"/>
  <c r="I3158" i="19"/>
  <c r="J3158" i="19"/>
  <c r="K3158" i="19"/>
  <c r="G3159" i="19"/>
  <c r="H3159" i="19"/>
  <c r="I3159" i="19"/>
  <c r="J3159" i="19"/>
  <c r="K3159" i="19"/>
  <c r="G3160" i="19"/>
  <c r="H3160" i="19"/>
  <c r="I3160" i="19"/>
  <c r="J3160" i="19"/>
  <c r="K3160" i="19"/>
  <c r="G3161" i="19"/>
  <c r="H3161" i="19"/>
  <c r="I3161" i="19"/>
  <c r="J3161" i="19"/>
  <c r="K3161" i="19"/>
  <c r="G3162" i="19"/>
  <c r="H3162" i="19"/>
  <c r="I3162" i="19"/>
  <c r="J3162" i="19"/>
  <c r="K3162" i="19"/>
  <c r="G3163" i="19"/>
  <c r="H3163" i="19"/>
  <c r="I3163" i="19"/>
  <c r="J3163" i="19"/>
  <c r="K3163" i="19"/>
  <c r="G3164" i="19"/>
  <c r="H3164" i="19"/>
  <c r="I3164" i="19"/>
  <c r="J3164" i="19"/>
  <c r="K3164" i="19"/>
  <c r="G3165" i="19"/>
  <c r="H3165" i="19"/>
  <c r="I3165" i="19"/>
  <c r="J3165" i="19"/>
  <c r="K3165" i="19"/>
  <c r="G3166" i="19"/>
  <c r="H3166" i="19"/>
  <c r="I3166" i="19"/>
  <c r="J3166" i="19"/>
  <c r="K3166" i="19"/>
  <c r="G3167" i="19"/>
  <c r="H3167" i="19"/>
  <c r="I3167" i="19"/>
  <c r="J3167" i="19"/>
  <c r="K3167" i="19"/>
  <c r="G3168" i="19"/>
  <c r="H3168" i="19"/>
  <c r="I3168" i="19"/>
  <c r="J3168" i="19"/>
  <c r="K3168" i="19"/>
  <c r="G3169" i="19"/>
  <c r="H3169" i="19"/>
  <c r="I3169" i="19"/>
  <c r="J3169" i="19"/>
  <c r="K3169" i="19"/>
  <c r="G3170" i="19"/>
  <c r="H3170" i="19"/>
  <c r="I3170" i="19"/>
  <c r="J3170" i="19"/>
  <c r="K3170" i="19"/>
  <c r="G3171" i="19"/>
  <c r="H3171" i="19"/>
  <c r="I3171" i="19"/>
  <c r="J3171" i="19"/>
  <c r="K3171" i="19"/>
  <c r="G3172" i="19"/>
  <c r="H3172" i="19"/>
  <c r="I3172" i="19"/>
  <c r="J3172" i="19"/>
  <c r="K3172" i="19"/>
  <c r="G3173" i="19"/>
  <c r="H3173" i="19"/>
  <c r="I3173" i="19"/>
  <c r="J3173" i="19"/>
  <c r="K3173" i="19"/>
  <c r="G3174" i="19"/>
  <c r="H3174" i="19"/>
  <c r="I3174" i="19"/>
  <c r="J3174" i="19"/>
  <c r="K3174" i="19"/>
  <c r="G3175" i="19"/>
  <c r="H3175" i="19"/>
  <c r="I3175" i="19"/>
  <c r="J3175" i="19"/>
  <c r="K3175" i="19"/>
  <c r="G3176" i="19"/>
  <c r="H3176" i="19"/>
  <c r="I3176" i="19"/>
  <c r="J3176" i="19"/>
  <c r="K3176" i="19"/>
  <c r="G3177" i="19"/>
  <c r="H3177" i="19"/>
  <c r="I3177" i="19"/>
  <c r="J3177" i="19"/>
  <c r="K3177" i="19"/>
  <c r="G3178" i="19"/>
  <c r="H3178" i="19"/>
  <c r="I3178" i="19"/>
  <c r="J3178" i="19"/>
  <c r="K3178" i="19"/>
  <c r="G3179" i="19"/>
  <c r="H3179" i="19"/>
  <c r="I3179" i="19"/>
  <c r="J3179" i="19"/>
  <c r="K3179" i="19"/>
  <c r="G3180" i="19"/>
  <c r="H3180" i="19"/>
  <c r="I3180" i="19"/>
  <c r="J3180" i="19"/>
  <c r="K3180" i="19"/>
  <c r="G3181" i="19"/>
  <c r="H3181" i="19"/>
  <c r="I3181" i="19"/>
  <c r="J3181" i="19"/>
  <c r="K3181" i="19"/>
  <c r="G3182" i="19"/>
  <c r="H3182" i="19"/>
  <c r="I3182" i="19"/>
  <c r="J3182" i="19"/>
  <c r="K3182" i="19"/>
  <c r="G3183" i="19"/>
  <c r="H3183" i="19"/>
  <c r="I3183" i="19"/>
  <c r="J3183" i="19"/>
  <c r="K3183" i="19"/>
  <c r="G3184" i="19"/>
  <c r="H3184" i="19"/>
  <c r="I3184" i="19"/>
  <c r="J3184" i="19"/>
  <c r="K3184" i="19"/>
  <c r="G3185" i="19"/>
  <c r="H3185" i="19"/>
  <c r="I3185" i="19"/>
  <c r="J3185" i="19"/>
  <c r="K3185" i="19"/>
  <c r="G3186" i="19"/>
  <c r="H3186" i="19"/>
  <c r="I3186" i="19"/>
  <c r="J3186" i="19"/>
  <c r="K3186" i="19"/>
  <c r="G3187" i="19"/>
  <c r="H3187" i="19"/>
  <c r="I3187" i="19"/>
  <c r="J3187" i="19"/>
  <c r="K3187" i="19"/>
  <c r="G3188" i="19"/>
  <c r="H3188" i="19"/>
  <c r="I3188" i="19"/>
  <c r="J3188" i="19"/>
  <c r="K3188" i="19"/>
  <c r="G3189" i="19"/>
  <c r="H3189" i="19"/>
  <c r="I3189" i="19"/>
  <c r="J3189" i="19"/>
  <c r="K3189" i="19"/>
  <c r="G3190" i="19"/>
  <c r="H3190" i="19"/>
  <c r="I3190" i="19"/>
  <c r="J3190" i="19"/>
  <c r="K3190" i="19"/>
  <c r="G3191" i="19"/>
  <c r="H3191" i="19"/>
  <c r="I3191" i="19"/>
  <c r="J3191" i="19"/>
  <c r="K3191" i="19"/>
  <c r="G3192" i="19"/>
  <c r="H3192" i="19"/>
  <c r="I3192" i="19"/>
  <c r="J3192" i="19"/>
  <c r="K3192" i="19"/>
  <c r="G3193" i="19"/>
  <c r="H3193" i="19"/>
  <c r="I3193" i="19"/>
  <c r="J3193" i="19"/>
  <c r="K3193" i="19"/>
  <c r="G3194" i="19"/>
  <c r="H3194" i="19"/>
  <c r="I3194" i="19"/>
  <c r="J3194" i="19"/>
  <c r="K3194" i="19"/>
  <c r="G3195" i="19"/>
  <c r="H3195" i="19"/>
  <c r="I3195" i="19"/>
  <c r="J3195" i="19"/>
  <c r="K3195" i="19"/>
  <c r="G3196" i="19"/>
  <c r="H3196" i="19"/>
  <c r="I3196" i="19"/>
  <c r="J3196" i="19"/>
  <c r="K3196" i="19"/>
  <c r="G3197" i="19"/>
  <c r="H3197" i="19"/>
  <c r="I3197" i="19"/>
  <c r="J3197" i="19"/>
  <c r="K3197" i="19"/>
  <c r="G3198" i="19"/>
  <c r="H3198" i="19"/>
  <c r="I3198" i="19"/>
  <c r="J3198" i="19"/>
  <c r="K3198" i="19"/>
  <c r="G3199" i="19"/>
  <c r="H3199" i="19"/>
  <c r="I3199" i="19"/>
  <c r="J3199" i="19"/>
  <c r="K3199" i="19"/>
  <c r="G3200" i="19"/>
  <c r="H3200" i="19"/>
  <c r="I3200" i="19"/>
  <c r="J3200" i="19"/>
  <c r="K3200" i="19"/>
  <c r="G3201" i="19"/>
  <c r="H3201" i="19"/>
  <c r="I3201" i="19"/>
  <c r="J3201" i="19"/>
  <c r="K3201" i="19"/>
  <c r="G3202" i="19"/>
  <c r="H3202" i="19"/>
  <c r="I3202" i="19"/>
  <c r="J3202" i="19"/>
  <c r="K3202" i="19"/>
  <c r="G3203" i="19"/>
  <c r="H3203" i="19"/>
  <c r="I3203" i="19"/>
  <c r="J3203" i="19"/>
  <c r="K3203" i="19"/>
  <c r="G3204" i="19"/>
  <c r="H3204" i="19"/>
  <c r="I3204" i="19"/>
  <c r="J3204" i="19"/>
  <c r="K3204" i="19"/>
  <c r="G3205" i="19"/>
  <c r="H3205" i="19"/>
  <c r="I3205" i="19"/>
  <c r="J3205" i="19"/>
  <c r="K3205" i="19"/>
  <c r="G3206" i="19"/>
  <c r="H3206" i="19"/>
  <c r="I3206" i="19"/>
  <c r="J3206" i="19"/>
  <c r="K3206" i="19"/>
  <c r="G3207" i="19"/>
  <c r="H3207" i="19"/>
  <c r="I3207" i="19"/>
  <c r="J3207" i="19"/>
  <c r="K3207" i="19"/>
  <c r="G3208" i="19"/>
  <c r="H3208" i="19"/>
  <c r="I3208" i="19"/>
  <c r="J3208" i="19"/>
  <c r="K3208" i="19"/>
  <c r="G3209" i="19"/>
  <c r="H3209" i="19"/>
  <c r="I3209" i="19"/>
  <c r="J3209" i="19"/>
  <c r="K3209" i="19"/>
  <c r="G3210" i="19"/>
  <c r="H3210" i="19"/>
  <c r="I3210" i="19"/>
  <c r="J3210" i="19"/>
  <c r="K3210" i="19"/>
  <c r="G3211" i="19"/>
  <c r="H3211" i="19"/>
  <c r="I3211" i="19"/>
  <c r="J3211" i="19"/>
  <c r="K3211" i="19"/>
  <c r="G3212" i="19"/>
  <c r="H3212" i="19"/>
  <c r="I3212" i="19"/>
  <c r="J3212" i="19"/>
  <c r="K3212" i="19"/>
  <c r="G3213" i="19"/>
  <c r="H3213" i="19"/>
  <c r="I3213" i="19"/>
  <c r="J3213" i="19"/>
  <c r="K3213" i="19"/>
  <c r="G3214" i="19"/>
  <c r="H3214" i="19"/>
  <c r="I3214" i="19"/>
  <c r="J3214" i="19"/>
  <c r="K3214" i="19"/>
  <c r="G3215" i="19"/>
  <c r="H3215" i="19"/>
  <c r="I3215" i="19"/>
  <c r="J3215" i="19"/>
  <c r="K3215" i="19"/>
  <c r="G3216" i="19"/>
  <c r="H3216" i="19"/>
  <c r="I3216" i="19"/>
  <c r="J3216" i="19"/>
  <c r="K3216" i="19"/>
  <c r="G3217" i="19"/>
  <c r="H3217" i="19"/>
  <c r="I3217" i="19"/>
  <c r="J3217" i="19"/>
  <c r="K3217" i="19"/>
  <c r="G3218" i="19"/>
  <c r="H3218" i="19"/>
  <c r="I3218" i="19"/>
  <c r="J3218" i="19"/>
  <c r="K3218" i="19"/>
  <c r="G3219" i="19"/>
  <c r="H3219" i="19"/>
  <c r="I3219" i="19"/>
  <c r="J3219" i="19"/>
  <c r="K3219" i="19"/>
  <c r="G3220" i="19"/>
  <c r="H3220" i="19"/>
  <c r="I3220" i="19"/>
  <c r="J3220" i="19"/>
  <c r="K3220" i="19"/>
  <c r="G3221" i="19"/>
  <c r="H3221" i="19"/>
  <c r="I3221" i="19"/>
  <c r="J3221" i="19"/>
  <c r="K3221" i="19"/>
  <c r="G3222" i="19"/>
  <c r="H3222" i="19"/>
  <c r="I3222" i="19"/>
  <c r="J3222" i="19"/>
  <c r="K3222" i="19"/>
  <c r="G3223" i="19"/>
  <c r="H3223" i="19"/>
  <c r="I3223" i="19"/>
  <c r="J3223" i="19"/>
  <c r="K3223" i="19"/>
  <c r="G3224" i="19"/>
  <c r="H3224" i="19"/>
  <c r="I3224" i="19"/>
  <c r="J3224" i="19"/>
  <c r="K3224" i="19"/>
  <c r="G3225" i="19"/>
  <c r="H3225" i="19"/>
  <c r="I3225" i="19"/>
  <c r="J3225" i="19"/>
  <c r="K3225" i="19"/>
  <c r="G3226" i="19"/>
  <c r="H3226" i="19"/>
  <c r="I3226" i="19"/>
  <c r="J3226" i="19"/>
  <c r="K3226" i="19"/>
  <c r="G3227" i="19"/>
  <c r="H3227" i="19"/>
  <c r="I3227" i="19"/>
  <c r="J3227" i="19"/>
  <c r="K3227" i="19"/>
  <c r="G3228" i="19"/>
  <c r="H3228" i="19"/>
  <c r="I3228" i="19"/>
  <c r="J3228" i="19"/>
  <c r="K3228" i="19"/>
  <c r="G3229" i="19"/>
  <c r="H3229" i="19"/>
  <c r="I3229" i="19"/>
  <c r="J3229" i="19"/>
  <c r="K3229" i="19"/>
  <c r="G3230" i="19"/>
  <c r="H3230" i="19"/>
  <c r="I3230" i="19"/>
  <c r="J3230" i="19"/>
  <c r="K3230" i="19"/>
  <c r="G3231" i="19"/>
  <c r="H3231" i="19"/>
  <c r="I3231" i="19"/>
  <c r="J3231" i="19"/>
  <c r="K3231" i="19"/>
  <c r="G3232" i="19"/>
  <c r="H3232" i="19"/>
  <c r="I3232" i="19"/>
  <c r="J3232" i="19"/>
  <c r="K3232" i="19"/>
  <c r="G3233" i="19"/>
  <c r="H3233" i="19"/>
  <c r="I3233" i="19"/>
  <c r="J3233" i="19"/>
  <c r="K3233" i="19"/>
  <c r="G3234" i="19"/>
  <c r="H3234" i="19"/>
  <c r="I3234" i="19"/>
  <c r="J3234" i="19"/>
  <c r="K3234" i="19"/>
  <c r="G3235" i="19"/>
  <c r="H3235" i="19"/>
  <c r="I3235" i="19"/>
  <c r="J3235" i="19"/>
  <c r="K3235" i="19"/>
  <c r="G3236" i="19"/>
  <c r="H3236" i="19"/>
  <c r="I3236" i="19"/>
  <c r="J3236" i="19"/>
  <c r="K3236" i="19"/>
  <c r="G3237" i="19"/>
  <c r="H3237" i="19"/>
  <c r="I3237" i="19"/>
  <c r="J3237" i="19"/>
  <c r="K3237" i="19"/>
  <c r="G3238" i="19"/>
  <c r="H3238" i="19"/>
  <c r="I3238" i="19"/>
  <c r="J3238" i="19"/>
  <c r="K3238" i="19"/>
  <c r="G3239" i="19"/>
  <c r="H3239" i="19"/>
  <c r="I3239" i="19"/>
  <c r="J3239" i="19"/>
  <c r="K3239" i="19"/>
  <c r="G3240" i="19"/>
  <c r="H3240" i="19"/>
  <c r="I3240" i="19"/>
  <c r="J3240" i="19"/>
  <c r="K3240" i="19"/>
  <c r="G3241" i="19"/>
  <c r="H3241" i="19"/>
  <c r="I3241" i="19"/>
  <c r="J3241" i="19"/>
  <c r="K3241" i="19"/>
  <c r="G3242" i="19"/>
  <c r="H3242" i="19"/>
  <c r="I3242" i="19"/>
  <c r="J3242" i="19"/>
  <c r="K3242" i="19"/>
  <c r="G3243" i="19"/>
  <c r="H3243" i="19"/>
  <c r="I3243" i="19"/>
  <c r="J3243" i="19"/>
  <c r="K3243" i="19"/>
  <c r="G3244" i="19"/>
  <c r="H3244" i="19"/>
  <c r="I3244" i="19"/>
  <c r="J3244" i="19"/>
  <c r="K3244" i="19"/>
  <c r="G3245" i="19"/>
  <c r="H3245" i="19"/>
  <c r="I3245" i="19"/>
  <c r="J3245" i="19"/>
  <c r="K3245" i="19"/>
  <c r="G3246" i="19"/>
  <c r="H3246" i="19"/>
  <c r="I3246" i="19"/>
  <c r="J3246" i="19"/>
  <c r="K3246" i="19"/>
  <c r="G3247" i="19"/>
  <c r="H3247" i="19"/>
  <c r="I3247" i="19"/>
  <c r="J3247" i="19"/>
  <c r="K3247" i="19"/>
  <c r="G3248" i="19"/>
  <c r="H3248" i="19"/>
  <c r="I3248" i="19"/>
  <c r="J3248" i="19"/>
  <c r="K3248" i="19"/>
  <c r="G3249" i="19"/>
  <c r="H3249" i="19"/>
  <c r="I3249" i="19"/>
  <c r="J3249" i="19"/>
  <c r="K3249" i="19"/>
  <c r="G3250" i="19"/>
  <c r="H3250" i="19"/>
  <c r="I3250" i="19"/>
  <c r="J3250" i="19"/>
  <c r="K3250" i="19"/>
  <c r="G3251" i="19"/>
  <c r="H3251" i="19"/>
  <c r="I3251" i="19"/>
  <c r="J3251" i="19"/>
  <c r="K3251" i="19"/>
  <c r="G3252" i="19"/>
  <c r="H3252" i="19"/>
  <c r="I3252" i="19"/>
  <c r="J3252" i="19"/>
  <c r="K3252" i="19"/>
  <c r="G3253" i="19"/>
  <c r="H3253" i="19"/>
  <c r="I3253" i="19"/>
  <c r="J3253" i="19"/>
  <c r="K3253" i="19"/>
  <c r="G3254" i="19"/>
  <c r="H3254" i="19"/>
  <c r="I3254" i="19"/>
  <c r="J3254" i="19"/>
  <c r="K3254" i="19"/>
  <c r="G3255" i="19"/>
  <c r="H3255" i="19"/>
  <c r="I3255" i="19"/>
  <c r="J3255" i="19"/>
  <c r="K3255" i="19"/>
  <c r="G3256" i="19"/>
  <c r="H3256" i="19"/>
  <c r="I3256" i="19"/>
  <c r="J3256" i="19"/>
  <c r="K3256" i="19"/>
  <c r="G3257" i="19"/>
  <c r="H3257" i="19"/>
  <c r="I3257" i="19"/>
  <c r="J3257" i="19"/>
  <c r="K3257" i="19"/>
  <c r="G3258" i="19"/>
  <c r="H3258" i="19"/>
  <c r="I3258" i="19"/>
  <c r="J3258" i="19"/>
  <c r="K3258" i="19"/>
  <c r="G3259" i="19"/>
  <c r="H3259" i="19"/>
  <c r="I3259" i="19"/>
  <c r="J3259" i="19"/>
  <c r="K3259" i="19"/>
  <c r="G3260" i="19"/>
  <c r="H3260" i="19"/>
  <c r="I3260" i="19"/>
  <c r="J3260" i="19"/>
  <c r="K3260" i="19"/>
  <c r="G3261" i="19"/>
  <c r="H3261" i="19"/>
  <c r="I3261" i="19"/>
  <c r="J3261" i="19"/>
  <c r="K3261" i="19"/>
  <c r="G3262" i="19"/>
  <c r="H3262" i="19"/>
  <c r="I3262" i="19"/>
  <c r="J3262" i="19"/>
  <c r="K3262" i="19"/>
  <c r="G3263" i="19"/>
  <c r="H3263" i="19"/>
  <c r="I3263" i="19"/>
  <c r="J3263" i="19"/>
  <c r="K3263" i="19"/>
  <c r="G3264" i="19"/>
  <c r="H3264" i="19"/>
  <c r="I3264" i="19"/>
  <c r="J3264" i="19"/>
  <c r="K3264" i="19"/>
  <c r="G3265" i="19"/>
  <c r="H3265" i="19"/>
  <c r="I3265" i="19"/>
  <c r="J3265" i="19"/>
  <c r="K3265" i="19"/>
  <c r="G3266" i="19"/>
  <c r="H3266" i="19"/>
  <c r="I3266" i="19"/>
  <c r="J3266" i="19"/>
  <c r="K3266" i="19"/>
  <c r="G3267" i="19"/>
  <c r="H3267" i="19"/>
  <c r="I3267" i="19"/>
  <c r="J3267" i="19"/>
  <c r="K3267" i="19"/>
  <c r="G3268" i="19"/>
  <c r="H3268" i="19"/>
  <c r="I3268" i="19"/>
  <c r="J3268" i="19"/>
  <c r="K3268" i="19"/>
  <c r="G3269" i="19"/>
  <c r="H3269" i="19"/>
  <c r="I3269" i="19"/>
  <c r="J3269" i="19"/>
  <c r="K3269" i="19"/>
  <c r="G3270" i="19"/>
  <c r="H3270" i="19"/>
  <c r="I3270" i="19"/>
  <c r="J3270" i="19"/>
  <c r="K3270" i="19"/>
  <c r="G3271" i="19"/>
  <c r="H3271" i="19"/>
  <c r="I3271" i="19"/>
  <c r="J3271" i="19"/>
  <c r="K3271" i="19"/>
  <c r="G3272" i="19"/>
  <c r="H3272" i="19"/>
  <c r="I3272" i="19"/>
  <c r="J3272" i="19"/>
  <c r="K3272" i="19"/>
  <c r="G3273" i="19"/>
  <c r="H3273" i="19"/>
  <c r="I3273" i="19"/>
  <c r="J3273" i="19"/>
  <c r="K3273" i="19"/>
  <c r="G3274" i="19"/>
  <c r="H3274" i="19"/>
  <c r="I3274" i="19"/>
  <c r="J3274" i="19"/>
  <c r="K3274" i="19"/>
  <c r="G3275" i="19"/>
  <c r="H3275" i="19"/>
  <c r="I3275" i="19"/>
  <c r="J3275" i="19"/>
  <c r="K3275" i="19"/>
  <c r="G3276" i="19"/>
  <c r="H3276" i="19"/>
  <c r="I3276" i="19"/>
  <c r="J3276" i="19"/>
  <c r="K3276" i="19"/>
  <c r="G3277" i="19"/>
  <c r="H3277" i="19"/>
  <c r="I3277" i="19"/>
  <c r="J3277" i="19"/>
  <c r="K3277" i="19"/>
  <c r="G3278" i="19"/>
  <c r="H3278" i="19"/>
  <c r="I3278" i="19"/>
  <c r="J3278" i="19"/>
  <c r="K3278" i="19"/>
  <c r="G3279" i="19"/>
  <c r="H3279" i="19"/>
  <c r="I3279" i="19"/>
  <c r="J3279" i="19"/>
  <c r="K3279" i="19"/>
  <c r="G3280" i="19"/>
  <c r="H3280" i="19"/>
  <c r="I3280" i="19"/>
  <c r="J3280" i="19"/>
  <c r="K3280" i="19"/>
  <c r="G3281" i="19"/>
  <c r="H3281" i="19"/>
  <c r="I3281" i="19"/>
  <c r="J3281" i="19"/>
  <c r="K3281" i="19"/>
  <c r="G3282" i="19"/>
  <c r="H3282" i="19"/>
  <c r="I3282" i="19"/>
  <c r="J3282" i="19"/>
  <c r="K3282" i="19"/>
  <c r="G3283" i="19"/>
  <c r="H3283" i="19"/>
  <c r="I3283" i="19"/>
  <c r="J3283" i="19"/>
  <c r="K3283" i="19"/>
  <c r="G3284" i="19"/>
  <c r="H3284" i="19"/>
  <c r="I3284" i="19"/>
  <c r="J3284" i="19"/>
  <c r="K3284" i="19"/>
  <c r="G3285" i="19"/>
  <c r="H3285" i="19"/>
  <c r="I3285" i="19"/>
  <c r="J3285" i="19"/>
  <c r="K3285" i="19"/>
  <c r="G3286" i="19"/>
  <c r="H3286" i="19"/>
  <c r="I3286" i="19"/>
  <c r="J3286" i="19"/>
  <c r="K3286" i="19"/>
  <c r="G3287" i="19"/>
  <c r="H3287" i="19"/>
  <c r="I3287" i="19"/>
  <c r="J3287" i="19"/>
  <c r="K3287" i="19"/>
  <c r="G3288" i="19"/>
  <c r="H3288" i="19"/>
  <c r="I3288" i="19"/>
  <c r="J3288" i="19"/>
  <c r="K3288" i="19"/>
  <c r="G3289" i="19"/>
  <c r="H3289" i="19"/>
  <c r="I3289" i="19"/>
  <c r="J3289" i="19"/>
  <c r="K3289" i="19"/>
  <c r="G3290" i="19"/>
  <c r="H3290" i="19"/>
  <c r="I3290" i="19"/>
  <c r="J3290" i="19"/>
  <c r="K3290" i="19"/>
  <c r="G3291" i="19"/>
  <c r="H3291" i="19"/>
  <c r="I3291" i="19"/>
  <c r="J3291" i="19"/>
  <c r="K3291" i="19"/>
  <c r="G3292" i="19"/>
  <c r="H3292" i="19"/>
  <c r="I3292" i="19"/>
  <c r="J3292" i="19"/>
  <c r="K3292" i="19"/>
  <c r="G3293" i="19"/>
  <c r="H3293" i="19"/>
  <c r="I3293" i="19"/>
  <c r="J3293" i="19"/>
  <c r="K3293" i="19"/>
  <c r="G3294" i="19"/>
  <c r="H3294" i="19"/>
  <c r="I3294" i="19"/>
  <c r="J3294" i="19"/>
  <c r="K3294" i="19"/>
  <c r="G3295" i="19"/>
  <c r="H3295" i="19"/>
  <c r="I3295" i="19"/>
  <c r="J3295" i="19"/>
  <c r="K3295" i="19"/>
  <c r="G3296" i="19"/>
  <c r="H3296" i="19"/>
  <c r="I3296" i="19"/>
  <c r="J3296" i="19"/>
  <c r="K3296" i="19"/>
  <c r="G3297" i="19"/>
  <c r="H3297" i="19"/>
  <c r="I3297" i="19"/>
  <c r="J3297" i="19"/>
  <c r="K3297" i="19"/>
  <c r="G3298" i="19"/>
  <c r="H3298" i="19"/>
  <c r="I3298" i="19"/>
  <c r="J3298" i="19"/>
  <c r="K3298" i="19"/>
  <c r="G3299" i="19"/>
  <c r="H3299" i="19"/>
  <c r="I3299" i="19"/>
  <c r="J3299" i="19"/>
  <c r="K3299" i="19"/>
  <c r="G3300" i="19"/>
  <c r="H3300" i="19"/>
  <c r="I3300" i="19"/>
  <c r="J3300" i="19"/>
  <c r="K3300" i="19"/>
  <c r="G3301" i="19"/>
  <c r="H3301" i="19"/>
  <c r="I3301" i="19"/>
  <c r="J3301" i="19"/>
  <c r="K3301" i="19"/>
  <c r="G3302" i="19"/>
  <c r="H3302" i="19"/>
  <c r="I3302" i="19"/>
  <c r="J3302" i="19"/>
  <c r="K3302" i="19"/>
  <c r="G3303" i="19"/>
  <c r="H3303" i="19"/>
  <c r="I3303" i="19"/>
  <c r="J3303" i="19"/>
  <c r="K3303" i="19"/>
  <c r="G3304" i="19"/>
  <c r="H3304" i="19"/>
  <c r="I3304" i="19"/>
  <c r="J3304" i="19"/>
  <c r="K3304" i="19"/>
  <c r="G3305" i="19"/>
  <c r="H3305" i="19"/>
  <c r="I3305" i="19"/>
  <c r="J3305" i="19"/>
  <c r="K3305" i="19"/>
  <c r="G3306" i="19"/>
  <c r="H3306" i="19"/>
  <c r="I3306" i="19"/>
  <c r="J3306" i="19"/>
  <c r="K3306" i="19"/>
  <c r="G3307" i="19"/>
  <c r="H3307" i="19"/>
  <c r="I3307" i="19"/>
  <c r="J3307" i="19"/>
  <c r="K3307" i="19"/>
  <c r="G3308" i="19"/>
  <c r="H3308" i="19"/>
  <c r="I3308" i="19"/>
  <c r="J3308" i="19"/>
  <c r="K3308" i="19"/>
  <c r="G3309" i="19"/>
  <c r="H3309" i="19"/>
  <c r="I3309" i="19"/>
  <c r="J3309" i="19"/>
  <c r="K3309" i="19"/>
  <c r="G3310" i="19"/>
  <c r="H3310" i="19"/>
  <c r="I3310" i="19"/>
  <c r="J3310" i="19"/>
  <c r="K3310" i="19"/>
  <c r="G3311" i="19"/>
  <c r="H3311" i="19"/>
  <c r="I3311" i="19"/>
  <c r="J3311" i="19"/>
  <c r="K3311" i="19"/>
  <c r="G3312" i="19"/>
  <c r="H3312" i="19"/>
  <c r="I3312" i="19"/>
  <c r="J3312" i="19"/>
  <c r="K3312" i="19"/>
  <c r="G3313" i="19"/>
  <c r="H3313" i="19"/>
  <c r="I3313" i="19"/>
  <c r="J3313" i="19"/>
  <c r="K3313" i="19"/>
  <c r="G3314" i="19"/>
  <c r="H3314" i="19"/>
  <c r="I3314" i="19"/>
  <c r="J3314" i="19"/>
  <c r="K3314" i="19"/>
  <c r="G3315" i="19"/>
  <c r="H3315" i="19"/>
  <c r="I3315" i="19"/>
  <c r="J3315" i="19"/>
  <c r="K3315" i="19"/>
  <c r="G3316" i="19"/>
  <c r="H3316" i="19"/>
  <c r="I3316" i="19"/>
  <c r="J3316" i="19"/>
  <c r="K3316" i="19"/>
  <c r="G3317" i="19"/>
  <c r="H3317" i="19"/>
  <c r="I3317" i="19"/>
  <c r="J3317" i="19"/>
  <c r="K3317" i="19"/>
  <c r="G3318" i="19"/>
  <c r="H3318" i="19"/>
  <c r="I3318" i="19"/>
  <c r="J3318" i="19"/>
  <c r="K3318" i="19"/>
  <c r="G3319" i="19"/>
  <c r="H3319" i="19"/>
  <c r="I3319" i="19"/>
  <c r="J3319" i="19"/>
  <c r="K3319" i="19"/>
  <c r="G3320" i="19"/>
  <c r="H3320" i="19"/>
  <c r="I3320" i="19"/>
  <c r="J3320" i="19"/>
  <c r="K3320" i="19"/>
  <c r="G3321" i="19"/>
  <c r="H3321" i="19"/>
  <c r="I3321" i="19"/>
  <c r="J3321" i="19"/>
  <c r="K3321" i="19"/>
  <c r="G3322" i="19"/>
  <c r="H3322" i="19"/>
  <c r="I3322" i="19"/>
  <c r="J3322" i="19"/>
  <c r="K3322" i="19"/>
  <c r="G3323" i="19"/>
  <c r="H3323" i="19"/>
  <c r="I3323" i="19"/>
  <c r="J3323" i="19"/>
  <c r="K3323" i="19"/>
  <c r="G3324" i="19"/>
  <c r="H3324" i="19"/>
  <c r="I3324" i="19"/>
  <c r="J3324" i="19"/>
  <c r="K3324" i="19"/>
  <c r="G3325" i="19"/>
  <c r="H3325" i="19"/>
  <c r="I3325" i="19"/>
  <c r="J3325" i="19"/>
  <c r="K3325" i="19"/>
  <c r="G3326" i="19"/>
  <c r="H3326" i="19"/>
  <c r="I3326" i="19"/>
  <c r="J3326" i="19"/>
  <c r="K3326" i="19"/>
  <c r="G3327" i="19"/>
  <c r="H3327" i="19"/>
  <c r="I3327" i="19"/>
  <c r="J3327" i="19"/>
  <c r="K3327" i="19"/>
  <c r="G3328" i="19"/>
  <c r="H3328" i="19"/>
  <c r="I3328" i="19"/>
  <c r="J3328" i="19"/>
  <c r="K3328" i="19"/>
  <c r="G3329" i="19"/>
  <c r="H3329" i="19"/>
  <c r="I3329" i="19"/>
  <c r="J3329" i="19"/>
  <c r="K3329" i="19"/>
  <c r="G3330" i="19"/>
  <c r="H3330" i="19"/>
  <c r="I3330" i="19"/>
  <c r="J3330" i="19"/>
  <c r="K3330" i="19"/>
  <c r="G3331" i="19"/>
  <c r="H3331" i="19"/>
  <c r="I3331" i="19"/>
  <c r="J3331" i="19"/>
  <c r="K3331" i="19"/>
  <c r="G3332" i="19"/>
  <c r="H3332" i="19"/>
  <c r="I3332" i="19"/>
  <c r="J3332" i="19"/>
  <c r="K3332" i="19"/>
  <c r="G3333" i="19"/>
  <c r="H3333" i="19"/>
  <c r="I3333" i="19"/>
  <c r="J3333" i="19"/>
  <c r="K3333" i="19"/>
  <c r="G3334" i="19"/>
  <c r="H3334" i="19"/>
  <c r="I3334" i="19"/>
  <c r="J3334" i="19"/>
  <c r="K3334" i="19"/>
  <c r="G3335" i="19"/>
  <c r="H3335" i="19"/>
  <c r="I3335" i="19"/>
  <c r="J3335" i="19"/>
  <c r="K3335" i="19"/>
  <c r="G3336" i="19"/>
  <c r="H3336" i="19"/>
  <c r="I3336" i="19"/>
  <c r="J3336" i="19"/>
  <c r="K3336" i="19"/>
  <c r="G3337" i="19"/>
  <c r="H3337" i="19"/>
  <c r="I3337" i="19"/>
  <c r="J3337" i="19"/>
  <c r="K3337" i="19"/>
  <c r="G3338" i="19"/>
  <c r="H3338" i="19"/>
  <c r="I3338" i="19"/>
  <c r="J3338" i="19"/>
  <c r="K3338" i="19"/>
  <c r="G3339" i="19"/>
  <c r="H3339" i="19"/>
  <c r="I3339" i="19"/>
  <c r="J3339" i="19"/>
  <c r="K3339" i="19"/>
  <c r="G3340" i="19"/>
  <c r="H3340" i="19"/>
  <c r="I3340" i="19"/>
  <c r="J3340" i="19"/>
  <c r="K3340" i="19"/>
  <c r="G3341" i="19"/>
  <c r="H3341" i="19"/>
  <c r="I3341" i="19"/>
  <c r="J3341" i="19"/>
  <c r="K3341" i="19"/>
  <c r="G3342" i="19"/>
  <c r="H3342" i="19"/>
  <c r="I3342" i="19"/>
  <c r="J3342" i="19"/>
  <c r="K3342" i="19"/>
  <c r="G3343" i="19"/>
  <c r="H3343" i="19"/>
  <c r="I3343" i="19"/>
  <c r="J3343" i="19"/>
  <c r="K3343" i="19"/>
  <c r="G3344" i="19"/>
  <c r="H3344" i="19"/>
  <c r="I3344" i="19"/>
  <c r="J3344" i="19"/>
  <c r="K3344" i="19"/>
  <c r="G3345" i="19"/>
  <c r="H3345" i="19"/>
  <c r="I3345" i="19"/>
  <c r="J3345" i="19"/>
  <c r="K3345" i="19"/>
  <c r="G3346" i="19"/>
  <c r="H3346" i="19"/>
  <c r="I3346" i="19"/>
  <c r="J3346" i="19"/>
  <c r="K3346" i="19"/>
  <c r="G3347" i="19"/>
  <c r="H3347" i="19"/>
  <c r="I3347" i="19"/>
  <c r="J3347" i="19"/>
  <c r="K3347" i="19"/>
  <c r="G3348" i="19"/>
  <c r="H3348" i="19"/>
  <c r="I3348" i="19"/>
  <c r="J3348" i="19"/>
  <c r="K3348" i="19"/>
  <c r="G3349" i="19"/>
  <c r="H3349" i="19"/>
  <c r="I3349" i="19"/>
  <c r="J3349" i="19"/>
  <c r="K3349" i="19"/>
  <c r="G3350" i="19"/>
  <c r="H3350" i="19"/>
  <c r="I3350" i="19"/>
  <c r="J3350" i="19"/>
  <c r="K3350" i="19"/>
  <c r="G3351" i="19"/>
  <c r="H3351" i="19"/>
  <c r="I3351" i="19"/>
  <c r="J3351" i="19"/>
  <c r="K3351" i="19"/>
  <c r="G3352" i="19"/>
  <c r="H3352" i="19"/>
  <c r="I3352" i="19"/>
  <c r="J3352" i="19"/>
  <c r="K3352" i="19"/>
  <c r="G3353" i="19"/>
  <c r="H3353" i="19"/>
  <c r="I3353" i="19"/>
  <c r="J3353" i="19"/>
  <c r="K3353" i="19"/>
  <c r="G3354" i="19"/>
  <c r="H3354" i="19"/>
  <c r="I3354" i="19"/>
  <c r="J3354" i="19"/>
  <c r="K3354" i="19"/>
  <c r="G3355" i="19"/>
  <c r="H3355" i="19"/>
  <c r="I3355" i="19"/>
  <c r="J3355" i="19"/>
  <c r="K3355" i="19"/>
  <c r="G3356" i="19"/>
  <c r="H3356" i="19"/>
  <c r="I3356" i="19"/>
  <c r="J3356" i="19"/>
  <c r="K3356" i="19"/>
  <c r="G3357" i="19"/>
  <c r="H3357" i="19"/>
  <c r="I3357" i="19"/>
  <c r="J3357" i="19"/>
  <c r="K3357" i="19"/>
  <c r="G3358" i="19"/>
  <c r="H3358" i="19"/>
  <c r="I3358" i="19"/>
  <c r="J3358" i="19"/>
  <c r="K3358" i="19"/>
  <c r="G3359" i="19"/>
  <c r="H3359" i="19"/>
  <c r="I3359" i="19"/>
  <c r="J3359" i="19"/>
  <c r="K3359" i="19"/>
  <c r="G3360" i="19"/>
  <c r="H3360" i="19"/>
  <c r="I3360" i="19"/>
  <c r="J3360" i="19"/>
  <c r="K3360" i="19"/>
  <c r="G3361" i="19"/>
  <c r="H3361" i="19"/>
  <c r="I3361" i="19"/>
  <c r="J3361" i="19"/>
  <c r="K3361" i="19"/>
  <c r="G3362" i="19"/>
  <c r="H3362" i="19"/>
  <c r="I3362" i="19"/>
  <c r="J3362" i="19"/>
  <c r="K3362" i="19"/>
  <c r="G3363" i="19"/>
  <c r="H3363" i="19"/>
  <c r="I3363" i="19"/>
  <c r="J3363" i="19"/>
  <c r="K3363" i="19"/>
  <c r="G3364" i="19"/>
  <c r="H3364" i="19"/>
  <c r="I3364" i="19"/>
  <c r="J3364" i="19"/>
  <c r="K3364" i="19"/>
  <c r="G3365" i="19"/>
  <c r="H3365" i="19"/>
  <c r="I3365" i="19"/>
  <c r="J3365" i="19"/>
  <c r="K3365" i="19"/>
  <c r="G3366" i="19"/>
  <c r="H3366" i="19"/>
  <c r="I3366" i="19"/>
  <c r="J3366" i="19"/>
  <c r="K3366" i="19"/>
  <c r="G3367" i="19"/>
  <c r="H3367" i="19"/>
  <c r="I3367" i="19"/>
  <c r="J3367" i="19"/>
  <c r="K3367" i="19"/>
  <c r="G3368" i="19"/>
  <c r="H3368" i="19"/>
  <c r="I3368" i="19"/>
  <c r="J3368" i="19"/>
  <c r="K3368" i="19"/>
  <c r="G3369" i="19"/>
  <c r="H3369" i="19"/>
  <c r="I3369" i="19"/>
  <c r="J3369" i="19"/>
  <c r="K3369" i="19"/>
  <c r="G3370" i="19"/>
  <c r="H3370" i="19"/>
  <c r="I3370" i="19"/>
  <c r="J3370" i="19"/>
  <c r="K3370" i="19"/>
  <c r="G3371" i="19"/>
  <c r="H3371" i="19"/>
  <c r="I3371" i="19"/>
  <c r="J3371" i="19"/>
  <c r="K3371" i="19"/>
  <c r="G3372" i="19"/>
  <c r="H3372" i="19"/>
  <c r="I3372" i="19"/>
  <c r="J3372" i="19"/>
  <c r="K3372" i="19"/>
  <c r="G3373" i="19"/>
  <c r="H3373" i="19"/>
  <c r="I3373" i="19"/>
  <c r="J3373" i="19"/>
  <c r="K3373" i="19"/>
  <c r="G3374" i="19"/>
  <c r="H3374" i="19"/>
  <c r="I3374" i="19"/>
  <c r="J3374" i="19"/>
  <c r="K3374" i="19"/>
  <c r="G3375" i="19"/>
  <c r="H3375" i="19"/>
  <c r="I3375" i="19"/>
  <c r="J3375" i="19"/>
  <c r="K3375" i="19"/>
  <c r="G3376" i="19"/>
  <c r="H3376" i="19"/>
  <c r="I3376" i="19"/>
  <c r="J3376" i="19"/>
  <c r="K3376" i="19"/>
  <c r="G3377" i="19"/>
  <c r="H3377" i="19"/>
  <c r="I3377" i="19"/>
  <c r="J3377" i="19"/>
  <c r="K3377" i="19"/>
  <c r="G3378" i="19"/>
  <c r="H3378" i="19"/>
  <c r="I3378" i="19"/>
  <c r="J3378" i="19"/>
  <c r="K3378" i="19"/>
  <c r="G3379" i="19"/>
  <c r="H3379" i="19"/>
  <c r="I3379" i="19"/>
  <c r="J3379" i="19"/>
  <c r="K3379" i="19"/>
  <c r="G3380" i="19"/>
  <c r="H3380" i="19"/>
  <c r="I3380" i="19"/>
  <c r="J3380" i="19"/>
  <c r="K3380" i="19"/>
  <c r="G3381" i="19"/>
  <c r="H3381" i="19"/>
  <c r="I3381" i="19"/>
  <c r="J3381" i="19"/>
  <c r="K3381" i="19"/>
  <c r="G3382" i="19"/>
  <c r="H3382" i="19"/>
  <c r="I3382" i="19"/>
  <c r="J3382" i="19"/>
  <c r="K3382" i="19"/>
  <c r="G3383" i="19"/>
  <c r="H3383" i="19"/>
  <c r="I3383" i="19"/>
  <c r="J3383" i="19"/>
  <c r="K3383" i="19"/>
  <c r="G3384" i="19"/>
  <c r="H3384" i="19"/>
  <c r="I3384" i="19"/>
  <c r="J3384" i="19"/>
  <c r="K3384" i="19"/>
  <c r="G3385" i="19"/>
  <c r="H3385" i="19"/>
  <c r="I3385" i="19"/>
  <c r="J3385" i="19"/>
  <c r="K3385" i="19"/>
  <c r="G3386" i="19"/>
  <c r="H3386" i="19"/>
  <c r="I3386" i="19"/>
  <c r="J3386" i="19"/>
  <c r="K3386" i="19"/>
  <c r="G3387" i="19"/>
  <c r="H3387" i="19"/>
  <c r="I3387" i="19"/>
  <c r="J3387" i="19"/>
  <c r="K3387" i="19"/>
  <c r="G3388" i="19"/>
  <c r="H3388" i="19"/>
  <c r="I3388" i="19"/>
  <c r="J3388" i="19"/>
  <c r="K3388" i="19"/>
  <c r="G3389" i="19"/>
  <c r="H3389" i="19"/>
  <c r="I3389" i="19"/>
  <c r="J3389" i="19"/>
  <c r="K3389" i="19"/>
  <c r="G3390" i="19"/>
  <c r="H3390" i="19"/>
  <c r="I3390" i="19"/>
  <c r="J3390" i="19"/>
  <c r="K3390" i="19"/>
  <c r="G3391" i="19"/>
  <c r="H3391" i="19"/>
  <c r="I3391" i="19"/>
  <c r="J3391" i="19"/>
  <c r="K3391" i="19"/>
  <c r="G3392" i="19"/>
  <c r="H3392" i="19"/>
  <c r="I3392" i="19"/>
  <c r="J3392" i="19"/>
  <c r="K3392" i="19"/>
  <c r="G3393" i="19"/>
  <c r="H3393" i="19"/>
  <c r="I3393" i="19"/>
  <c r="J3393" i="19"/>
  <c r="K3393" i="19"/>
  <c r="G3394" i="19"/>
  <c r="H3394" i="19"/>
  <c r="I3394" i="19"/>
  <c r="J3394" i="19"/>
  <c r="K3394" i="19"/>
  <c r="G3395" i="19"/>
  <c r="H3395" i="19"/>
  <c r="I3395" i="19"/>
  <c r="J3395" i="19"/>
  <c r="K3395" i="19"/>
  <c r="G3396" i="19"/>
  <c r="H3396" i="19"/>
  <c r="I3396" i="19"/>
  <c r="J3396" i="19"/>
  <c r="K3396" i="19"/>
  <c r="G3397" i="19"/>
  <c r="H3397" i="19"/>
  <c r="I3397" i="19"/>
  <c r="J3397" i="19"/>
  <c r="K3397" i="19"/>
  <c r="G3398" i="19"/>
  <c r="H3398" i="19"/>
  <c r="I3398" i="19"/>
  <c r="J3398" i="19"/>
  <c r="K3398" i="19"/>
  <c r="G3399" i="19"/>
  <c r="H3399" i="19"/>
  <c r="I3399" i="19"/>
  <c r="J3399" i="19"/>
  <c r="K3399" i="19"/>
  <c r="G3400" i="19"/>
  <c r="H3400" i="19"/>
  <c r="I3400" i="19"/>
  <c r="J3400" i="19"/>
  <c r="K3400" i="19"/>
  <c r="G3401" i="19"/>
  <c r="H3401" i="19"/>
  <c r="I3401" i="19"/>
  <c r="J3401" i="19"/>
  <c r="K3401" i="19"/>
  <c r="G3402" i="19"/>
  <c r="H3402" i="19"/>
  <c r="I3402" i="19"/>
  <c r="J3402" i="19"/>
  <c r="K3402" i="19"/>
  <c r="G3403" i="19"/>
  <c r="H3403" i="19"/>
  <c r="I3403" i="19"/>
  <c r="J3403" i="19"/>
  <c r="K3403" i="19"/>
  <c r="G3404" i="19"/>
  <c r="H3404" i="19"/>
  <c r="I3404" i="19"/>
  <c r="J3404" i="19"/>
  <c r="K3404" i="19"/>
  <c r="G3405" i="19"/>
  <c r="H3405" i="19"/>
  <c r="I3405" i="19"/>
  <c r="J3405" i="19"/>
  <c r="K3405" i="19"/>
  <c r="G3406" i="19"/>
  <c r="H3406" i="19"/>
  <c r="I3406" i="19"/>
  <c r="J3406" i="19"/>
  <c r="K3406" i="19"/>
  <c r="G3407" i="19"/>
  <c r="H3407" i="19"/>
  <c r="I3407" i="19"/>
  <c r="J3407" i="19"/>
  <c r="K3407" i="19"/>
  <c r="G3408" i="19"/>
  <c r="H3408" i="19"/>
  <c r="I3408" i="19"/>
  <c r="J3408" i="19"/>
  <c r="K3408" i="19"/>
  <c r="G3409" i="19"/>
  <c r="H3409" i="19"/>
  <c r="I3409" i="19"/>
  <c r="J3409" i="19"/>
  <c r="K3409" i="19"/>
  <c r="G3410" i="19"/>
  <c r="H3410" i="19"/>
  <c r="I3410" i="19"/>
  <c r="J3410" i="19"/>
  <c r="K3410" i="19"/>
  <c r="G3411" i="19"/>
  <c r="H3411" i="19"/>
  <c r="I3411" i="19"/>
  <c r="J3411" i="19"/>
  <c r="K3411" i="19"/>
  <c r="G3412" i="19"/>
  <c r="H3412" i="19"/>
  <c r="I3412" i="19"/>
  <c r="J3412" i="19"/>
  <c r="K3412" i="19"/>
  <c r="G3413" i="19"/>
  <c r="H3413" i="19"/>
  <c r="I3413" i="19"/>
  <c r="J3413" i="19"/>
  <c r="K3413" i="19"/>
  <c r="G3414" i="19"/>
  <c r="H3414" i="19"/>
  <c r="I3414" i="19"/>
  <c r="J3414" i="19"/>
  <c r="K3414" i="19"/>
  <c r="G3415" i="19"/>
  <c r="H3415" i="19"/>
  <c r="I3415" i="19"/>
  <c r="J3415" i="19"/>
  <c r="K3415" i="19"/>
  <c r="G3416" i="19"/>
  <c r="H3416" i="19"/>
  <c r="I3416" i="19"/>
  <c r="J3416" i="19"/>
  <c r="K3416" i="19"/>
  <c r="G3417" i="19"/>
  <c r="H3417" i="19"/>
  <c r="I3417" i="19"/>
  <c r="J3417" i="19"/>
  <c r="K3417" i="19"/>
  <c r="G3418" i="19"/>
  <c r="H3418" i="19"/>
  <c r="I3418" i="19"/>
  <c r="J3418" i="19"/>
  <c r="K3418" i="19"/>
  <c r="G3419" i="19"/>
  <c r="H3419" i="19"/>
  <c r="I3419" i="19"/>
  <c r="J3419" i="19"/>
  <c r="K3419" i="19"/>
  <c r="G3420" i="19"/>
  <c r="H3420" i="19"/>
  <c r="I3420" i="19"/>
  <c r="J3420" i="19"/>
  <c r="K3420" i="19"/>
  <c r="G3421" i="19"/>
  <c r="H3421" i="19"/>
  <c r="I3421" i="19"/>
  <c r="J3421" i="19"/>
  <c r="K3421" i="19"/>
  <c r="G3422" i="19"/>
  <c r="H3422" i="19"/>
  <c r="I3422" i="19"/>
  <c r="J3422" i="19"/>
  <c r="K3422" i="19"/>
  <c r="G3423" i="19"/>
  <c r="H3423" i="19"/>
  <c r="I3423" i="19"/>
  <c r="J3423" i="19"/>
  <c r="K3423" i="19"/>
  <c r="G3424" i="19"/>
  <c r="H3424" i="19"/>
  <c r="I3424" i="19"/>
  <c r="J3424" i="19"/>
  <c r="K3424" i="19"/>
  <c r="G3425" i="19"/>
  <c r="H3425" i="19"/>
  <c r="I3425" i="19"/>
  <c r="J3425" i="19"/>
  <c r="K3425" i="19"/>
  <c r="G3426" i="19"/>
  <c r="H3426" i="19"/>
  <c r="I3426" i="19"/>
  <c r="J3426" i="19"/>
  <c r="K3426" i="19"/>
  <c r="G3427" i="19"/>
  <c r="H3427" i="19"/>
  <c r="I3427" i="19"/>
  <c r="J3427" i="19"/>
  <c r="K3427" i="19"/>
  <c r="G3428" i="19"/>
  <c r="H3428" i="19"/>
  <c r="I3428" i="19"/>
  <c r="J3428" i="19"/>
  <c r="K3428" i="19"/>
  <c r="G3429" i="19"/>
  <c r="H3429" i="19"/>
  <c r="I3429" i="19"/>
  <c r="J3429" i="19"/>
  <c r="K3429" i="19"/>
  <c r="G3430" i="19"/>
  <c r="H3430" i="19"/>
  <c r="I3430" i="19"/>
  <c r="J3430" i="19"/>
  <c r="K3430" i="19"/>
  <c r="G3431" i="19"/>
  <c r="H3431" i="19"/>
  <c r="I3431" i="19"/>
  <c r="J3431" i="19"/>
  <c r="K3431" i="19"/>
  <c r="G3432" i="19"/>
  <c r="H3432" i="19"/>
  <c r="I3432" i="19"/>
  <c r="J3432" i="19"/>
  <c r="K3432" i="19"/>
  <c r="G3433" i="19"/>
  <c r="H3433" i="19"/>
  <c r="I3433" i="19"/>
  <c r="J3433" i="19"/>
  <c r="K3433" i="19"/>
  <c r="G3434" i="19"/>
  <c r="H3434" i="19"/>
  <c r="I3434" i="19"/>
  <c r="J3434" i="19"/>
  <c r="K3434" i="19"/>
  <c r="G3435" i="19"/>
  <c r="H3435" i="19"/>
  <c r="I3435" i="19"/>
  <c r="J3435" i="19"/>
  <c r="K3435" i="19"/>
  <c r="G3436" i="19"/>
  <c r="H3436" i="19"/>
  <c r="I3436" i="19"/>
  <c r="J3436" i="19"/>
  <c r="K3436" i="19"/>
  <c r="G3437" i="19"/>
  <c r="H3437" i="19"/>
  <c r="I3437" i="19"/>
  <c r="J3437" i="19"/>
  <c r="K3437" i="19"/>
  <c r="G3438" i="19"/>
  <c r="H3438" i="19"/>
  <c r="I3438" i="19"/>
  <c r="J3438" i="19"/>
  <c r="K3438" i="19"/>
  <c r="G3439" i="19"/>
  <c r="H3439" i="19"/>
  <c r="I3439" i="19"/>
  <c r="J3439" i="19"/>
  <c r="K3439" i="19"/>
  <c r="G3440" i="19"/>
  <c r="H3440" i="19"/>
  <c r="I3440" i="19"/>
  <c r="J3440" i="19"/>
  <c r="K3440" i="19"/>
  <c r="G3441" i="19"/>
  <c r="H3441" i="19"/>
  <c r="I3441" i="19"/>
  <c r="J3441" i="19"/>
  <c r="K3441" i="19"/>
  <c r="G3442" i="19"/>
  <c r="H3442" i="19"/>
  <c r="I3442" i="19"/>
  <c r="J3442" i="19"/>
  <c r="K3442" i="19"/>
  <c r="G3443" i="19"/>
  <c r="H3443" i="19"/>
  <c r="I3443" i="19"/>
  <c r="J3443" i="19"/>
  <c r="K3443" i="19"/>
  <c r="G3444" i="19"/>
  <c r="H3444" i="19"/>
  <c r="I3444" i="19"/>
  <c r="J3444" i="19"/>
  <c r="K3444" i="19"/>
  <c r="G3445" i="19"/>
  <c r="H3445" i="19"/>
  <c r="I3445" i="19"/>
  <c r="J3445" i="19"/>
  <c r="K3445" i="19"/>
  <c r="G3446" i="19"/>
  <c r="H3446" i="19"/>
  <c r="I3446" i="19"/>
  <c r="J3446" i="19"/>
  <c r="K3446" i="19"/>
  <c r="G3447" i="19"/>
  <c r="H3447" i="19"/>
  <c r="I3447" i="19"/>
  <c r="J3447" i="19"/>
  <c r="K3447" i="19"/>
  <c r="G3448" i="19"/>
  <c r="H3448" i="19"/>
  <c r="I3448" i="19"/>
  <c r="J3448" i="19"/>
  <c r="K3448" i="19"/>
  <c r="G3449" i="19"/>
  <c r="H3449" i="19"/>
  <c r="I3449" i="19"/>
  <c r="J3449" i="19"/>
  <c r="K3449" i="19"/>
  <c r="G3450" i="19"/>
  <c r="H3450" i="19"/>
  <c r="I3450" i="19"/>
  <c r="J3450" i="19"/>
  <c r="K3450" i="19"/>
  <c r="G3451" i="19"/>
  <c r="H3451" i="19"/>
  <c r="I3451" i="19"/>
  <c r="J3451" i="19"/>
  <c r="K3451" i="19"/>
  <c r="G3452" i="19"/>
  <c r="H3452" i="19"/>
  <c r="I3452" i="19"/>
  <c r="J3452" i="19"/>
  <c r="K3452" i="19"/>
  <c r="G3453" i="19"/>
  <c r="H3453" i="19"/>
  <c r="I3453" i="19"/>
  <c r="J3453" i="19"/>
  <c r="K3453" i="19"/>
  <c r="G3454" i="19"/>
  <c r="H3454" i="19"/>
  <c r="I3454" i="19"/>
  <c r="J3454" i="19"/>
  <c r="K3454" i="19"/>
  <c r="G3455" i="19"/>
  <c r="H3455" i="19"/>
  <c r="I3455" i="19"/>
  <c r="J3455" i="19"/>
  <c r="K3455" i="19"/>
  <c r="G3456" i="19"/>
  <c r="H3456" i="19"/>
  <c r="I3456" i="19"/>
  <c r="J3456" i="19"/>
  <c r="K3456" i="19"/>
  <c r="G3457" i="19"/>
  <c r="H3457" i="19"/>
  <c r="I3457" i="19"/>
  <c r="J3457" i="19"/>
  <c r="K3457" i="19"/>
  <c r="G3458" i="19"/>
  <c r="H3458" i="19"/>
  <c r="I3458" i="19"/>
  <c r="J3458" i="19"/>
  <c r="K3458" i="19"/>
  <c r="G3459" i="19"/>
  <c r="H3459" i="19"/>
  <c r="I3459" i="19"/>
  <c r="J3459" i="19"/>
  <c r="K3459" i="19"/>
  <c r="G3460" i="19"/>
  <c r="H3460" i="19"/>
  <c r="I3460" i="19"/>
  <c r="J3460" i="19"/>
  <c r="K3460" i="19"/>
  <c r="G3461" i="19"/>
  <c r="H3461" i="19"/>
  <c r="I3461" i="19"/>
  <c r="J3461" i="19"/>
  <c r="K3461" i="19"/>
  <c r="G3462" i="19"/>
  <c r="H3462" i="19"/>
  <c r="I3462" i="19"/>
  <c r="J3462" i="19"/>
  <c r="K3462" i="19"/>
  <c r="G3463" i="19"/>
  <c r="H3463" i="19"/>
  <c r="I3463" i="19"/>
  <c r="J3463" i="19"/>
  <c r="K3463" i="19"/>
  <c r="G3464" i="19"/>
  <c r="H3464" i="19"/>
  <c r="I3464" i="19"/>
  <c r="J3464" i="19"/>
  <c r="K3464" i="19"/>
  <c r="G3465" i="19"/>
  <c r="H3465" i="19"/>
  <c r="I3465" i="19"/>
  <c r="J3465" i="19"/>
  <c r="K3465" i="19"/>
  <c r="G3466" i="19"/>
  <c r="H3466" i="19"/>
  <c r="I3466" i="19"/>
  <c r="J3466" i="19"/>
  <c r="K3466" i="19"/>
  <c r="G3467" i="19"/>
  <c r="H3467" i="19"/>
  <c r="I3467" i="19"/>
  <c r="J3467" i="19"/>
  <c r="K3467" i="19"/>
  <c r="G3468" i="19"/>
  <c r="H3468" i="19"/>
  <c r="I3468" i="19"/>
  <c r="J3468" i="19"/>
  <c r="K3468" i="19"/>
  <c r="G3469" i="19"/>
  <c r="H3469" i="19"/>
  <c r="I3469" i="19"/>
  <c r="J3469" i="19"/>
  <c r="K3469" i="19"/>
  <c r="G3470" i="19"/>
  <c r="H3470" i="19"/>
  <c r="I3470" i="19"/>
  <c r="J3470" i="19"/>
  <c r="K3470" i="19"/>
  <c r="G3471" i="19"/>
  <c r="H3471" i="19"/>
  <c r="I3471" i="19"/>
  <c r="J3471" i="19"/>
  <c r="K3471" i="19"/>
  <c r="G3472" i="19"/>
  <c r="H3472" i="19"/>
  <c r="I3472" i="19"/>
  <c r="J3472" i="19"/>
  <c r="K3472" i="19"/>
  <c r="G3473" i="19"/>
  <c r="H3473" i="19"/>
  <c r="I3473" i="19"/>
  <c r="J3473" i="19"/>
  <c r="K3473" i="19"/>
  <c r="G3474" i="19"/>
  <c r="H3474" i="19"/>
  <c r="I3474" i="19"/>
  <c r="J3474" i="19"/>
  <c r="K3474" i="19"/>
  <c r="G3475" i="19"/>
  <c r="H3475" i="19"/>
  <c r="I3475" i="19"/>
  <c r="J3475" i="19"/>
  <c r="K3475" i="19"/>
  <c r="G3476" i="19"/>
  <c r="H3476" i="19"/>
  <c r="I3476" i="19"/>
  <c r="J3476" i="19"/>
  <c r="K3476" i="19"/>
  <c r="G3477" i="19"/>
  <c r="H3477" i="19"/>
  <c r="I3477" i="19"/>
  <c r="J3477" i="19"/>
  <c r="K3477" i="19"/>
  <c r="G3478" i="19"/>
  <c r="H3478" i="19"/>
  <c r="I3478" i="19"/>
  <c r="J3478" i="19"/>
  <c r="K3478" i="19"/>
  <c r="G3479" i="19"/>
  <c r="H3479" i="19"/>
  <c r="I3479" i="19"/>
  <c r="J3479" i="19"/>
  <c r="K3479" i="19"/>
  <c r="G3480" i="19"/>
  <c r="H3480" i="19"/>
  <c r="I3480" i="19"/>
  <c r="J3480" i="19"/>
  <c r="K3480" i="19"/>
  <c r="G3481" i="19"/>
  <c r="H3481" i="19"/>
  <c r="I3481" i="19"/>
  <c r="J3481" i="19"/>
  <c r="K3481" i="19"/>
  <c r="G3482" i="19"/>
  <c r="H3482" i="19"/>
  <c r="I3482" i="19"/>
  <c r="J3482" i="19"/>
  <c r="K3482" i="19"/>
  <c r="G3483" i="19"/>
  <c r="H3483" i="19"/>
  <c r="I3483" i="19"/>
  <c r="J3483" i="19"/>
  <c r="K3483" i="19"/>
  <c r="G3484" i="19"/>
  <c r="H3484" i="19"/>
  <c r="I3484" i="19"/>
  <c r="J3484" i="19"/>
  <c r="K3484" i="19"/>
  <c r="G3485" i="19"/>
  <c r="H3485" i="19"/>
  <c r="I3485" i="19"/>
  <c r="J3485" i="19"/>
  <c r="K3485" i="19"/>
  <c r="G3486" i="19"/>
  <c r="H3486" i="19"/>
  <c r="I3486" i="19"/>
  <c r="J3486" i="19"/>
  <c r="K3486" i="19"/>
  <c r="G3487" i="19"/>
  <c r="H3487" i="19"/>
  <c r="I3487" i="19"/>
  <c r="J3487" i="19"/>
  <c r="K3487" i="19"/>
  <c r="G3488" i="19"/>
  <c r="H3488" i="19"/>
  <c r="I3488" i="19"/>
  <c r="J3488" i="19"/>
  <c r="K3488" i="19"/>
  <c r="G3489" i="19"/>
  <c r="H3489" i="19"/>
  <c r="I3489" i="19"/>
  <c r="J3489" i="19"/>
  <c r="K3489" i="19"/>
  <c r="G3490" i="19"/>
  <c r="H3490" i="19"/>
  <c r="I3490" i="19"/>
  <c r="J3490" i="19"/>
  <c r="K3490" i="19"/>
  <c r="G3491" i="19"/>
  <c r="H3491" i="19"/>
  <c r="I3491" i="19"/>
  <c r="J3491" i="19"/>
  <c r="K3491" i="19"/>
  <c r="G3492" i="19"/>
  <c r="H3492" i="19"/>
  <c r="I3492" i="19"/>
  <c r="J3492" i="19"/>
  <c r="K3492" i="19"/>
  <c r="G3493" i="19"/>
  <c r="H3493" i="19"/>
  <c r="I3493" i="19"/>
  <c r="J3493" i="19"/>
  <c r="K3493" i="19"/>
  <c r="G3494" i="19"/>
  <c r="H3494" i="19"/>
  <c r="I3494" i="19"/>
  <c r="J3494" i="19"/>
  <c r="K3494" i="19"/>
  <c r="G3495" i="19"/>
  <c r="H3495" i="19"/>
  <c r="I3495" i="19"/>
  <c r="J3495" i="19"/>
  <c r="K3495" i="19"/>
  <c r="G3496" i="19"/>
  <c r="H3496" i="19"/>
  <c r="I3496" i="19"/>
  <c r="J3496" i="19"/>
  <c r="K3496" i="19"/>
  <c r="G3497" i="19"/>
  <c r="H3497" i="19"/>
  <c r="I3497" i="19"/>
  <c r="J3497" i="19"/>
  <c r="K3497" i="19"/>
  <c r="G3498" i="19"/>
  <c r="H3498" i="19"/>
  <c r="I3498" i="19"/>
  <c r="J3498" i="19"/>
  <c r="K3498" i="19"/>
  <c r="G3499" i="19"/>
  <c r="H3499" i="19"/>
  <c r="I3499" i="19"/>
  <c r="J3499" i="19"/>
  <c r="K3499" i="19"/>
  <c r="G3500" i="19"/>
  <c r="H3500" i="19"/>
  <c r="I3500" i="19"/>
  <c r="J3500" i="19"/>
  <c r="K3500" i="19"/>
  <c r="G3501" i="19"/>
  <c r="H3501" i="19"/>
  <c r="I3501" i="19"/>
  <c r="J3501" i="19"/>
  <c r="K3501" i="19"/>
  <c r="G3502" i="19"/>
  <c r="H3502" i="19"/>
  <c r="I3502" i="19"/>
  <c r="J3502" i="19"/>
  <c r="K3502" i="19"/>
  <c r="G3503" i="19"/>
  <c r="H3503" i="19"/>
  <c r="I3503" i="19"/>
  <c r="J3503" i="19"/>
  <c r="K3503" i="19"/>
  <c r="G3504" i="19"/>
  <c r="H3504" i="19"/>
  <c r="I3504" i="19"/>
  <c r="J3504" i="19"/>
  <c r="K3504" i="19"/>
  <c r="G3505" i="19"/>
  <c r="H3505" i="19"/>
  <c r="I3505" i="19"/>
  <c r="J3505" i="19"/>
  <c r="K3505" i="19"/>
  <c r="G3506" i="19"/>
  <c r="H3506" i="19"/>
  <c r="I3506" i="19"/>
  <c r="J3506" i="19"/>
  <c r="K3506" i="19"/>
  <c r="G3507" i="19"/>
  <c r="H3507" i="19"/>
  <c r="I3507" i="19"/>
  <c r="J3507" i="19"/>
  <c r="K3507" i="19"/>
  <c r="G3508" i="19"/>
  <c r="H3508" i="19"/>
  <c r="I3508" i="19"/>
  <c r="J3508" i="19"/>
  <c r="K3508" i="19"/>
  <c r="G3509" i="19"/>
  <c r="H3509" i="19"/>
  <c r="I3509" i="19"/>
  <c r="J3509" i="19"/>
  <c r="K3509" i="19"/>
  <c r="G3510" i="19"/>
  <c r="H3510" i="19"/>
  <c r="I3510" i="19"/>
  <c r="J3510" i="19"/>
  <c r="K3510" i="19"/>
  <c r="G3511" i="19"/>
  <c r="H3511" i="19"/>
  <c r="I3511" i="19"/>
  <c r="J3511" i="19"/>
  <c r="K3511" i="19"/>
  <c r="G3512" i="19"/>
  <c r="H3512" i="19"/>
  <c r="I3512" i="19"/>
  <c r="J3512" i="19"/>
  <c r="K3512" i="19"/>
  <c r="G3513" i="19"/>
  <c r="H3513" i="19"/>
  <c r="I3513" i="19"/>
  <c r="J3513" i="19"/>
  <c r="K3513" i="19"/>
  <c r="G3514" i="19"/>
  <c r="H3514" i="19"/>
  <c r="I3514" i="19"/>
  <c r="J3514" i="19"/>
  <c r="K3514" i="19"/>
  <c r="G3515" i="19"/>
  <c r="H3515" i="19"/>
  <c r="I3515" i="19"/>
  <c r="J3515" i="19"/>
  <c r="K3515" i="19"/>
  <c r="G3516" i="19"/>
  <c r="H3516" i="19"/>
  <c r="I3516" i="19"/>
  <c r="J3516" i="19"/>
  <c r="K3516" i="19"/>
  <c r="G3517" i="19"/>
  <c r="H3517" i="19"/>
  <c r="I3517" i="19"/>
  <c r="J3517" i="19"/>
  <c r="K3517" i="19"/>
  <c r="G3518" i="19"/>
  <c r="H3518" i="19"/>
  <c r="I3518" i="19"/>
  <c r="J3518" i="19"/>
  <c r="K3518" i="19"/>
  <c r="G3519" i="19"/>
  <c r="H3519" i="19"/>
  <c r="I3519" i="19"/>
  <c r="J3519" i="19"/>
  <c r="K3519" i="19"/>
  <c r="G3520" i="19"/>
  <c r="H3520" i="19"/>
  <c r="I3520" i="19"/>
  <c r="J3520" i="19"/>
  <c r="K3520" i="19"/>
  <c r="G3521" i="19"/>
  <c r="H3521" i="19"/>
  <c r="I3521" i="19"/>
  <c r="J3521" i="19"/>
  <c r="K3521" i="19"/>
  <c r="G3522" i="19"/>
  <c r="H3522" i="19"/>
  <c r="I3522" i="19"/>
  <c r="J3522" i="19"/>
  <c r="K3522" i="19"/>
  <c r="G3523" i="19"/>
  <c r="H3523" i="19"/>
  <c r="I3523" i="19"/>
  <c r="J3523" i="19"/>
  <c r="K3523" i="19"/>
  <c r="G3524" i="19"/>
  <c r="H3524" i="19"/>
  <c r="I3524" i="19"/>
  <c r="J3524" i="19"/>
  <c r="K3524" i="19"/>
  <c r="G3525" i="19"/>
  <c r="H3525" i="19"/>
  <c r="I3525" i="19"/>
  <c r="J3525" i="19"/>
  <c r="K3525" i="19"/>
  <c r="G3526" i="19"/>
  <c r="H3526" i="19"/>
  <c r="I3526" i="19"/>
  <c r="J3526" i="19"/>
  <c r="K3526" i="19"/>
  <c r="G3527" i="19"/>
  <c r="H3527" i="19"/>
  <c r="I3527" i="19"/>
  <c r="J3527" i="19"/>
  <c r="K3527" i="19"/>
  <c r="G3528" i="19"/>
  <c r="H3528" i="19"/>
  <c r="I3528" i="19"/>
  <c r="J3528" i="19"/>
  <c r="K3528" i="19"/>
  <c r="G3529" i="19"/>
  <c r="H3529" i="19"/>
  <c r="I3529" i="19"/>
  <c r="J3529" i="19"/>
  <c r="K3529" i="19"/>
  <c r="G3530" i="19"/>
  <c r="H3530" i="19"/>
  <c r="I3530" i="19"/>
  <c r="J3530" i="19"/>
  <c r="K3530" i="19"/>
  <c r="G3531" i="19"/>
  <c r="H3531" i="19"/>
  <c r="I3531" i="19"/>
  <c r="J3531" i="19"/>
  <c r="K3531" i="19"/>
  <c r="G3532" i="19"/>
  <c r="H3532" i="19"/>
  <c r="I3532" i="19"/>
  <c r="J3532" i="19"/>
  <c r="K3532" i="19"/>
  <c r="G3533" i="19"/>
  <c r="H3533" i="19"/>
  <c r="I3533" i="19"/>
  <c r="J3533" i="19"/>
  <c r="K3533" i="19"/>
  <c r="G3534" i="19"/>
  <c r="H3534" i="19"/>
  <c r="I3534" i="19"/>
  <c r="J3534" i="19"/>
  <c r="K3534" i="19"/>
  <c r="G3535" i="19"/>
  <c r="H3535" i="19"/>
  <c r="I3535" i="19"/>
  <c r="J3535" i="19"/>
  <c r="K3535" i="19"/>
  <c r="G3536" i="19"/>
  <c r="H3536" i="19"/>
  <c r="I3536" i="19"/>
  <c r="J3536" i="19"/>
  <c r="K3536" i="19"/>
  <c r="G3537" i="19"/>
  <c r="H3537" i="19"/>
  <c r="I3537" i="19"/>
  <c r="J3537" i="19"/>
  <c r="K3537" i="19"/>
  <c r="G3538" i="19"/>
  <c r="H3538" i="19"/>
  <c r="I3538" i="19"/>
  <c r="J3538" i="19"/>
  <c r="K3538" i="19"/>
  <c r="G3539" i="19"/>
  <c r="H3539" i="19"/>
  <c r="I3539" i="19"/>
  <c r="J3539" i="19"/>
  <c r="K3539" i="19"/>
  <c r="G3540" i="19"/>
  <c r="H3540" i="19"/>
  <c r="I3540" i="19"/>
  <c r="J3540" i="19"/>
  <c r="K3540" i="19"/>
  <c r="G3541" i="19"/>
  <c r="H3541" i="19"/>
  <c r="I3541" i="19"/>
  <c r="J3541" i="19"/>
  <c r="K3541" i="19"/>
  <c r="G3542" i="19"/>
  <c r="H3542" i="19"/>
  <c r="I3542" i="19"/>
  <c r="J3542" i="19"/>
  <c r="K3542" i="19"/>
  <c r="G3543" i="19"/>
  <c r="H3543" i="19"/>
  <c r="I3543" i="19"/>
  <c r="J3543" i="19"/>
  <c r="K3543" i="19"/>
  <c r="G3544" i="19"/>
  <c r="H3544" i="19"/>
  <c r="I3544" i="19"/>
  <c r="J3544" i="19"/>
  <c r="K3544" i="19"/>
  <c r="G3545" i="19"/>
  <c r="H3545" i="19"/>
  <c r="I3545" i="19"/>
  <c r="J3545" i="19"/>
  <c r="K3545" i="19"/>
  <c r="G3546" i="19"/>
  <c r="H3546" i="19"/>
  <c r="I3546" i="19"/>
  <c r="J3546" i="19"/>
  <c r="K3546" i="19"/>
  <c r="G3547" i="19"/>
  <c r="H3547" i="19"/>
  <c r="I3547" i="19"/>
  <c r="J3547" i="19"/>
  <c r="K3547" i="19"/>
  <c r="G3548" i="19"/>
  <c r="H3548" i="19"/>
  <c r="I3548" i="19"/>
  <c r="J3548" i="19"/>
  <c r="K3548" i="19"/>
  <c r="G3549" i="19"/>
  <c r="H3549" i="19"/>
  <c r="I3549" i="19"/>
  <c r="J3549" i="19"/>
  <c r="K3549" i="19"/>
  <c r="G3550" i="19"/>
  <c r="H3550" i="19"/>
  <c r="I3550" i="19"/>
  <c r="J3550" i="19"/>
  <c r="K3550" i="19"/>
  <c r="G3551" i="19"/>
  <c r="H3551" i="19"/>
  <c r="I3551" i="19"/>
  <c r="J3551" i="19"/>
  <c r="K3551" i="19"/>
  <c r="G3552" i="19"/>
  <c r="H3552" i="19"/>
  <c r="I3552" i="19"/>
  <c r="J3552" i="19"/>
  <c r="K3552" i="19"/>
  <c r="G3553" i="19"/>
  <c r="H3553" i="19"/>
  <c r="I3553" i="19"/>
  <c r="J3553" i="19"/>
  <c r="K3553" i="19"/>
  <c r="G3554" i="19"/>
  <c r="H3554" i="19"/>
  <c r="I3554" i="19"/>
  <c r="J3554" i="19"/>
  <c r="K3554" i="19"/>
  <c r="G3555" i="19"/>
  <c r="H3555" i="19"/>
  <c r="I3555" i="19"/>
  <c r="J3555" i="19"/>
  <c r="K3555" i="19"/>
  <c r="G3556" i="19"/>
  <c r="H3556" i="19"/>
  <c r="I3556" i="19"/>
  <c r="J3556" i="19"/>
  <c r="K3556" i="19"/>
  <c r="G3557" i="19"/>
  <c r="H3557" i="19"/>
  <c r="I3557" i="19"/>
  <c r="J3557" i="19"/>
  <c r="K3557" i="19"/>
  <c r="G3558" i="19"/>
  <c r="H3558" i="19"/>
  <c r="I3558" i="19"/>
  <c r="J3558" i="19"/>
  <c r="K3558" i="19"/>
  <c r="G3559" i="19"/>
  <c r="H3559" i="19"/>
  <c r="I3559" i="19"/>
  <c r="J3559" i="19"/>
  <c r="K3559" i="19"/>
  <c r="G3560" i="19"/>
  <c r="H3560" i="19"/>
  <c r="I3560" i="19"/>
  <c r="J3560" i="19"/>
  <c r="K3560" i="19"/>
  <c r="G3561" i="19"/>
  <c r="H3561" i="19"/>
  <c r="I3561" i="19"/>
  <c r="J3561" i="19"/>
  <c r="K3561" i="19"/>
  <c r="G3562" i="19"/>
  <c r="H3562" i="19"/>
  <c r="I3562" i="19"/>
  <c r="J3562" i="19"/>
  <c r="K3562" i="19"/>
  <c r="G3563" i="19"/>
  <c r="H3563" i="19"/>
  <c r="I3563" i="19"/>
  <c r="J3563" i="19"/>
  <c r="K3563" i="19"/>
  <c r="G3564" i="19"/>
  <c r="H3564" i="19"/>
  <c r="I3564" i="19"/>
  <c r="J3564" i="19"/>
  <c r="K3564" i="19"/>
  <c r="G3565" i="19"/>
  <c r="H3565" i="19"/>
  <c r="I3565" i="19"/>
  <c r="J3565" i="19"/>
  <c r="K3565" i="19"/>
  <c r="G3566" i="19"/>
  <c r="H3566" i="19"/>
  <c r="I3566" i="19"/>
  <c r="J3566" i="19"/>
  <c r="K3566" i="19"/>
  <c r="G3567" i="19"/>
  <c r="H3567" i="19"/>
  <c r="I3567" i="19"/>
  <c r="J3567" i="19"/>
  <c r="K3567" i="19"/>
  <c r="G3568" i="19"/>
  <c r="H3568" i="19"/>
  <c r="I3568" i="19"/>
  <c r="J3568" i="19"/>
  <c r="K3568" i="19"/>
  <c r="G3569" i="19"/>
  <c r="H3569" i="19"/>
  <c r="I3569" i="19"/>
  <c r="J3569" i="19"/>
  <c r="K3569" i="19"/>
  <c r="G3570" i="19"/>
  <c r="H3570" i="19"/>
  <c r="I3570" i="19"/>
  <c r="J3570" i="19"/>
  <c r="K3570" i="19"/>
  <c r="G3571" i="19"/>
  <c r="H3571" i="19"/>
  <c r="I3571" i="19"/>
  <c r="J3571" i="19"/>
  <c r="K3571" i="19"/>
  <c r="G3572" i="19"/>
  <c r="H3572" i="19"/>
  <c r="I3572" i="19"/>
  <c r="J3572" i="19"/>
  <c r="K3572" i="19"/>
  <c r="G3573" i="19"/>
  <c r="H3573" i="19"/>
  <c r="I3573" i="19"/>
  <c r="J3573" i="19"/>
  <c r="K3573" i="19"/>
  <c r="G3574" i="19"/>
  <c r="H3574" i="19"/>
  <c r="I3574" i="19"/>
  <c r="J3574" i="19"/>
  <c r="K3574" i="19"/>
  <c r="G3575" i="19"/>
  <c r="H3575" i="19"/>
  <c r="I3575" i="19"/>
  <c r="J3575" i="19"/>
  <c r="K3575" i="19"/>
  <c r="G3576" i="19"/>
  <c r="H3576" i="19"/>
  <c r="I3576" i="19"/>
  <c r="J3576" i="19"/>
  <c r="K3576" i="19"/>
  <c r="G3577" i="19"/>
  <c r="H3577" i="19"/>
  <c r="I3577" i="19"/>
  <c r="J3577" i="19"/>
  <c r="K3577" i="19"/>
  <c r="G3578" i="19"/>
  <c r="H3578" i="19"/>
  <c r="I3578" i="19"/>
  <c r="J3578" i="19"/>
  <c r="K3578" i="19"/>
  <c r="G3579" i="19"/>
  <c r="H3579" i="19"/>
  <c r="I3579" i="19"/>
  <c r="J3579" i="19"/>
  <c r="K3579" i="19"/>
  <c r="G3580" i="19"/>
  <c r="H3580" i="19"/>
  <c r="I3580" i="19"/>
  <c r="J3580" i="19"/>
  <c r="K3580" i="19"/>
  <c r="G3581" i="19"/>
  <c r="H3581" i="19"/>
  <c r="I3581" i="19"/>
  <c r="J3581" i="19"/>
  <c r="K3581" i="19"/>
  <c r="G3582" i="19"/>
  <c r="H3582" i="19"/>
  <c r="I3582" i="19"/>
  <c r="J3582" i="19"/>
  <c r="K3582" i="19"/>
  <c r="G3583" i="19"/>
  <c r="H3583" i="19"/>
  <c r="I3583" i="19"/>
  <c r="J3583" i="19"/>
  <c r="K3583" i="19"/>
  <c r="G3584" i="19"/>
  <c r="H3584" i="19"/>
  <c r="I3584" i="19"/>
  <c r="J3584" i="19"/>
  <c r="K3584" i="19"/>
  <c r="G3585" i="19"/>
  <c r="H3585" i="19"/>
  <c r="I3585" i="19"/>
  <c r="J3585" i="19"/>
  <c r="K3585" i="19"/>
  <c r="G3586" i="19"/>
  <c r="H3586" i="19"/>
  <c r="I3586" i="19"/>
  <c r="J3586" i="19"/>
  <c r="K3586" i="19"/>
  <c r="G3587" i="19"/>
  <c r="H3587" i="19"/>
  <c r="I3587" i="19"/>
  <c r="J3587" i="19"/>
  <c r="K3587" i="19"/>
  <c r="G3588" i="19"/>
  <c r="H3588" i="19"/>
  <c r="I3588" i="19"/>
  <c r="J3588" i="19"/>
  <c r="K3588" i="19"/>
  <c r="G3589" i="19"/>
  <c r="H3589" i="19"/>
  <c r="I3589" i="19"/>
  <c r="J3589" i="19"/>
  <c r="K3589" i="19"/>
  <c r="G3590" i="19"/>
  <c r="H3590" i="19"/>
  <c r="I3590" i="19"/>
  <c r="J3590" i="19"/>
  <c r="K3590" i="19"/>
  <c r="G3591" i="19"/>
  <c r="H3591" i="19"/>
  <c r="I3591" i="19"/>
  <c r="J3591" i="19"/>
  <c r="K3591" i="19"/>
  <c r="G3592" i="19"/>
  <c r="H3592" i="19"/>
  <c r="I3592" i="19"/>
  <c r="J3592" i="19"/>
  <c r="K3592" i="19"/>
  <c r="G3593" i="19"/>
  <c r="H3593" i="19"/>
  <c r="I3593" i="19"/>
  <c r="J3593" i="19"/>
  <c r="K3593" i="19"/>
  <c r="G3594" i="19"/>
  <c r="H3594" i="19"/>
  <c r="I3594" i="19"/>
  <c r="J3594" i="19"/>
  <c r="K3594" i="19"/>
  <c r="G3595" i="19"/>
  <c r="H3595" i="19"/>
  <c r="I3595" i="19"/>
  <c r="J3595" i="19"/>
  <c r="K3595" i="19"/>
  <c r="G3596" i="19"/>
  <c r="H3596" i="19"/>
  <c r="I3596" i="19"/>
  <c r="J3596" i="19"/>
  <c r="K3596" i="19"/>
  <c r="G3597" i="19"/>
  <c r="H3597" i="19"/>
  <c r="I3597" i="19"/>
  <c r="J3597" i="19"/>
  <c r="K3597" i="19"/>
  <c r="G3598" i="19"/>
  <c r="H3598" i="19"/>
  <c r="I3598" i="19"/>
  <c r="J3598" i="19"/>
  <c r="K3598" i="19"/>
  <c r="G3599" i="19"/>
  <c r="H3599" i="19"/>
  <c r="I3599" i="19"/>
  <c r="J3599" i="19"/>
  <c r="K3599" i="19"/>
  <c r="G3600" i="19"/>
  <c r="H3600" i="19"/>
  <c r="I3600" i="19"/>
  <c r="J3600" i="19"/>
  <c r="K3600" i="19"/>
  <c r="G3601" i="19"/>
  <c r="H3601" i="19"/>
  <c r="I3601" i="19"/>
  <c r="J3601" i="19"/>
  <c r="K3601" i="19"/>
  <c r="G3602" i="19"/>
  <c r="H3602" i="19"/>
  <c r="I3602" i="19"/>
  <c r="J3602" i="19"/>
  <c r="K3602" i="19"/>
  <c r="G3603" i="19"/>
  <c r="H3603" i="19"/>
  <c r="I3603" i="19"/>
  <c r="J3603" i="19"/>
  <c r="K3603" i="19"/>
  <c r="G3604" i="19"/>
  <c r="H3604" i="19"/>
  <c r="I3604" i="19"/>
  <c r="J3604" i="19"/>
  <c r="K3604" i="19"/>
  <c r="G3605" i="19"/>
  <c r="H3605" i="19"/>
  <c r="I3605" i="19"/>
  <c r="J3605" i="19"/>
  <c r="K3605" i="19"/>
  <c r="G3606" i="19"/>
  <c r="H3606" i="19"/>
  <c r="I3606" i="19"/>
  <c r="J3606" i="19"/>
  <c r="K3606" i="19"/>
  <c r="G3607" i="19"/>
  <c r="H3607" i="19"/>
  <c r="I3607" i="19"/>
  <c r="J3607" i="19"/>
  <c r="K3607" i="19"/>
  <c r="G3608" i="19"/>
  <c r="H3608" i="19"/>
  <c r="I3608" i="19"/>
  <c r="J3608" i="19"/>
  <c r="K3608" i="19"/>
  <c r="G3609" i="19"/>
  <c r="H3609" i="19"/>
  <c r="I3609" i="19"/>
  <c r="J3609" i="19"/>
  <c r="K3609" i="19"/>
  <c r="G3610" i="19"/>
  <c r="H3610" i="19"/>
  <c r="I3610" i="19"/>
  <c r="J3610" i="19"/>
  <c r="K3610" i="19"/>
  <c r="G3611" i="19"/>
  <c r="H3611" i="19"/>
  <c r="I3611" i="19"/>
  <c r="J3611" i="19"/>
  <c r="K3611" i="19"/>
  <c r="G3612" i="19"/>
  <c r="H3612" i="19"/>
  <c r="I3612" i="19"/>
  <c r="J3612" i="19"/>
  <c r="K3612" i="19"/>
  <c r="G3613" i="19"/>
  <c r="H3613" i="19"/>
  <c r="I3613" i="19"/>
  <c r="J3613" i="19"/>
  <c r="K3613" i="19"/>
  <c r="G3614" i="19"/>
  <c r="H3614" i="19"/>
  <c r="I3614" i="19"/>
  <c r="J3614" i="19"/>
  <c r="K3614" i="19"/>
  <c r="G3615" i="19"/>
  <c r="H3615" i="19"/>
  <c r="I3615" i="19"/>
  <c r="J3615" i="19"/>
  <c r="K3615" i="19"/>
  <c r="G3616" i="19"/>
  <c r="H3616" i="19"/>
  <c r="I3616" i="19"/>
  <c r="J3616" i="19"/>
  <c r="K3616" i="19"/>
  <c r="G3617" i="19"/>
  <c r="H3617" i="19"/>
  <c r="I3617" i="19"/>
  <c r="J3617" i="19"/>
  <c r="K3617" i="19"/>
  <c r="G3618" i="19"/>
  <c r="H3618" i="19"/>
  <c r="I3618" i="19"/>
  <c r="J3618" i="19"/>
  <c r="K3618" i="19"/>
  <c r="G3619" i="19"/>
  <c r="H3619" i="19"/>
  <c r="I3619" i="19"/>
  <c r="J3619" i="19"/>
  <c r="K3619" i="19"/>
  <c r="G3620" i="19"/>
  <c r="H3620" i="19"/>
  <c r="I3620" i="19"/>
  <c r="J3620" i="19"/>
  <c r="K3620" i="19"/>
  <c r="G3621" i="19"/>
  <c r="H3621" i="19"/>
  <c r="I3621" i="19"/>
  <c r="J3621" i="19"/>
  <c r="K3621" i="19"/>
  <c r="G3622" i="19"/>
  <c r="H3622" i="19"/>
  <c r="I3622" i="19"/>
  <c r="J3622" i="19"/>
  <c r="K3622" i="19"/>
  <c r="G3623" i="19"/>
  <c r="H3623" i="19"/>
  <c r="I3623" i="19"/>
  <c r="J3623" i="19"/>
  <c r="K3623" i="19"/>
  <c r="G3624" i="19"/>
  <c r="H3624" i="19"/>
  <c r="I3624" i="19"/>
  <c r="J3624" i="19"/>
  <c r="K3624" i="19"/>
  <c r="G3625" i="19"/>
  <c r="H3625" i="19"/>
  <c r="I3625" i="19"/>
  <c r="J3625" i="19"/>
  <c r="K3625" i="19"/>
  <c r="G3626" i="19"/>
  <c r="H3626" i="19"/>
  <c r="I3626" i="19"/>
  <c r="J3626" i="19"/>
  <c r="K3626" i="19"/>
  <c r="G3627" i="19"/>
  <c r="H3627" i="19"/>
  <c r="I3627" i="19"/>
  <c r="J3627" i="19"/>
  <c r="K3627" i="19"/>
  <c r="G3628" i="19"/>
  <c r="H3628" i="19"/>
  <c r="I3628" i="19"/>
  <c r="J3628" i="19"/>
  <c r="K3628" i="19"/>
  <c r="G3629" i="19"/>
  <c r="H3629" i="19"/>
  <c r="I3629" i="19"/>
  <c r="J3629" i="19"/>
  <c r="K3629" i="19"/>
  <c r="G3630" i="19"/>
  <c r="H3630" i="19"/>
  <c r="I3630" i="19"/>
  <c r="J3630" i="19"/>
  <c r="K3630" i="19"/>
  <c r="G3631" i="19"/>
  <c r="H3631" i="19"/>
  <c r="I3631" i="19"/>
  <c r="J3631" i="19"/>
  <c r="K3631" i="19"/>
  <c r="G3632" i="19"/>
  <c r="H3632" i="19"/>
  <c r="I3632" i="19"/>
  <c r="J3632" i="19"/>
  <c r="K3632" i="19"/>
  <c r="G3633" i="19"/>
  <c r="H3633" i="19"/>
  <c r="I3633" i="19"/>
  <c r="J3633" i="19"/>
  <c r="K3633" i="19"/>
  <c r="G3634" i="19"/>
  <c r="H3634" i="19"/>
  <c r="I3634" i="19"/>
  <c r="J3634" i="19"/>
  <c r="K3634" i="19"/>
  <c r="G3635" i="19"/>
  <c r="H3635" i="19"/>
  <c r="I3635" i="19"/>
  <c r="J3635" i="19"/>
  <c r="K3635" i="19"/>
  <c r="G3636" i="19"/>
  <c r="H3636" i="19"/>
  <c r="I3636" i="19"/>
  <c r="J3636" i="19"/>
  <c r="K3636" i="19"/>
  <c r="G3637" i="19"/>
  <c r="H3637" i="19"/>
  <c r="I3637" i="19"/>
  <c r="J3637" i="19"/>
  <c r="K3637" i="19"/>
  <c r="G3638" i="19"/>
  <c r="H3638" i="19"/>
  <c r="I3638" i="19"/>
  <c r="J3638" i="19"/>
  <c r="K3638" i="19"/>
  <c r="G3639" i="19"/>
  <c r="H3639" i="19"/>
  <c r="I3639" i="19"/>
  <c r="J3639" i="19"/>
  <c r="K3639" i="19"/>
  <c r="G3640" i="19"/>
  <c r="H3640" i="19"/>
  <c r="I3640" i="19"/>
  <c r="J3640" i="19"/>
  <c r="K3640" i="19"/>
  <c r="G3641" i="19"/>
  <c r="H3641" i="19"/>
  <c r="I3641" i="19"/>
  <c r="J3641" i="19"/>
  <c r="K3641" i="19"/>
  <c r="G3642" i="19"/>
  <c r="H3642" i="19"/>
  <c r="I3642" i="19"/>
  <c r="J3642" i="19"/>
  <c r="K3642" i="19"/>
  <c r="G3643" i="19"/>
  <c r="H3643" i="19"/>
  <c r="I3643" i="19"/>
  <c r="J3643" i="19"/>
  <c r="K3643" i="19"/>
  <c r="G3644" i="19"/>
  <c r="H3644" i="19"/>
  <c r="I3644" i="19"/>
  <c r="J3644" i="19"/>
  <c r="K3644" i="19"/>
  <c r="G3645" i="19"/>
  <c r="H3645" i="19"/>
  <c r="I3645" i="19"/>
  <c r="J3645" i="19"/>
  <c r="K3645" i="19"/>
  <c r="G3646" i="19"/>
  <c r="H3646" i="19"/>
  <c r="I3646" i="19"/>
  <c r="J3646" i="19"/>
  <c r="K3646" i="19"/>
  <c r="G3647" i="19"/>
  <c r="H3647" i="19"/>
  <c r="I3647" i="19"/>
  <c r="J3647" i="19"/>
  <c r="K3647" i="19"/>
  <c r="G3648" i="19"/>
  <c r="H3648" i="19"/>
  <c r="I3648" i="19"/>
  <c r="J3648" i="19"/>
  <c r="K3648" i="19"/>
  <c r="G3649" i="19"/>
  <c r="H3649" i="19"/>
  <c r="I3649" i="19"/>
  <c r="J3649" i="19"/>
  <c r="K3649" i="19"/>
  <c r="G3650" i="19"/>
  <c r="H3650" i="19"/>
  <c r="I3650" i="19"/>
  <c r="J3650" i="19"/>
  <c r="K3650" i="19"/>
  <c r="G3651" i="19"/>
  <c r="H3651" i="19"/>
  <c r="I3651" i="19"/>
  <c r="J3651" i="19"/>
  <c r="K3651" i="19"/>
  <c r="G3652" i="19"/>
  <c r="H3652" i="19"/>
  <c r="I3652" i="19"/>
  <c r="J3652" i="19"/>
  <c r="K3652" i="19"/>
  <c r="G3653" i="19"/>
  <c r="H3653" i="19"/>
  <c r="I3653" i="19"/>
  <c r="J3653" i="19"/>
  <c r="K3653" i="19"/>
  <c r="G3654" i="19"/>
  <c r="H3654" i="19"/>
  <c r="I3654" i="19"/>
  <c r="J3654" i="19"/>
  <c r="K3654" i="19"/>
  <c r="G3655" i="19"/>
  <c r="H3655" i="19"/>
  <c r="I3655" i="19"/>
  <c r="J3655" i="19"/>
  <c r="K3655" i="19"/>
  <c r="G3656" i="19"/>
  <c r="H3656" i="19"/>
  <c r="I3656" i="19"/>
  <c r="J3656" i="19"/>
  <c r="K3656" i="19"/>
  <c r="G3657" i="19"/>
  <c r="H3657" i="19"/>
  <c r="I3657" i="19"/>
  <c r="J3657" i="19"/>
  <c r="K3657" i="19"/>
  <c r="G3658" i="19"/>
  <c r="H3658" i="19"/>
  <c r="I3658" i="19"/>
  <c r="J3658" i="19"/>
  <c r="K3658" i="19"/>
  <c r="G3659" i="19"/>
  <c r="H3659" i="19"/>
  <c r="I3659" i="19"/>
  <c r="J3659" i="19"/>
  <c r="K3659" i="19"/>
  <c r="G3660" i="19"/>
  <c r="H3660" i="19"/>
  <c r="I3660" i="19"/>
  <c r="J3660" i="19"/>
  <c r="K3660" i="19"/>
  <c r="G3661" i="19"/>
  <c r="H3661" i="19"/>
  <c r="I3661" i="19"/>
  <c r="J3661" i="19"/>
  <c r="K3661" i="19"/>
  <c r="G3662" i="19"/>
  <c r="H3662" i="19"/>
  <c r="I3662" i="19"/>
  <c r="J3662" i="19"/>
  <c r="K3662" i="19"/>
  <c r="G3663" i="19"/>
  <c r="H3663" i="19"/>
  <c r="I3663" i="19"/>
  <c r="J3663" i="19"/>
  <c r="K3663" i="19"/>
  <c r="G3664" i="19"/>
  <c r="H3664" i="19"/>
  <c r="I3664" i="19"/>
  <c r="J3664" i="19"/>
  <c r="K3664" i="19"/>
  <c r="G3665" i="19"/>
  <c r="H3665" i="19"/>
  <c r="I3665" i="19"/>
  <c r="J3665" i="19"/>
  <c r="K3665" i="19"/>
  <c r="G3666" i="19"/>
  <c r="H3666" i="19"/>
  <c r="I3666" i="19"/>
  <c r="J3666" i="19"/>
  <c r="K3666" i="19"/>
  <c r="G3667" i="19"/>
  <c r="H3667" i="19"/>
  <c r="I3667" i="19"/>
  <c r="J3667" i="19"/>
  <c r="K3667" i="19"/>
  <c r="G3668" i="19"/>
  <c r="H3668" i="19"/>
  <c r="I3668" i="19"/>
  <c r="J3668" i="19"/>
  <c r="K3668" i="19"/>
  <c r="G3669" i="19"/>
  <c r="H3669" i="19"/>
  <c r="I3669" i="19"/>
  <c r="J3669" i="19"/>
  <c r="K3669" i="19"/>
  <c r="G3670" i="19"/>
  <c r="H3670" i="19"/>
  <c r="I3670" i="19"/>
  <c r="J3670" i="19"/>
  <c r="K3670" i="19"/>
  <c r="G3671" i="19"/>
  <c r="H3671" i="19"/>
  <c r="I3671" i="19"/>
  <c r="J3671" i="19"/>
  <c r="K3671" i="19"/>
  <c r="G3672" i="19"/>
  <c r="H3672" i="19"/>
  <c r="I3672" i="19"/>
  <c r="J3672" i="19"/>
  <c r="K3672" i="19"/>
  <c r="G3673" i="19"/>
  <c r="H3673" i="19"/>
  <c r="I3673" i="19"/>
  <c r="J3673" i="19"/>
  <c r="K3673" i="19"/>
  <c r="G3674" i="19"/>
  <c r="H3674" i="19"/>
  <c r="I3674" i="19"/>
  <c r="J3674" i="19"/>
  <c r="K3674" i="19"/>
  <c r="G3675" i="19"/>
  <c r="H3675" i="19"/>
  <c r="I3675" i="19"/>
  <c r="J3675" i="19"/>
  <c r="K3675" i="19"/>
  <c r="G3676" i="19"/>
  <c r="H3676" i="19"/>
  <c r="I3676" i="19"/>
  <c r="J3676" i="19"/>
  <c r="K3676" i="19"/>
  <c r="G3677" i="19"/>
  <c r="H3677" i="19"/>
  <c r="I3677" i="19"/>
  <c r="J3677" i="19"/>
  <c r="K3677" i="19"/>
  <c r="G3678" i="19"/>
  <c r="H3678" i="19"/>
  <c r="I3678" i="19"/>
  <c r="J3678" i="19"/>
  <c r="K3678" i="19"/>
  <c r="G3679" i="19"/>
  <c r="H3679" i="19"/>
  <c r="I3679" i="19"/>
  <c r="J3679" i="19"/>
  <c r="K3679" i="19"/>
  <c r="G3680" i="19"/>
  <c r="H3680" i="19"/>
  <c r="I3680" i="19"/>
  <c r="J3680" i="19"/>
  <c r="K3680" i="19"/>
  <c r="G3681" i="19"/>
  <c r="H3681" i="19"/>
  <c r="I3681" i="19"/>
  <c r="J3681" i="19"/>
  <c r="K3681" i="19"/>
  <c r="G3682" i="19"/>
  <c r="H3682" i="19"/>
  <c r="I3682" i="19"/>
  <c r="J3682" i="19"/>
  <c r="K3682" i="19"/>
  <c r="G3683" i="19"/>
  <c r="H3683" i="19"/>
  <c r="I3683" i="19"/>
  <c r="J3683" i="19"/>
  <c r="K3683" i="19"/>
  <c r="G3684" i="19"/>
  <c r="H3684" i="19"/>
  <c r="I3684" i="19"/>
  <c r="J3684" i="19"/>
  <c r="K3684" i="19"/>
  <c r="G3685" i="19"/>
  <c r="H3685" i="19"/>
  <c r="I3685" i="19"/>
  <c r="J3685" i="19"/>
  <c r="K3685" i="19"/>
  <c r="G3686" i="19"/>
  <c r="H3686" i="19"/>
  <c r="I3686" i="19"/>
  <c r="J3686" i="19"/>
  <c r="K3686" i="19"/>
  <c r="G3687" i="19"/>
  <c r="H3687" i="19"/>
  <c r="I3687" i="19"/>
  <c r="J3687" i="19"/>
  <c r="K3687" i="19"/>
  <c r="G3688" i="19"/>
  <c r="H3688" i="19"/>
  <c r="I3688" i="19"/>
  <c r="J3688" i="19"/>
  <c r="K3688" i="19"/>
  <c r="G3689" i="19"/>
  <c r="H3689" i="19"/>
  <c r="I3689" i="19"/>
  <c r="J3689" i="19"/>
  <c r="K3689" i="19"/>
  <c r="G3690" i="19"/>
  <c r="H3690" i="19"/>
  <c r="I3690" i="19"/>
  <c r="J3690" i="19"/>
  <c r="K3690" i="19"/>
  <c r="G3691" i="19"/>
  <c r="H3691" i="19"/>
  <c r="I3691" i="19"/>
  <c r="J3691" i="19"/>
  <c r="K3691" i="19"/>
  <c r="G3692" i="19"/>
  <c r="H3692" i="19"/>
  <c r="I3692" i="19"/>
  <c r="J3692" i="19"/>
  <c r="K3692" i="19"/>
  <c r="G3693" i="19"/>
  <c r="H3693" i="19"/>
  <c r="I3693" i="19"/>
  <c r="J3693" i="19"/>
  <c r="K3693" i="19"/>
  <c r="G3694" i="19"/>
  <c r="H3694" i="19"/>
  <c r="I3694" i="19"/>
  <c r="J3694" i="19"/>
  <c r="K3694" i="19"/>
  <c r="G3695" i="19"/>
  <c r="H3695" i="19"/>
  <c r="I3695" i="19"/>
  <c r="J3695" i="19"/>
  <c r="K3695" i="19"/>
  <c r="G3696" i="19"/>
  <c r="H3696" i="19"/>
  <c r="I3696" i="19"/>
  <c r="J3696" i="19"/>
  <c r="K3696" i="19"/>
  <c r="G3697" i="19"/>
  <c r="H3697" i="19"/>
  <c r="I3697" i="19"/>
  <c r="J3697" i="19"/>
  <c r="K3697" i="19"/>
  <c r="G3698" i="19"/>
  <c r="H3698" i="19"/>
  <c r="I3698" i="19"/>
  <c r="J3698" i="19"/>
  <c r="K3698" i="19"/>
  <c r="G3699" i="19"/>
  <c r="H3699" i="19"/>
  <c r="I3699" i="19"/>
  <c r="J3699" i="19"/>
  <c r="K3699" i="19"/>
  <c r="G3700" i="19"/>
  <c r="H3700" i="19"/>
  <c r="I3700" i="19"/>
  <c r="J3700" i="19"/>
  <c r="K3700" i="19"/>
  <c r="G3701" i="19"/>
  <c r="H3701" i="19"/>
  <c r="I3701" i="19"/>
  <c r="J3701" i="19"/>
  <c r="K3701" i="19"/>
  <c r="G3702" i="19"/>
  <c r="H3702" i="19"/>
  <c r="I3702" i="19"/>
  <c r="J3702" i="19"/>
  <c r="K3702" i="19"/>
  <c r="G3703" i="19"/>
  <c r="H3703" i="19"/>
  <c r="I3703" i="19"/>
  <c r="J3703" i="19"/>
  <c r="K3703" i="19"/>
  <c r="G3704" i="19"/>
  <c r="H3704" i="19"/>
  <c r="I3704" i="19"/>
  <c r="J3704" i="19"/>
  <c r="K3704" i="19"/>
  <c r="G3705" i="19"/>
  <c r="H3705" i="19"/>
  <c r="I3705" i="19"/>
  <c r="J3705" i="19"/>
  <c r="K3705" i="19"/>
  <c r="G3706" i="19"/>
  <c r="H3706" i="19"/>
  <c r="I3706" i="19"/>
  <c r="J3706" i="19"/>
  <c r="K3706" i="19"/>
  <c r="G3707" i="19"/>
  <c r="H3707" i="19"/>
  <c r="I3707" i="19"/>
  <c r="J3707" i="19"/>
  <c r="K3707" i="19"/>
  <c r="G3708" i="19"/>
  <c r="H3708" i="19"/>
  <c r="I3708" i="19"/>
  <c r="J3708" i="19"/>
  <c r="K3708" i="19"/>
  <c r="G3709" i="19"/>
  <c r="H3709" i="19"/>
  <c r="I3709" i="19"/>
  <c r="J3709" i="19"/>
  <c r="K3709" i="19"/>
  <c r="G3710" i="19"/>
  <c r="H3710" i="19"/>
  <c r="I3710" i="19"/>
  <c r="J3710" i="19"/>
  <c r="K3710" i="19"/>
  <c r="G3711" i="19"/>
  <c r="H3711" i="19"/>
  <c r="I3711" i="19"/>
  <c r="J3711" i="19"/>
  <c r="K3711" i="19"/>
  <c r="G3712" i="19"/>
  <c r="H3712" i="19"/>
  <c r="I3712" i="19"/>
  <c r="J3712" i="19"/>
  <c r="K3712" i="19"/>
  <c r="G3713" i="19"/>
  <c r="H3713" i="19"/>
  <c r="I3713" i="19"/>
  <c r="J3713" i="19"/>
  <c r="K3713" i="19"/>
  <c r="G3714" i="19"/>
  <c r="H3714" i="19"/>
  <c r="I3714" i="19"/>
  <c r="J3714" i="19"/>
  <c r="K3714" i="19"/>
  <c r="G3715" i="19"/>
  <c r="H3715" i="19"/>
  <c r="I3715" i="19"/>
  <c r="J3715" i="19"/>
  <c r="K3715" i="19"/>
  <c r="G3716" i="19"/>
  <c r="H3716" i="19"/>
  <c r="I3716" i="19"/>
  <c r="J3716" i="19"/>
  <c r="K3716" i="19"/>
  <c r="G3717" i="19"/>
  <c r="H3717" i="19"/>
  <c r="I3717" i="19"/>
  <c r="J3717" i="19"/>
  <c r="K3717" i="19"/>
  <c r="G3718" i="19"/>
  <c r="H3718" i="19"/>
  <c r="I3718" i="19"/>
  <c r="J3718" i="19"/>
  <c r="K3718" i="19"/>
  <c r="G3719" i="19"/>
  <c r="H3719" i="19"/>
  <c r="I3719" i="19"/>
  <c r="J3719" i="19"/>
  <c r="K3719" i="19"/>
  <c r="G3720" i="19"/>
  <c r="H3720" i="19"/>
  <c r="I3720" i="19"/>
  <c r="J3720" i="19"/>
  <c r="K3720" i="19"/>
  <c r="G3721" i="19"/>
  <c r="H3721" i="19"/>
  <c r="I3721" i="19"/>
  <c r="J3721" i="19"/>
  <c r="K3721" i="19"/>
  <c r="G3722" i="19"/>
  <c r="H3722" i="19"/>
  <c r="I3722" i="19"/>
  <c r="J3722" i="19"/>
  <c r="K3722" i="19"/>
  <c r="G3723" i="19"/>
  <c r="H3723" i="19"/>
  <c r="I3723" i="19"/>
  <c r="J3723" i="19"/>
  <c r="K3723" i="19"/>
  <c r="G3724" i="19"/>
  <c r="H3724" i="19"/>
  <c r="I3724" i="19"/>
  <c r="J3724" i="19"/>
  <c r="K3724" i="19"/>
  <c r="G3725" i="19"/>
  <c r="H3725" i="19"/>
  <c r="I3725" i="19"/>
  <c r="J3725" i="19"/>
  <c r="K3725" i="19"/>
  <c r="G3726" i="19"/>
  <c r="H3726" i="19"/>
  <c r="I3726" i="19"/>
  <c r="J3726" i="19"/>
  <c r="K3726" i="19"/>
  <c r="G3727" i="19"/>
  <c r="H3727" i="19"/>
  <c r="I3727" i="19"/>
  <c r="J3727" i="19"/>
  <c r="K3727" i="19"/>
  <c r="G3728" i="19"/>
  <c r="H3728" i="19"/>
  <c r="I3728" i="19"/>
  <c r="J3728" i="19"/>
  <c r="K3728" i="19"/>
  <c r="G3729" i="19"/>
  <c r="H3729" i="19"/>
  <c r="I3729" i="19"/>
  <c r="J3729" i="19"/>
  <c r="K3729" i="19"/>
  <c r="G3730" i="19"/>
  <c r="H3730" i="19"/>
  <c r="I3730" i="19"/>
  <c r="J3730" i="19"/>
  <c r="K3730" i="19"/>
  <c r="G3731" i="19"/>
  <c r="H3731" i="19"/>
  <c r="I3731" i="19"/>
  <c r="J3731" i="19"/>
  <c r="K3731" i="19"/>
  <c r="G3732" i="19"/>
  <c r="H3732" i="19"/>
  <c r="I3732" i="19"/>
  <c r="J3732" i="19"/>
  <c r="K3732" i="19"/>
  <c r="G3733" i="19"/>
  <c r="H3733" i="19"/>
  <c r="I3733" i="19"/>
  <c r="J3733" i="19"/>
  <c r="K3733" i="19"/>
  <c r="G3734" i="19"/>
  <c r="H3734" i="19"/>
  <c r="I3734" i="19"/>
  <c r="J3734" i="19"/>
  <c r="K3734" i="19"/>
  <c r="G3735" i="19"/>
  <c r="H3735" i="19"/>
  <c r="I3735" i="19"/>
  <c r="J3735" i="19"/>
  <c r="K3735" i="19"/>
  <c r="G3736" i="19"/>
  <c r="H3736" i="19"/>
  <c r="I3736" i="19"/>
  <c r="J3736" i="19"/>
  <c r="K3736" i="19"/>
  <c r="G3737" i="19"/>
  <c r="H3737" i="19"/>
  <c r="I3737" i="19"/>
  <c r="J3737" i="19"/>
  <c r="K3737" i="19"/>
  <c r="G3738" i="19"/>
  <c r="H3738" i="19"/>
  <c r="I3738" i="19"/>
  <c r="J3738" i="19"/>
  <c r="K3738" i="19"/>
  <c r="G3739" i="19"/>
  <c r="H3739" i="19"/>
  <c r="I3739" i="19"/>
  <c r="J3739" i="19"/>
  <c r="K3739" i="19"/>
  <c r="G3740" i="19"/>
  <c r="H3740" i="19"/>
  <c r="I3740" i="19"/>
  <c r="J3740" i="19"/>
  <c r="K3740" i="19"/>
  <c r="G3741" i="19"/>
  <c r="H3741" i="19"/>
  <c r="I3741" i="19"/>
  <c r="J3741" i="19"/>
  <c r="K3741" i="19"/>
  <c r="G3742" i="19"/>
  <c r="H3742" i="19"/>
  <c r="I3742" i="19"/>
  <c r="J3742" i="19"/>
  <c r="K3742" i="19"/>
  <c r="G3743" i="19"/>
  <c r="H3743" i="19"/>
  <c r="I3743" i="19"/>
  <c r="J3743" i="19"/>
  <c r="K3743" i="19"/>
  <c r="G3744" i="19"/>
  <c r="H3744" i="19"/>
  <c r="I3744" i="19"/>
  <c r="J3744" i="19"/>
  <c r="K3744" i="19"/>
  <c r="G3745" i="19"/>
  <c r="H3745" i="19"/>
  <c r="I3745" i="19"/>
  <c r="J3745" i="19"/>
  <c r="K3745" i="19"/>
  <c r="G3746" i="19"/>
  <c r="H3746" i="19"/>
  <c r="I3746" i="19"/>
  <c r="J3746" i="19"/>
  <c r="K3746" i="19"/>
  <c r="G3747" i="19"/>
  <c r="H3747" i="19"/>
  <c r="I3747" i="19"/>
  <c r="J3747" i="19"/>
  <c r="K3747" i="19"/>
  <c r="G3748" i="19"/>
  <c r="H3748" i="19"/>
  <c r="I3748" i="19"/>
  <c r="J3748" i="19"/>
  <c r="K3748" i="19"/>
  <c r="G3749" i="19"/>
  <c r="H3749" i="19"/>
  <c r="I3749" i="19"/>
  <c r="J3749" i="19"/>
  <c r="K3749" i="19"/>
  <c r="G3750" i="19"/>
  <c r="H3750" i="19"/>
  <c r="I3750" i="19"/>
  <c r="J3750" i="19"/>
  <c r="K3750" i="19"/>
  <c r="G3751" i="19"/>
  <c r="H3751" i="19"/>
  <c r="I3751" i="19"/>
  <c r="J3751" i="19"/>
  <c r="K3751" i="19"/>
  <c r="G3752" i="19"/>
  <c r="H3752" i="19"/>
  <c r="I3752" i="19"/>
  <c r="J3752" i="19"/>
  <c r="K3752" i="19"/>
  <c r="G3753" i="19"/>
  <c r="H3753" i="19"/>
  <c r="I3753" i="19"/>
  <c r="J3753" i="19"/>
  <c r="K3753" i="19"/>
  <c r="G3754" i="19"/>
  <c r="H3754" i="19"/>
  <c r="I3754" i="19"/>
  <c r="J3754" i="19"/>
  <c r="K3754" i="19"/>
  <c r="G3755" i="19"/>
  <c r="H3755" i="19"/>
  <c r="I3755" i="19"/>
  <c r="J3755" i="19"/>
  <c r="K3755" i="19"/>
  <c r="G3756" i="19"/>
  <c r="H3756" i="19"/>
  <c r="I3756" i="19"/>
  <c r="J3756" i="19"/>
  <c r="K3756" i="19"/>
  <c r="G3757" i="19"/>
  <c r="H3757" i="19"/>
  <c r="I3757" i="19"/>
  <c r="J3757" i="19"/>
  <c r="K3757" i="19"/>
  <c r="G3758" i="19"/>
  <c r="H3758" i="19"/>
  <c r="I3758" i="19"/>
  <c r="J3758" i="19"/>
  <c r="K3758" i="19"/>
  <c r="G3759" i="19"/>
  <c r="H3759" i="19"/>
  <c r="I3759" i="19"/>
  <c r="J3759" i="19"/>
  <c r="K3759" i="19"/>
  <c r="G3760" i="19"/>
  <c r="H3760" i="19"/>
  <c r="I3760" i="19"/>
  <c r="J3760" i="19"/>
  <c r="K3760" i="19"/>
  <c r="G3761" i="19"/>
  <c r="H3761" i="19"/>
  <c r="I3761" i="19"/>
  <c r="J3761" i="19"/>
  <c r="K3761" i="19"/>
  <c r="G3762" i="19"/>
  <c r="H3762" i="19"/>
  <c r="I3762" i="19"/>
  <c r="J3762" i="19"/>
  <c r="K3762" i="19"/>
  <c r="G3763" i="19"/>
  <c r="H3763" i="19"/>
  <c r="I3763" i="19"/>
  <c r="J3763" i="19"/>
  <c r="K3763" i="19"/>
  <c r="G3764" i="19"/>
  <c r="H3764" i="19"/>
  <c r="I3764" i="19"/>
  <c r="J3764" i="19"/>
  <c r="K3764" i="19"/>
  <c r="G3765" i="19"/>
  <c r="H3765" i="19"/>
  <c r="I3765" i="19"/>
  <c r="J3765" i="19"/>
  <c r="K3765" i="19"/>
  <c r="G3766" i="19"/>
  <c r="H3766" i="19"/>
  <c r="I3766" i="19"/>
  <c r="J3766" i="19"/>
  <c r="K3766" i="19"/>
  <c r="G3767" i="19"/>
  <c r="H3767" i="19"/>
  <c r="I3767" i="19"/>
  <c r="J3767" i="19"/>
  <c r="K3767" i="19"/>
  <c r="G3768" i="19"/>
  <c r="H3768" i="19"/>
  <c r="I3768" i="19"/>
  <c r="J3768" i="19"/>
  <c r="K3768" i="19"/>
  <c r="G3769" i="19"/>
  <c r="H3769" i="19"/>
  <c r="I3769" i="19"/>
  <c r="J3769" i="19"/>
  <c r="K3769" i="19"/>
  <c r="G3770" i="19"/>
  <c r="H3770" i="19"/>
  <c r="I3770" i="19"/>
  <c r="J3770" i="19"/>
  <c r="K3770" i="19"/>
  <c r="G3771" i="19"/>
  <c r="H3771" i="19"/>
  <c r="I3771" i="19"/>
  <c r="J3771" i="19"/>
  <c r="K3771" i="19"/>
  <c r="G3772" i="19"/>
  <c r="H3772" i="19"/>
  <c r="I3772" i="19"/>
  <c r="J3772" i="19"/>
  <c r="K3772" i="19"/>
  <c r="G3773" i="19"/>
  <c r="H3773" i="19"/>
  <c r="I3773" i="19"/>
  <c r="J3773" i="19"/>
  <c r="K3773" i="19"/>
  <c r="G3774" i="19"/>
  <c r="H3774" i="19"/>
  <c r="I3774" i="19"/>
  <c r="J3774" i="19"/>
  <c r="K3774" i="19"/>
  <c r="G3775" i="19"/>
  <c r="H3775" i="19"/>
  <c r="I3775" i="19"/>
  <c r="J3775" i="19"/>
  <c r="K3775" i="19"/>
  <c r="G3776" i="19"/>
  <c r="H3776" i="19"/>
  <c r="I3776" i="19"/>
  <c r="J3776" i="19"/>
  <c r="K3776" i="19"/>
  <c r="G3777" i="19"/>
  <c r="H3777" i="19"/>
  <c r="I3777" i="19"/>
  <c r="J3777" i="19"/>
  <c r="K3777" i="19"/>
  <c r="G3778" i="19"/>
  <c r="H3778" i="19"/>
  <c r="I3778" i="19"/>
  <c r="J3778" i="19"/>
  <c r="K3778" i="19"/>
  <c r="G3779" i="19"/>
  <c r="H3779" i="19"/>
  <c r="I3779" i="19"/>
  <c r="J3779" i="19"/>
  <c r="K3779" i="19"/>
  <c r="G3780" i="19"/>
  <c r="H3780" i="19"/>
  <c r="I3780" i="19"/>
  <c r="J3780" i="19"/>
  <c r="K3780" i="19"/>
  <c r="G3781" i="19"/>
  <c r="H3781" i="19"/>
  <c r="I3781" i="19"/>
  <c r="J3781" i="19"/>
  <c r="K3781" i="19"/>
  <c r="G3782" i="19"/>
  <c r="H3782" i="19"/>
  <c r="I3782" i="19"/>
  <c r="J3782" i="19"/>
  <c r="K3782" i="19"/>
  <c r="G3783" i="19"/>
  <c r="H3783" i="19"/>
  <c r="I3783" i="19"/>
  <c r="J3783" i="19"/>
  <c r="K3783" i="19"/>
  <c r="G3784" i="19"/>
  <c r="H3784" i="19"/>
  <c r="I3784" i="19"/>
  <c r="J3784" i="19"/>
  <c r="K3784" i="19"/>
  <c r="G3785" i="19"/>
  <c r="H3785" i="19"/>
  <c r="I3785" i="19"/>
  <c r="J3785" i="19"/>
  <c r="K3785" i="19"/>
  <c r="G3786" i="19"/>
  <c r="H3786" i="19"/>
  <c r="I3786" i="19"/>
  <c r="J3786" i="19"/>
  <c r="K3786" i="19"/>
  <c r="G3787" i="19"/>
  <c r="H3787" i="19"/>
  <c r="I3787" i="19"/>
  <c r="J3787" i="19"/>
  <c r="K3787" i="19"/>
  <c r="G3788" i="19"/>
  <c r="H3788" i="19"/>
  <c r="I3788" i="19"/>
  <c r="J3788" i="19"/>
  <c r="K3788" i="19"/>
  <c r="G3789" i="19"/>
  <c r="H3789" i="19"/>
  <c r="I3789" i="19"/>
  <c r="J3789" i="19"/>
  <c r="K3789" i="19"/>
  <c r="G3790" i="19"/>
  <c r="H3790" i="19"/>
  <c r="I3790" i="19"/>
  <c r="J3790" i="19"/>
  <c r="K3790" i="19"/>
  <c r="G3791" i="19"/>
  <c r="H3791" i="19"/>
  <c r="I3791" i="19"/>
  <c r="J3791" i="19"/>
  <c r="K3791" i="19"/>
  <c r="G3792" i="19"/>
  <c r="H3792" i="19"/>
  <c r="I3792" i="19"/>
  <c r="J3792" i="19"/>
  <c r="K3792" i="19"/>
  <c r="G3793" i="19"/>
  <c r="H3793" i="19"/>
  <c r="I3793" i="19"/>
  <c r="J3793" i="19"/>
  <c r="K3793" i="19"/>
  <c r="G3794" i="19"/>
  <c r="H3794" i="19"/>
  <c r="I3794" i="19"/>
  <c r="J3794" i="19"/>
  <c r="K3794" i="19"/>
  <c r="G3795" i="19"/>
  <c r="H3795" i="19"/>
  <c r="I3795" i="19"/>
  <c r="J3795" i="19"/>
  <c r="K3795" i="19"/>
  <c r="G3796" i="19"/>
  <c r="H3796" i="19"/>
  <c r="I3796" i="19"/>
  <c r="J3796" i="19"/>
  <c r="K3796" i="19"/>
  <c r="G3797" i="19"/>
  <c r="H3797" i="19"/>
  <c r="I3797" i="19"/>
  <c r="J3797" i="19"/>
  <c r="K3797" i="19"/>
  <c r="G3798" i="19"/>
  <c r="H3798" i="19"/>
  <c r="I3798" i="19"/>
  <c r="J3798" i="19"/>
  <c r="K3798" i="19"/>
  <c r="G3799" i="19"/>
  <c r="H3799" i="19"/>
  <c r="I3799" i="19"/>
  <c r="J3799" i="19"/>
  <c r="K3799" i="19"/>
  <c r="G3800" i="19"/>
  <c r="H3800" i="19"/>
  <c r="I3800" i="19"/>
  <c r="J3800" i="19"/>
  <c r="K3800" i="19"/>
  <c r="G3801" i="19"/>
  <c r="H3801" i="19"/>
  <c r="I3801" i="19"/>
  <c r="J3801" i="19"/>
  <c r="K3801" i="19"/>
  <c r="G3802" i="19"/>
  <c r="H3802" i="19"/>
  <c r="I3802" i="19"/>
  <c r="J3802" i="19"/>
  <c r="K3802" i="19"/>
  <c r="G3803" i="19"/>
  <c r="H3803" i="19"/>
  <c r="I3803" i="19"/>
  <c r="J3803" i="19"/>
  <c r="K3803" i="19"/>
  <c r="G3804" i="19"/>
  <c r="H3804" i="19"/>
  <c r="I3804" i="19"/>
  <c r="J3804" i="19"/>
  <c r="K3804" i="19"/>
  <c r="G3805" i="19"/>
  <c r="H3805" i="19"/>
  <c r="I3805" i="19"/>
  <c r="J3805" i="19"/>
  <c r="K3805" i="19"/>
  <c r="G3806" i="19"/>
  <c r="H3806" i="19"/>
  <c r="I3806" i="19"/>
  <c r="J3806" i="19"/>
  <c r="K3806" i="19"/>
  <c r="G3807" i="19"/>
  <c r="H3807" i="19"/>
  <c r="I3807" i="19"/>
  <c r="J3807" i="19"/>
  <c r="K3807" i="19"/>
  <c r="G3808" i="19"/>
  <c r="H3808" i="19"/>
  <c r="I3808" i="19"/>
  <c r="J3808" i="19"/>
  <c r="K3808" i="19"/>
  <c r="G3809" i="19"/>
  <c r="H3809" i="19"/>
  <c r="I3809" i="19"/>
  <c r="J3809" i="19"/>
  <c r="K3809" i="19"/>
  <c r="G3810" i="19"/>
  <c r="H3810" i="19"/>
  <c r="I3810" i="19"/>
  <c r="J3810" i="19"/>
  <c r="K3810" i="19"/>
  <c r="G3811" i="19"/>
  <c r="H3811" i="19"/>
  <c r="I3811" i="19"/>
  <c r="J3811" i="19"/>
  <c r="K3811" i="19"/>
  <c r="G3812" i="19"/>
  <c r="H3812" i="19"/>
  <c r="I3812" i="19"/>
  <c r="J3812" i="19"/>
  <c r="K3812" i="19"/>
  <c r="G3813" i="19"/>
  <c r="H3813" i="19"/>
  <c r="I3813" i="19"/>
  <c r="J3813" i="19"/>
  <c r="K3813" i="19"/>
  <c r="G3814" i="19"/>
  <c r="H3814" i="19"/>
  <c r="I3814" i="19"/>
  <c r="J3814" i="19"/>
  <c r="K3814" i="19"/>
  <c r="G3815" i="19"/>
  <c r="H3815" i="19"/>
  <c r="I3815" i="19"/>
  <c r="J3815" i="19"/>
  <c r="K3815" i="19"/>
  <c r="G3816" i="19"/>
  <c r="H3816" i="19"/>
  <c r="I3816" i="19"/>
  <c r="J3816" i="19"/>
  <c r="K3816" i="19"/>
  <c r="G3817" i="19"/>
  <c r="H3817" i="19"/>
  <c r="I3817" i="19"/>
  <c r="J3817" i="19"/>
  <c r="K3817" i="19"/>
  <c r="G3818" i="19"/>
  <c r="H3818" i="19"/>
  <c r="I3818" i="19"/>
  <c r="J3818" i="19"/>
  <c r="K3818" i="19"/>
  <c r="G3819" i="19"/>
  <c r="H3819" i="19"/>
  <c r="I3819" i="19"/>
  <c r="J3819" i="19"/>
  <c r="K3819" i="19"/>
  <c r="G3820" i="19"/>
  <c r="H3820" i="19"/>
  <c r="I3820" i="19"/>
  <c r="J3820" i="19"/>
  <c r="K3820" i="19"/>
  <c r="G3821" i="19"/>
  <c r="H3821" i="19"/>
  <c r="I3821" i="19"/>
  <c r="J3821" i="19"/>
  <c r="K3821" i="19"/>
  <c r="G3822" i="19"/>
  <c r="H3822" i="19"/>
  <c r="I3822" i="19"/>
  <c r="J3822" i="19"/>
  <c r="K3822" i="19"/>
  <c r="G3823" i="19"/>
  <c r="H3823" i="19"/>
  <c r="I3823" i="19"/>
  <c r="J3823" i="19"/>
  <c r="K3823" i="19"/>
  <c r="G3824" i="19"/>
  <c r="H3824" i="19"/>
  <c r="I3824" i="19"/>
  <c r="J3824" i="19"/>
  <c r="K3824" i="19"/>
  <c r="G3825" i="19"/>
  <c r="H3825" i="19"/>
  <c r="I3825" i="19"/>
  <c r="J3825" i="19"/>
  <c r="K3825" i="19"/>
  <c r="G3826" i="19"/>
  <c r="H3826" i="19"/>
  <c r="I3826" i="19"/>
  <c r="J3826" i="19"/>
  <c r="K3826" i="19"/>
  <c r="G3827" i="19"/>
  <c r="H3827" i="19"/>
  <c r="I3827" i="19"/>
  <c r="J3827" i="19"/>
  <c r="K3827" i="19"/>
  <c r="G3828" i="19"/>
  <c r="H3828" i="19"/>
  <c r="I3828" i="19"/>
  <c r="J3828" i="19"/>
  <c r="K3828" i="19"/>
  <c r="G3829" i="19"/>
  <c r="H3829" i="19"/>
  <c r="I3829" i="19"/>
  <c r="J3829" i="19"/>
  <c r="K3829" i="19"/>
  <c r="G3830" i="19"/>
  <c r="H3830" i="19"/>
  <c r="I3830" i="19"/>
  <c r="J3830" i="19"/>
  <c r="K3830" i="19"/>
  <c r="G3831" i="19"/>
  <c r="H3831" i="19"/>
  <c r="I3831" i="19"/>
  <c r="J3831" i="19"/>
  <c r="K3831" i="19"/>
  <c r="G3832" i="19"/>
  <c r="H3832" i="19"/>
  <c r="I3832" i="19"/>
  <c r="J3832" i="19"/>
  <c r="K3832" i="19"/>
  <c r="G3833" i="19"/>
  <c r="H3833" i="19"/>
  <c r="I3833" i="19"/>
  <c r="J3833" i="19"/>
  <c r="K3833" i="19"/>
  <c r="G3834" i="19"/>
  <c r="H3834" i="19"/>
  <c r="I3834" i="19"/>
  <c r="J3834" i="19"/>
  <c r="K3834" i="19"/>
  <c r="G3835" i="19"/>
  <c r="H3835" i="19"/>
  <c r="I3835" i="19"/>
  <c r="J3835" i="19"/>
  <c r="K3835" i="19"/>
  <c r="G3836" i="19"/>
  <c r="H3836" i="19"/>
  <c r="I3836" i="19"/>
  <c r="J3836" i="19"/>
  <c r="K3836" i="19"/>
  <c r="G3837" i="19"/>
  <c r="H3837" i="19"/>
  <c r="I3837" i="19"/>
  <c r="J3837" i="19"/>
  <c r="K3837" i="19"/>
  <c r="G3838" i="19"/>
  <c r="H3838" i="19"/>
  <c r="I3838" i="19"/>
  <c r="J3838" i="19"/>
  <c r="K3838" i="19"/>
  <c r="G3839" i="19"/>
  <c r="H3839" i="19"/>
  <c r="I3839" i="19"/>
  <c r="J3839" i="19"/>
  <c r="K3839" i="19"/>
  <c r="G3840" i="19"/>
  <c r="H3840" i="19"/>
  <c r="I3840" i="19"/>
  <c r="J3840" i="19"/>
  <c r="K3840" i="19"/>
  <c r="G3841" i="19"/>
  <c r="H3841" i="19"/>
  <c r="I3841" i="19"/>
  <c r="J3841" i="19"/>
  <c r="K3841" i="19"/>
  <c r="G3842" i="19"/>
  <c r="H3842" i="19"/>
  <c r="I3842" i="19"/>
  <c r="J3842" i="19"/>
  <c r="K3842" i="19"/>
  <c r="G3843" i="19"/>
  <c r="H3843" i="19"/>
  <c r="I3843" i="19"/>
  <c r="J3843" i="19"/>
  <c r="K3843" i="19"/>
  <c r="G3844" i="19"/>
  <c r="H3844" i="19"/>
  <c r="I3844" i="19"/>
  <c r="J3844" i="19"/>
  <c r="K3844" i="19"/>
  <c r="G3845" i="19"/>
  <c r="H3845" i="19"/>
  <c r="I3845" i="19"/>
  <c r="J3845" i="19"/>
  <c r="K3845" i="19"/>
  <c r="G3846" i="19"/>
  <c r="H3846" i="19"/>
  <c r="I3846" i="19"/>
  <c r="J3846" i="19"/>
  <c r="K3846" i="19"/>
  <c r="G3847" i="19"/>
  <c r="H3847" i="19"/>
  <c r="I3847" i="19"/>
  <c r="J3847" i="19"/>
  <c r="K3847" i="19"/>
  <c r="G3848" i="19"/>
  <c r="H3848" i="19"/>
  <c r="I3848" i="19"/>
  <c r="J3848" i="19"/>
  <c r="K3848" i="19"/>
  <c r="G3849" i="19"/>
  <c r="H3849" i="19"/>
  <c r="I3849" i="19"/>
  <c r="J3849" i="19"/>
  <c r="K3849" i="19"/>
  <c r="G3850" i="19"/>
  <c r="H3850" i="19"/>
  <c r="I3850" i="19"/>
  <c r="J3850" i="19"/>
  <c r="K3850" i="19"/>
  <c r="G3851" i="19"/>
  <c r="H3851" i="19"/>
  <c r="I3851" i="19"/>
  <c r="J3851" i="19"/>
  <c r="K3851" i="19"/>
  <c r="G3852" i="19"/>
  <c r="H3852" i="19"/>
  <c r="I3852" i="19"/>
  <c r="J3852" i="19"/>
  <c r="K3852" i="19"/>
  <c r="G3853" i="19"/>
  <c r="H3853" i="19"/>
  <c r="I3853" i="19"/>
  <c r="J3853" i="19"/>
  <c r="K3853" i="19"/>
  <c r="G3854" i="19"/>
  <c r="H3854" i="19"/>
  <c r="I3854" i="19"/>
  <c r="J3854" i="19"/>
  <c r="K3854" i="19"/>
  <c r="G3855" i="19"/>
  <c r="H3855" i="19"/>
  <c r="I3855" i="19"/>
  <c r="J3855" i="19"/>
  <c r="K3855" i="19"/>
  <c r="G3856" i="19"/>
  <c r="H3856" i="19"/>
  <c r="I3856" i="19"/>
  <c r="J3856" i="19"/>
  <c r="K3856" i="19"/>
  <c r="G3857" i="19"/>
  <c r="H3857" i="19"/>
  <c r="I3857" i="19"/>
  <c r="J3857" i="19"/>
  <c r="K3857" i="19"/>
  <c r="G3858" i="19"/>
  <c r="H3858" i="19"/>
  <c r="I3858" i="19"/>
  <c r="J3858" i="19"/>
  <c r="K3858" i="19"/>
  <c r="G3859" i="19"/>
  <c r="H3859" i="19"/>
  <c r="I3859" i="19"/>
  <c r="J3859" i="19"/>
  <c r="K3859" i="19"/>
  <c r="G3860" i="19"/>
  <c r="H3860" i="19"/>
  <c r="I3860" i="19"/>
  <c r="J3860" i="19"/>
  <c r="K3860" i="19"/>
  <c r="G3861" i="19"/>
  <c r="H3861" i="19"/>
  <c r="I3861" i="19"/>
  <c r="J3861" i="19"/>
  <c r="K3861" i="19"/>
  <c r="G3862" i="19"/>
  <c r="H3862" i="19"/>
  <c r="I3862" i="19"/>
  <c r="J3862" i="19"/>
  <c r="K3862" i="19"/>
  <c r="G3863" i="19"/>
  <c r="H3863" i="19"/>
  <c r="I3863" i="19"/>
  <c r="J3863" i="19"/>
  <c r="K3863" i="19"/>
  <c r="G3864" i="19"/>
  <c r="H3864" i="19"/>
  <c r="I3864" i="19"/>
  <c r="J3864" i="19"/>
  <c r="K3864" i="19"/>
  <c r="G3865" i="19"/>
  <c r="H3865" i="19"/>
  <c r="I3865" i="19"/>
  <c r="J3865" i="19"/>
  <c r="K3865" i="19"/>
  <c r="G3866" i="19"/>
  <c r="H3866" i="19"/>
  <c r="I3866" i="19"/>
  <c r="J3866" i="19"/>
  <c r="K3866" i="19"/>
  <c r="G3867" i="19"/>
  <c r="H3867" i="19"/>
  <c r="I3867" i="19"/>
  <c r="J3867" i="19"/>
  <c r="K3867" i="19"/>
  <c r="G3868" i="19"/>
  <c r="H3868" i="19"/>
  <c r="I3868" i="19"/>
  <c r="J3868" i="19"/>
  <c r="K3868" i="19"/>
  <c r="G3869" i="19"/>
  <c r="H3869" i="19"/>
  <c r="I3869" i="19"/>
  <c r="J3869" i="19"/>
  <c r="K3869" i="19"/>
  <c r="G3870" i="19"/>
  <c r="H3870" i="19"/>
  <c r="I3870" i="19"/>
  <c r="J3870" i="19"/>
  <c r="K3870" i="19"/>
  <c r="G3871" i="19"/>
  <c r="H3871" i="19"/>
  <c r="I3871" i="19"/>
  <c r="J3871" i="19"/>
  <c r="K3871" i="19"/>
  <c r="G3872" i="19"/>
  <c r="H3872" i="19"/>
  <c r="I3872" i="19"/>
  <c r="J3872" i="19"/>
  <c r="K3872" i="19"/>
  <c r="G3873" i="19"/>
  <c r="H3873" i="19"/>
  <c r="I3873" i="19"/>
  <c r="J3873" i="19"/>
  <c r="K3873" i="19"/>
  <c r="G3874" i="19"/>
  <c r="H3874" i="19"/>
  <c r="I3874" i="19"/>
  <c r="J3874" i="19"/>
  <c r="K3874" i="19"/>
  <c r="G3875" i="19"/>
  <c r="H3875" i="19"/>
  <c r="I3875" i="19"/>
  <c r="J3875" i="19"/>
  <c r="K3875" i="19"/>
  <c r="G3876" i="19"/>
  <c r="H3876" i="19"/>
  <c r="I3876" i="19"/>
  <c r="J3876" i="19"/>
  <c r="K3876" i="19"/>
  <c r="G3877" i="19"/>
  <c r="H3877" i="19"/>
  <c r="I3877" i="19"/>
  <c r="J3877" i="19"/>
  <c r="K3877" i="19"/>
  <c r="G3878" i="19"/>
  <c r="H3878" i="19"/>
  <c r="I3878" i="19"/>
  <c r="J3878" i="19"/>
  <c r="K3878" i="19"/>
  <c r="G3879" i="19"/>
  <c r="H3879" i="19"/>
  <c r="I3879" i="19"/>
  <c r="J3879" i="19"/>
  <c r="K3879" i="19"/>
  <c r="G3880" i="19"/>
  <c r="H3880" i="19"/>
  <c r="I3880" i="19"/>
  <c r="J3880" i="19"/>
  <c r="K3880" i="19"/>
  <c r="G3881" i="19"/>
  <c r="H3881" i="19"/>
  <c r="I3881" i="19"/>
  <c r="J3881" i="19"/>
  <c r="K3881" i="19"/>
  <c r="G3882" i="19"/>
  <c r="H3882" i="19"/>
  <c r="I3882" i="19"/>
  <c r="J3882" i="19"/>
  <c r="K3882" i="19"/>
  <c r="G3883" i="19"/>
  <c r="H3883" i="19"/>
  <c r="I3883" i="19"/>
  <c r="J3883" i="19"/>
  <c r="K3883" i="19"/>
  <c r="G3884" i="19"/>
  <c r="H3884" i="19"/>
  <c r="I3884" i="19"/>
  <c r="J3884" i="19"/>
  <c r="K3884" i="19"/>
  <c r="G3885" i="19"/>
  <c r="H3885" i="19"/>
  <c r="I3885" i="19"/>
  <c r="J3885" i="19"/>
  <c r="K3885" i="19"/>
  <c r="G3886" i="19"/>
  <c r="H3886" i="19"/>
  <c r="I3886" i="19"/>
  <c r="J3886" i="19"/>
  <c r="K3886" i="19"/>
  <c r="G3887" i="19"/>
  <c r="H3887" i="19"/>
  <c r="I3887" i="19"/>
  <c r="J3887" i="19"/>
  <c r="K3887" i="19"/>
  <c r="G3888" i="19"/>
  <c r="H3888" i="19"/>
  <c r="I3888" i="19"/>
  <c r="J3888" i="19"/>
  <c r="K3888" i="19"/>
  <c r="G3889" i="19"/>
  <c r="H3889" i="19"/>
  <c r="I3889" i="19"/>
  <c r="J3889" i="19"/>
  <c r="K3889" i="19"/>
  <c r="G3890" i="19"/>
  <c r="H3890" i="19"/>
  <c r="I3890" i="19"/>
  <c r="J3890" i="19"/>
  <c r="K3890" i="19"/>
  <c r="G3891" i="19"/>
  <c r="H3891" i="19"/>
  <c r="I3891" i="19"/>
  <c r="J3891" i="19"/>
  <c r="K3891" i="19"/>
  <c r="G3892" i="19"/>
  <c r="H3892" i="19"/>
  <c r="I3892" i="19"/>
  <c r="J3892" i="19"/>
  <c r="K3892" i="19"/>
  <c r="G3893" i="19"/>
  <c r="H3893" i="19"/>
  <c r="I3893" i="19"/>
  <c r="J3893" i="19"/>
  <c r="K3893" i="19"/>
  <c r="G3894" i="19"/>
  <c r="H3894" i="19"/>
  <c r="I3894" i="19"/>
  <c r="J3894" i="19"/>
  <c r="K3894" i="19"/>
  <c r="G3895" i="19"/>
  <c r="H3895" i="19"/>
  <c r="I3895" i="19"/>
  <c r="J3895" i="19"/>
  <c r="K3895" i="19"/>
  <c r="G3896" i="19"/>
  <c r="H3896" i="19"/>
  <c r="I3896" i="19"/>
  <c r="J3896" i="19"/>
  <c r="K3896" i="19"/>
  <c r="G3897" i="19"/>
  <c r="H3897" i="19"/>
  <c r="I3897" i="19"/>
  <c r="J3897" i="19"/>
  <c r="K3897" i="19"/>
  <c r="G3898" i="19"/>
  <c r="H3898" i="19"/>
  <c r="I3898" i="19"/>
  <c r="J3898" i="19"/>
  <c r="K3898" i="19"/>
  <c r="G3899" i="19"/>
  <c r="H3899" i="19"/>
  <c r="I3899" i="19"/>
  <c r="J3899" i="19"/>
  <c r="K3899" i="19"/>
  <c r="G3900" i="19"/>
  <c r="H3900" i="19"/>
  <c r="I3900" i="19"/>
  <c r="J3900" i="19"/>
  <c r="K3900" i="19"/>
  <c r="G3901" i="19"/>
  <c r="H3901" i="19"/>
  <c r="I3901" i="19"/>
  <c r="J3901" i="19"/>
  <c r="K3901" i="19"/>
  <c r="G3902" i="19"/>
  <c r="H3902" i="19"/>
  <c r="I3902" i="19"/>
  <c r="J3902" i="19"/>
  <c r="K3902" i="19"/>
  <c r="G3903" i="19"/>
  <c r="H3903" i="19"/>
  <c r="I3903" i="19"/>
  <c r="J3903" i="19"/>
  <c r="K3903" i="19"/>
  <c r="G3904" i="19"/>
  <c r="H3904" i="19"/>
  <c r="I3904" i="19"/>
  <c r="J3904" i="19"/>
  <c r="K3904" i="19"/>
  <c r="G3905" i="19"/>
  <c r="H3905" i="19"/>
  <c r="I3905" i="19"/>
  <c r="J3905" i="19"/>
  <c r="K3905" i="19"/>
  <c r="G3906" i="19"/>
  <c r="H3906" i="19"/>
  <c r="I3906" i="19"/>
  <c r="J3906" i="19"/>
  <c r="K3906" i="19"/>
  <c r="G3907" i="19"/>
  <c r="H3907" i="19"/>
  <c r="I3907" i="19"/>
  <c r="J3907" i="19"/>
  <c r="K3907" i="19"/>
  <c r="G3908" i="19"/>
  <c r="H3908" i="19"/>
  <c r="I3908" i="19"/>
  <c r="J3908" i="19"/>
  <c r="K3908" i="19"/>
  <c r="G3909" i="19"/>
  <c r="H3909" i="19"/>
  <c r="I3909" i="19"/>
  <c r="J3909" i="19"/>
  <c r="K3909" i="19"/>
  <c r="G3910" i="19"/>
  <c r="H3910" i="19"/>
  <c r="I3910" i="19"/>
  <c r="J3910" i="19"/>
  <c r="K3910" i="19"/>
  <c r="G3911" i="19"/>
  <c r="H3911" i="19"/>
  <c r="I3911" i="19"/>
  <c r="J3911" i="19"/>
  <c r="K3911" i="19"/>
  <c r="G3912" i="19"/>
  <c r="H3912" i="19"/>
  <c r="I3912" i="19"/>
  <c r="J3912" i="19"/>
  <c r="K3912" i="19"/>
  <c r="G3913" i="19"/>
  <c r="H3913" i="19"/>
  <c r="I3913" i="19"/>
  <c r="J3913" i="19"/>
  <c r="K3913" i="19"/>
  <c r="G3914" i="19"/>
  <c r="H3914" i="19"/>
  <c r="I3914" i="19"/>
  <c r="J3914" i="19"/>
  <c r="K3914" i="19"/>
  <c r="G3915" i="19"/>
  <c r="H3915" i="19"/>
  <c r="I3915" i="19"/>
  <c r="J3915" i="19"/>
  <c r="K3915" i="19"/>
  <c r="G3916" i="19"/>
  <c r="H3916" i="19"/>
  <c r="I3916" i="19"/>
  <c r="J3916" i="19"/>
  <c r="K3916" i="19"/>
  <c r="G3917" i="19"/>
  <c r="H3917" i="19"/>
  <c r="I3917" i="19"/>
  <c r="J3917" i="19"/>
  <c r="K3917" i="19"/>
  <c r="G3918" i="19"/>
  <c r="H3918" i="19"/>
  <c r="I3918" i="19"/>
  <c r="J3918" i="19"/>
  <c r="K3918" i="19"/>
  <c r="G3919" i="19"/>
  <c r="H3919" i="19"/>
  <c r="I3919" i="19"/>
  <c r="J3919" i="19"/>
  <c r="K3919" i="19"/>
  <c r="G3920" i="19"/>
  <c r="H3920" i="19"/>
  <c r="I3920" i="19"/>
  <c r="J3920" i="19"/>
  <c r="K3920" i="19"/>
  <c r="G3921" i="19"/>
  <c r="H3921" i="19"/>
  <c r="I3921" i="19"/>
  <c r="J3921" i="19"/>
  <c r="K3921" i="19"/>
  <c r="G3922" i="19"/>
  <c r="H3922" i="19"/>
  <c r="I3922" i="19"/>
  <c r="J3922" i="19"/>
  <c r="K3922" i="19"/>
  <c r="G3923" i="19"/>
  <c r="H3923" i="19"/>
  <c r="I3923" i="19"/>
  <c r="J3923" i="19"/>
  <c r="K3923" i="19"/>
  <c r="G3924" i="19"/>
  <c r="H3924" i="19"/>
  <c r="I3924" i="19"/>
  <c r="J3924" i="19"/>
  <c r="K3924" i="19"/>
  <c r="G3925" i="19"/>
  <c r="H3925" i="19"/>
  <c r="I3925" i="19"/>
  <c r="J3925" i="19"/>
  <c r="K3925" i="19"/>
  <c r="G3926" i="19"/>
  <c r="H3926" i="19"/>
  <c r="I3926" i="19"/>
  <c r="J3926" i="19"/>
  <c r="K3926" i="19"/>
  <c r="G3927" i="19"/>
  <c r="H3927" i="19"/>
  <c r="I3927" i="19"/>
  <c r="J3927" i="19"/>
  <c r="K3927" i="19"/>
  <c r="G3928" i="19"/>
  <c r="H3928" i="19"/>
  <c r="I3928" i="19"/>
  <c r="J3928" i="19"/>
  <c r="K3928" i="19"/>
  <c r="G3929" i="19"/>
  <c r="H3929" i="19"/>
  <c r="I3929" i="19"/>
  <c r="J3929" i="19"/>
  <c r="K3929" i="19"/>
  <c r="G3930" i="19"/>
  <c r="H3930" i="19"/>
  <c r="I3930" i="19"/>
  <c r="J3930" i="19"/>
  <c r="K3930" i="19"/>
  <c r="G3931" i="19"/>
  <c r="H3931" i="19"/>
  <c r="I3931" i="19"/>
  <c r="J3931" i="19"/>
  <c r="K3931" i="19"/>
  <c r="G3932" i="19"/>
  <c r="H3932" i="19"/>
  <c r="I3932" i="19"/>
  <c r="J3932" i="19"/>
  <c r="K3932" i="19"/>
  <c r="G3933" i="19"/>
  <c r="H3933" i="19"/>
  <c r="I3933" i="19"/>
  <c r="J3933" i="19"/>
  <c r="K3933" i="19"/>
  <c r="G3934" i="19"/>
  <c r="H3934" i="19"/>
  <c r="I3934" i="19"/>
  <c r="J3934" i="19"/>
  <c r="K3934" i="19"/>
  <c r="G3935" i="19"/>
  <c r="H3935" i="19"/>
  <c r="I3935" i="19"/>
  <c r="J3935" i="19"/>
  <c r="K3935" i="19"/>
  <c r="G3936" i="19"/>
  <c r="H3936" i="19"/>
  <c r="I3936" i="19"/>
  <c r="J3936" i="19"/>
  <c r="K3936" i="19"/>
  <c r="G3937" i="19"/>
  <c r="H3937" i="19"/>
  <c r="I3937" i="19"/>
  <c r="J3937" i="19"/>
  <c r="K3937" i="19"/>
  <c r="G3938" i="19"/>
  <c r="H3938" i="19"/>
  <c r="I3938" i="19"/>
  <c r="J3938" i="19"/>
  <c r="K3938" i="19"/>
  <c r="G3939" i="19"/>
  <c r="H3939" i="19"/>
  <c r="I3939" i="19"/>
  <c r="J3939" i="19"/>
  <c r="K3939" i="19"/>
  <c r="G3940" i="19"/>
  <c r="H3940" i="19"/>
  <c r="I3940" i="19"/>
  <c r="J3940" i="19"/>
  <c r="K3940" i="19"/>
  <c r="G3941" i="19"/>
  <c r="H3941" i="19"/>
  <c r="I3941" i="19"/>
  <c r="J3941" i="19"/>
  <c r="K3941" i="19"/>
  <c r="G3942" i="19"/>
  <c r="H3942" i="19"/>
  <c r="I3942" i="19"/>
  <c r="J3942" i="19"/>
  <c r="K3942" i="19"/>
  <c r="G3943" i="19"/>
  <c r="H3943" i="19"/>
  <c r="I3943" i="19"/>
  <c r="J3943" i="19"/>
  <c r="K3943" i="19"/>
  <c r="G3944" i="19"/>
  <c r="H3944" i="19"/>
  <c r="I3944" i="19"/>
  <c r="J3944" i="19"/>
  <c r="K3944" i="19"/>
  <c r="G3945" i="19"/>
  <c r="H3945" i="19"/>
  <c r="I3945" i="19"/>
  <c r="J3945" i="19"/>
  <c r="K3945" i="19"/>
  <c r="G3946" i="19"/>
  <c r="H3946" i="19"/>
  <c r="I3946" i="19"/>
  <c r="J3946" i="19"/>
  <c r="K3946" i="19"/>
  <c r="G3947" i="19"/>
  <c r="H3947" i="19"/>
  <c r="I3947" i="19"/>
  <c r="J3947" i="19"/>
  <c r="K3947" i="19"/>
  <c r="G3948" i="19"/>
  <c r="H3948" i="19"/>
  <c r="I3948" i="19"/>
  <c r="J3948" i="19"/>
  <c r="K3948" i="19"/>
  <c r="G3949" i="19"/>
  <c r="H3949" i="19"/>
  <c r="I3949" i="19"/>
  <c r="J3949" i="19"/>
  <c r="K3949" i="19"/>
  <c r="G3950" i="19"/>
  <c r="H3950" i="19"/>
  <c r="I3950" i="19"/>
  <c r="J3950" i="19"/>
  <c r="K3950" i="19"/>
  <c r="G3951" i="19"/>
  <c r="H3951" i="19"/>
  <c r="I3951" i="19"/>
  <c r="J3951" i="19"/>
  <c r="K3951" i="19"/>
  <c r="G3952" i="19"/>
  <c r="H3952" i="19"/>
  <c r="I3952" i="19"/>
  <c r="J3952" i="19"/>
  <c r="K3952" i="19"/>
  <c r="G3953" i="19"/>
  <c r="H3953" i="19"/>
  <c r="I3953" i="19"/>
  <c r="J3953" i="19"/>
  <c r="K3953" i="19"/>
  <c r="G3954" i="19"/>
  <c r="H3954" i="19"/>
  <c r="I3954" i="19"/>
  <c r="J3954" i="19"/>
  <c r="K3954" i="19"/>
  <c r="G3955" i="19"/>
  <c r="H3955" i="19"/>
  <c r="I3955" i="19"/>
  <c r="J3955" i="19"/>
  <c r="K3955" i="19"/>
  <c r="G3956" i="19"/>
  <c r="H3956" i="19"/>
  <c r="I3956" i="19"/>
  <c r="J3956" i="19"/>
  <c r="K3956" i="19"/>
  <c r="G3957" i="19"/>
  <c r="H3957" i="19"/>
  <c r="I3957" i="19"/>
  <c r="J3957" i="19"/>
  <c r="K3957" i="19"/>
  <c r="G3958" i="19"/>
  <c r="H3958" i="19"/>
  <c r="I3958" i="19"/>
  <c r="J3958" i="19"/>
  <c r="K3958" i="19"/>
  <c r="G3959" i="19"/>
  <c r="H3959" i="19"/>
  <c r="I3959" i="19"/>
  <c r="J3959" i="19"/>
  <c r="K3959" i="19"/>
  <c r="G3960" i="19"/>
  <c r="H3960" i="19"/>
  <c r="I3960" i="19"/>
  <c r="J3960" i="19"/>
  <c r="K3960" i="19"/>
  <c r="G3961" i="19"/>
  <c r="H3961" i="19"/>
  <c r="I3961" i="19"/>
  <c r="J3961" i="19"/>
  <c r="K3961" i="19"/>
  <c r="G3962" i="19"/>
  <c r="H3962" i="19"/>
  <c r="I3962" i="19"/>
  <c r="J3962" i="19"/>
  <c r="K3962" i="19"/>
  <c r="G3963" i="19"/>
  <c r="H3963" i="19"/>
  <c r="I3963" i="19"/>
  <c r="J3963" i="19"/>
  <c r="K3963" i="19"/>
  <c r="G3964" i="19"/>
  <c r="H3964" i="19"/>
  <c r="I3964" i="19"/>
  <c r="J3964" i="19"/>
  <c r="K3964" i="19"/>
  <c r="G3965" i="19"/>
  <c r="H3965" i="19"/>
  <c r="I3965" i="19"/>
  <c r="J3965" i="19"/>
  <c r="K3965" i="19"/>
  <c r="G3966" i="19"/>
  <c r="H3966" i="19"/>
  <c r="I3966" i="19"/>
  <c r="J3966" i="19"/>
  <c r="K3966" i="19"/>
  <c r="G3967" i="19"/>
  <c r="H3967" i="19"/>
  <c r="I3967" i="19"/>
  <c r="J3967" i="19"/>
  <c r="K3967" i="19"/>
  <c r="G3968" i="19"/>
  <c r="H3968" i="19"/>
  <c r="I3968" i="19"/>
  <c r="J3968" i="19"/>
  <c r="K3968" i="19"/>
  <c r="G3969" i="19"/>
  <c r="H3969" i="19"/>
  <c r="I3969" i="19"/>
  <c r="J3969" i="19"/>
  <c r="K3969" i="19"/>
  <c r="G3970" i="19"/>
  <c r="H3970" i="19"/>
  <c r="I3970" i="19"/>
  <c r="J3970" i="19"/>
  <c r="K3970" i="19"/>
  <c r="G3971" i="19"/>
  <c r="H3971" i="19"/>
  <c r="I3971" i="19"/>
  <c r="J3971" i="19"/>
  <c r="K3971" i="19"/>
  <c r="G3972" i="19"/>
  <c r="H3972" i="19"/>
  <c r="I3972" i="19"/>
  <c r="J3972" i="19"/>
  <c r="K3972" i="19"/>
  <c r="G3973" i="19"/>
  <c r="H3973" i="19"/>
  <c r="I3973" i="19"/>
  <c r="J3973" i="19"/>
  <c r="K3973" i="19"/>
  <c r="G3974" i="19"/>
  <c r="H3974" i="19"/>
  <c r="I3974" i="19"/>
  <c r="J3974" i="19"/>
  <c r="K3974" i="19"/>
  <c r="G3975" i="19"/>
  <c r="H3975" i="19"/>
  <c r="I3975" i="19"/>
  <c r="J3975" i="19"/>
  <c r="K3975" i="19"/>
  <c r="G3976" i="19"/>
  <c r="H3976" i="19"/>
  <c r="I3976" i="19"/>
  <c r="J3976" i="19"/>
  <c r="K3976" i="19"/>
  <c r="G3977" i="19"/>
  <c r="H3977" i="19"/>
  <c r="I3977" i="19"/>
  <c r="J3977" i="19"/>
  <c r="K3977" i="19"/>
  <c r="G3978" i="19"/>
  <c r="H3978" i="19"/>
  <c r="I3978" i="19"/>
  <c r="J3978" i="19"/>
  <c r="K3978" i="19"/>
  <c r="G3979" i="19"/>
  <c r="H3979" i="19"/>
  <c r="I3979" i="19"/>
  <c r="J3979" i="19"/>
  <c r="K3979" i="19"/>
  <c r="G3980" i="19"/>
  <c r="H3980" i="19"/>
  <c r="I3980" i="19"/>
  <c r="J3980" i="19"/>
  <c r="K3980" i="19"/>
  <c r="G3981" i="19"/>
  <c r="H3981" i="19"/>
  <c r="I3981" i="19"/>
  <c r="J3981" i="19"/>
  <c r="K3981" i="19"/>
  <c r="G3982" i="19"/>
  <c r="H3982" i="19"/>
  <c r="I3982" i="19"/>
  <c r="J3982" i="19"/>
  <c r="K3982" i="19"/>
  <c r="G3983" i="19"/>
  <c r="H3983" i="19"/>
  <c r="I3983" i="19"/>
  <c r="J3983" i="19"/>
  <c r="K3983" i="19"/>
  <c r="G3984" i="19"/>
  <c r="H3984" i="19"/>
  <c r="I3984" i="19"/>
  <c r="J3984" i="19"/>
  <c r="K3984" i="19"/>
  <c r="G3985" i="19"/>
  <c r="H3985" i="19"/>
  <c r="I3985" i="19"/>
  <c r="J3985" i="19"/>
  <c r="K3985" i="19"/>
  <c r="G3986" i="19"/>
  <c r="H3986" i="19"/>
  <c r="I3986" i="19"/>
  <c r="J3986" i="19"/>
  <c r="K3986" i="19"/>
  <c r="G3987" i="19"/>
  <c r="H3987" i="19"/>
  <c r="I3987" i="19"/>
  <c r="J3987" i="19"/>
  <c r="K3987" i="19"/>
  <c r="G3988" i="19"/>
  <c r="H3988" i="19"/>
  <c r="I3988" i="19"/>
  <c r="J3988" i="19"/>
  <c r="K3988" i="19"/>
  <c r="G3989" i="19"/>
  <c r="H3989" i="19"/>
  <c r="I3989" i="19"/>
  <c r="J3989" i="19"/>
  <c r="K3989" i="19"/>
  <c r="G3990" i="19"/>
  <c r="H3990" i="19"/>
  <c r="I3990" i="19"/>
  <c r="J3990" i="19"/>
  <c r="K3990" i="19"/>
  <c r="G3991" i="19"/>
  <c r="H3991" i="19"/>
  <c r="I3991" i="19"/>
  <c r="J3991" i="19"/>
  <c r="K3991" i="19"/>
  <c r="G3992" i="19"/>
  <c r="H3992" i="19"/>
  <c r="I3992" i="19"/>
  <c r="J3992" i="19"/>
  <c r="K3992" i="19"/>
  <c r="G3993" i="19"/>
  <c r="H3993" i="19"/>
  <c r="I3993" i="19"/>
  <c r="J3993" i="19"/>
  <c r="K3993" i="19"/>
  <c r="G3994" i="19"/>
  <c r="H3994" i="19"/>
  <c r="I3994" i="19"/>
  <c r="J3994" i="19"/>
  <c r="K3994" i="19"/>
  <c r="G3995" i="19"/>
  <c r="H3995" i="19"/>
  <c r="I3995" i="19"/>
  <c r="J3995" i="19"/>
  <c r="K3995" i="19"/>
  <c r="G3996" i="19"/>
  <c r="H3996" i="19"/>
  <c r="I3996" i="19"/>
  <c r="J3996" i="19"/>
  <c r="K3996" i="19"/>
  <c r="G3997" i="19"/>
  <c r="H3997" i="19"/>
  <c r="I3997" i="19"/>
  <c r="J3997" i="19"/>
  <c r="K3997" i="19"/>
  <c r="G3998" i="19"/>
  <c r="H3998" i="19"/>
  <c r="I3998" i="19"/>
  <c r="J3998" i="19"/>
  <c r="K3998" i="19"/>
  <c r="G3999" i="19"/>
  <c r="H3999" i="19"/>
  <c r="I3999" i="19"/>
  <c r="J3999" i="19"/>
  <c r="K3999" i="19"/>
  <c r="G4000" i="19"/>
  <c r="H4000" i="19"/>
  <c r="I4000" i="19"/>
  <c r="J4000" i="19"/>
  <c r="K4000" i="19"/>
  <c r="G4001" i="19"/>
  <c r="H4001" i="19"/>
  <c r="I4001" i="19"/>
  <c r="J4001" i="19"/>
  <c r="K4001" i="19"/>
  <c r="G4002" i="19"/>
  <c r="H4002" i="19"/>
  <c r="I4002" i="19"/>
  <c r="J4002" i="19"/>
  <c r="K4002" i="19"/>
  <c r="G4003" i="19"/>
  <c r="H4003" i="19"/>
  <c r="I4003" i="19"/>
  <c r="J4003" i="19"/>
  <c r="K4003" i="19"/>
  <c r="G4004" i="19"/>
  <c r="H4004" i="19"/>
  <c r="I4004" i="19"/>
  <c r="J4004" i="19"/>
  <c r="K4004" i="19"/>
  <c r="G4005" i="19"/>
  <c r="H4005" i="19"/>
  <c r="I4005" i="19"/>
  <c r="J4005" i="19"/>
  <c r="K4005" i="19"/>
  <c r="G4006" i="19"/>
  <c r="H4006" i="19"/>
  <c r="I4006" i="19"/>
  <c r="J4006" i="19"/>
  <c r="K4006" i="19"/>
  <c r="G4007" i="19"/>
  <c r="H4007" i="19"/>
  <c r="I4007" i="19"/>
  <c r="J4007" i="19"/>
  <c r="K4007" i="19"/>
  <c r="G4008" i="19"/>
  <c r="H4008" i="19"/>
  <c r="I4008" i="19"/>
  <c r="J4008" i="19"/>
  <c r="K4008" i="19"/>
  <c r="G4009" i="19"/>
  <c r="H4009" i="19"/>
  <c r="I4009" i="19"/>
  <c r="J4009" i="19"/>
  <c r="K4009" i="19"/>
  <c r="G4010" i="19"/>
  <c r="H4010" i="19"/>
  <c r="I4010" i="19"/>
  <c r="J4010" i="19"/>
  <c r="K4010" i="19"/>
  <c r="G4011" i="19"/>
  <c r="H4011" i="19"/>
  <c r="I4011" i="19"/>
  <c r="J4011" i="19"/>
  <c r="K4011" i="19"/>
  <c r="G4012" i="19"/>
  <c r="H4012" i="19"/>
  <c r="I4012" i="19"/>
  <c r="J4012" i="19"/>
  <c r="K4012" i="19"/>
  <c r="G4013" i="19"/>
  <c r="H4013" i="19"/>
  <c r="I4013" i="19"/>
  <c r="J4013" i="19"/>
  <c r="K4013" i="19"/>
  <c r="G4014" i="19"/>
  <c r="H4014" i="19"/>
  <c r="I4014" i="19"/>
  <c r="J4014" i="19"/>
  <c r="K4014" i="19"/>
  <c r="G4015" i="19"/>
  <c r="H4015" i="19"/>
  <c r="I4015" i="19"/>
  <c r="J4015" i="19"/>
  <c r="K4015" i="19"/>
  <c r="G4016" i="19"/>
  <c r="H4016" i="19"/>
  <c r="I4016" i="19"/>
  <c r="J4016" i="19"/>
  <c r="K4016" i="19"/>
  <c r="G4017" i="19"/>
  <c r="H4017" i="19"/>
  <c r="I4017" i="19"/>
  <c r="J4017" i="19"/>
  <c r="K4017" i="19"/>
  <c r="G4018" i="19"/>
  <c r="H4018" i="19"/>
  <c r="I4018" i="19"/>
  <c r="J4018" i="19"/>
  <c r="K4018" i="19"/>
  <c r="G4019" i="19"/>
  <c r="H4019" i="19"/>
  <c r="I4019" i="19"/>
  <c r="J4019" i="19"/>
  <c r="K4019" i="19"/>
  <c r="G4020" i="19"/>
  <c r="H4020" i="19"/>
  <c r="I4020" i="19"/>
  <c r="J4020" i="19"/>
  <c r="K4020" i="19"/>
  <c r="G4021" i="19"/>
  <c r="H4021" i="19"/>
  <c r="I4021" i="19"/>
  <c r="J4021" i="19"/>
  <c r="K4021" i="19"/>
  <c r="G4022" i="19"/>
  <c r="H4022" i="19"/>
  <c r="I4022" i="19"/>
  <c r="J4022" i="19"/>
  <c r="K4022" i="19"/>
  <c r="G4023" i="19"/>
  <c r="H4023" i="19"/>
  <c r="I4023" i="19"/>
  <c r="J4023" i="19"/>
  <c r="K4023" i="19"/>
  <c r="G4024" i="19"/>
  <c r="H4024" i="19"/>
  <c r="I4024" i="19"/>
  <c r="J4024" i="19"/>
  <c r="K4024" i="19"/>
  <c r="G4025" i="19"/>
  <c r="H4025" i="19"/>
  <c r="I4025" i="19"/>
  <c r="J4025" i="19"/>
  <c r="K4025" i="19"/>
  <c r="G4026" i="19"/>
  <c r="H4026" i="19"/>
  <c r="I4026" i="19"/>
  <c r="J4026" i="19"/>
  <c r="K4026" i="19"/>
  <c r="G4027" i="19"/>
  <c r="H4027" i="19"/>
  <c r="I4027" i="19"/>
  <c r="J4027" i="19"/>
  <c r="K4027" i="19"/>
  <c r="G4028" i="19"/>
  <c r="H4028" i="19"/>
  <c r="I4028" i="19"/>
  <c r="J4028" i="19"/>
  <c r="K4028" i="19"/>
  <c r="G4029" i="19"/>
  <c r="H4029" i="19"/>
  <c r="I4029" i="19"/>
  <c r="J4029" i="19"/>
  <c r="K4029" i="19"/>
  <c r="G4030" i="19"/>
  <c r="H4030" i="19"/>
  <c r="I4030" i="19"/>
  <c r="J4030" i="19"/>
  <c r="K4030" i="19"/>
  <c r="G4031" i="19"/>
  <c r="H4031" i="19"/>
  <c r="I4031" i="19"/>
  <c r="J4031" i="19"/>
  <c r="K4031" i="19"/>
  <c r="G4032" i="19"/>
  <c r="H4032" i="19"/>
  <c r="I4032" i="19"/>
  <c r="J4032" i="19"/>
  <c r="K4032" i="19"/>
  <c r="G4033" i="19"/>
  <c r="H4033" i="19"/>
  <c r="I4033" i="19"/>
  <c r="J4033" i="19"/>
  <c r="K4033" i="19"/>
  <c r="G4034" i="19"/>
  <c r="H4034" i="19"/>
  <c r="I4034" i="19"/>
  <c r="J4034" i="19"/>
  <c r="K4034" i="19"/>
  <c r="G4035" i="19"/>
  <c r="H4035" i="19"/>
  <c r="I4035" i="19"/>
  <c r="J4035" i="19"/>
  <c r="K4035" i="19"/>
  <c r="G4036" i="19"/>
  <c r="H4036" i="19"/>
  <c r="I4036" i="19"/>
  <c r="J4036" i="19"/>
  <c r="K4036" i="19"/>
  <c r="G4037" i="19"/>
  <c r="H4037" i="19"/>
  <c r="I4037" i="19"/>
  <c r="J4037" i="19"/>
  <c r="K4037" i="19"/>
  <c r="G4038" i="19"/>
  <c r="H4038" i="19"/>
  <c r="I4038" i="19"/>
  <c r="J4038" i="19"/>
  <c r="K4038" i="19"/>
  <c r="G4039" i="19"/>
  <c r="H4039" i="19"/>
  <c r="I4039" i="19"/>
  <c r="J4039" i="19"/>
  <c r="K4039" i="19"/>
  <c r="G4040" i="19"/>
  <c r="H4040" i="19"/>
  <c r="I4040" i="19"/>
  <c r="J4040" i="19"/>
  <c r="K4040" i="19"/>
  <c r="G4041" i="19"/>
  <c r="H4041" i="19"/>
  <c r="I4041" i="19"/>
  <c r="J4041" i="19"/>
  <c r="K4041" i="19"/>
  <c r="G4042" i="19"/>
  <c r="H4042" i="19"/>
  <c r="I4042" i="19"/>
  <c r="J4042" i="19"/>
  <c r="K4042" i="19"/>
  <c r="G4043" i="19"/>
  <c r="H4043" i="19"/>
  <c r="I4043" i="19"/>
  <c r="J4043" i="19"/>
  <c r="K4043" i="19"/>
  <c r="G4044" i="19"/>
  <c r="H4044" i="19"/>
  <c r="I4044" i="19"/>
  <c r="J4044" i="19"/>
  <c r="K4044" i="19"/>
  <c r="G4045" i="19"/>
  <c r="H4045" i="19"/>
  <c r="I4045" i="19"/>
  <c r="J4045" i="19"/>
  <c r="K4045" i="19"/>
  <c r="G4046" i="19"/>
  <c r="H4046" i="19"/>
  <c r="I4046" i="19"/>
  <c r="J4046" i="19"/>
  <c r="K4046" i="19"/>
  <c r="G4047" i="19"/>
  <c r="H4047" i="19"/>
  <c r="I4047" i="19"/>
  <c r="J4047" i="19"/>
  <c r="K4047" i="19"/>
  <c r="G4048" i="19"/>
  <c r="H4048" i="19"/>
  <c r="I4048" i="19"/>
  <c r="J4048" i="19"/>
  <c r="K4048" i="19"/>
  <c r="G4049" i="19"/>
  <c r="H4049" i="19"/>
  <c r="I4049" i="19"/>
  <c r="J4049" i="19"/>
  <c r="K4049" i="19"/>
  <c r="G4050" i="19"/>
  <c r="H4050" i="19"/>
  <c r="I4050" i="19"/>
  <c r="J4050" i="19"/>
  <c r="K4050" i="19"/>
  <c r="G4051" i="19"/>
  <c r="H4051" i="19"/>
  <c r="I4051" i="19"/>
  <c r="J4051" i="19"/>
  <c r="K4051" i="19"/>
  <c r="G4052" i="19"/>
  <c r="H4052" i="19"/>
  <c r="I4052" i="19"/>
  <c r="J4052" i="19"/>
  <c r="K4052" i="19"/>
  <c r="G4053" i="19"/>
  <c r="H4053" i="19"/>
  <c r="I4053" i="19"/>
  <c r="J4053" i="19"/>
  <c r="K4053" i="19"/>
  <c r="G4054" i="19"/>
  <c r="H4054" i="19"/>
  <c r="I4054" i="19"/>
  <c r="J4054" i="19"/>
  <c r="K4054" i="19"/>
  <c r="G4055" i="19"/>
  <c r="H4055" i="19"/>
  <c r="I4055" i="19"/>
  <c r="J4055" i="19"/>
  <c r="K4055" i="19"/>
  <c r="G4056" i="19"/>
  <c r="H4056" i="19"/>
  <c r="I4056" i="19"/>
  <c r="J4056" i="19"/>
  <c r="K4056" i="19"/>
  <c r="G4057" i="19"/>
  <c r="H4057" i="19"/>
  <c r="I4057" i="19"/>
  <c r="J4057" i="19"/>
  <c r="K4057" i="19"/>
  <c r="G4058" i="19"/>
  <c r="H4058" i="19"/>
  <c r="I4058" i="19"/>
  <c r="J4058" i="19"/>
  <c r="K4058" i="19"/>
  <c r="G4059" i="19"/>
  <c r="H4059" i="19"/>
  <c r="I4059" i="19"/>
  <c r="J4059" i="19"/>
  <c r="K4059" i="19"/>
  <c r="G4060" i="19"/>
  <c r="H4060" i="19"/>
  <c r="I4060" i="19"/>
  <c r="J4060" i="19"/>
  <c r="K4060" i="19"/>
  <c r="G4061" i="19"/>
  <c r="H4061" i="19"/>
  <c r="I4061" i="19"/>
  <c r="J4061" i="19"/>
  <c r="K4061" i="19"/>
  <c r="G4062" i="19"/>
  <c r="H4062" i="19"/>
  <c r="I4062" i="19"/>
  <c r="J4062" i="19"/>
  <c r="K4062" i="19"/>
  <c r="G4063" i="19"/>
  <c r="H4063" i="19"/>
  <c r="I4063" i="19"/>
  <c r="J4063" i="19"/>
  <c r="K4063" i="19"/>
  <c r="G4064" i="19"/>
  <c r="H4064" i="19"/>
  <c r="I4064" i="19"/>
  <c r="J4064" i="19"/>
  <c r="K4064" i="19"/>
  <c r="G4065" i="19"/>
  <c r="H4065" i="19"/>
  <c r="I4065" i="19"/>
  <c r="J4065" i="19"/>
  <c r="K4065" i="19"/>
  <c r="G4066" i="19"/>
  <c r="H4066" i="19"/>
  <c r="I4066" i="19"/>
  <c r="J4066" i="19"/>
  <c r="K4066" i="19"/>
  <c r="G4067" i="19"/>
  <c r="H4067" i="19"/>
  <c r="I4067" i="19"/>
  <c r="J4067" i="19"/>
  <c r="K4067" i="19"/>
  <c r="G4068" i="19"/>
  <c r="H4068" i="19"/>
  <c r="I4068" i="19"/>
  <c r="J4068" i="19"/>
  <c r="K4068" i="19"/>
  <c r="G4069" i="19"/>
  <c r="H4069" i="19"/>
  <c r="I4069" i="19"/>
  <c r="J4069" i="19"/>
  <c r="K4069" i="19"/>
  <c r="G4070" i="19"/>
  <c r="H4070" i="19"/>
  <c r="I4070" i="19"/>
  <c r="J4070" i="19"/>
  <c r="K4070" i="19"/>
  <c r="G4071" i="19"/>
  <c r="H4071" i="19"/>
  <c r="I4071" i="19"/>
  <c r="J4071" i="19"/>
  <c r="K4071" i="19"/>
  <c r="G4072" i="19"/>
  <c r="H4072" i="19"/>
  <c r="I4072" i="19"/>
  <c r="J4072" i="19"/>
  <c r="K4072" i="19"/>
  <c r="G4073" i="19"/>
  <c r="H4073" i="19"/>
  <c r="I4073" i="19"/>
  <c r="J4073" i="19"/>
  <c r="K4073" i="19"/>
  <c r="G4074" i="19"/>
  <c r="H4074" i="19"/>
  <c r="I4074" i="19"/>
  <c r="J4074" i="19"/>
  <c r="K4074" i="19"/>
  <c r="G4075" i="19"/>
  <c r="H4075" i="19"/>
  <c r="I4075" i="19"/>
  <c r="J4075" i="19"/>
  <c r="K4075" i="19"/>
  <c r="G4076" i="19"/>
  <c r="H4076" i="19"/>
  <c r="I4076" i="19"/>
  <c r="J4076" i="19"/>
  <c r="K4076" i="19"/>
  <c r="G4077" i="19"/>
  <c r="H4077" i="19"/>
  <c r="I4077" i="19"/>
  <c r="J4077" i="19"/>
  <c r="K4077" i="19"/>
  <c r="G4078" i="19"/>
  <c r="H4078" i="19"/>
  <c r="I4078" i="19"/>
  <c r="J4078" i="19"/>
  <c r="K4078" i="19"/>
  <c r="G4079" i="19"/>
  <c r="H4079" i="19"/>
  <c r="I4079" i="19"/>
  <c r="J4079" i="19"/>
  <c r="K4079" i="19"/>
  <c r="G4080" i="19"/>
  <c r="H4080" i="19"/>
  <c r="I4080" i="19"/>
  <c r="J4080" i="19"/>
  <c r="K4080" i="19"/>
  <c r="G4081" i="19"/>
  <c r="H4081" i="19"/>
  <c r="I4081" i="19"/>
  <c r="J4081" i="19"/>
  <c r="K4081" i="19"/>
  <c r="G4082" i="19"/>
  <c r="H4082" i="19"/>
  <c r="I4082" i="19"/>
  <c r="J4082" i="19"/>
  <c r="K4082" i="19"/>
  <c r="G4083" i="19"/>
  <c r="H4083" i="19"/>
  <c r="I4083" i="19"/>
  <c r="J4083" i="19"/>
  <c r="K4083" i="19"/>
  <c r="G4084" i="19"/>
  <c r="H4084" i="19"/>
  <c r="I4084" i="19"/>
  <c r="J4084" i="19"/>
  <c r="K4084" i="19"/>
  <c r="G4085" i="19"/>
  <c r="H4085" i="19"/>
  <c r="I4085" i="19"/>
  <c r="J4085" i="19"/>
  <c r="K4085" i="19"/>
  <c r="G4086" i="19"/>
  <c r="H4086" i="19"/>
  <c r="I4086" i="19"/>
  <c r="J4086" i="19"/>
  <c r="K4086" i="19"/>
  <c r="G4087" i="19"/>
  <c r="H4087" i="19"/>
  <c r="I4087" i="19"/>
  <c r="J4087" i="19"/>
  <c r="K4087" i="19"/>
  <c r="G4088" i="19"/>
  <c r="H4088" i="19"/>
  <c r="I4088" i="19"/>
  <c r="J4088" i="19"/>
  <c r="K4088" i="19"/>
  <c r="G4089" i="19"/>
  <c r="H4089" i="19"/>
  <c r="I4089" i="19"/>
  <c r="J4089" i="19"/>
  <c r="K4089" i="19"/>
  <c r="G4090" i="19"/>
  <c r="H4090" i="19"/>
  <c r="I4090" i="19"/>
  <c r="J4090" i="19"/>
  <c r="K4090" i="19"/>
  <c r="G4091" i="19"/>
  <c r="H4091" i="19"/>
  <c r="I4091" i="19"/>
  <c r="J4091" i="19"/>
  <c r="K4091" i="19"/>
  <c r="G4092" i="19"/>
  <c r="H4092" i="19"/>
  <c r="I4092" i="19"/>
  <c r="J4092" i="19"/>
  <c r="K4092" i="19"/>
  <c r="G4093" i="19"/>
  <c r="H4093" i="19"/>
  <c r="I4093" i="19"/>
  <c r="J4093" i="19"/>
  <c r="K4093" i="19"/>
  <c r="G4094" i="19"/>
  <c r="H4094" i="19"/>
  <c r="I4094" i="19"/>
  <c r="J4094" i="19"/>
  <c r="K4094" i="19"/>
  <c r="G4095" i="19"/>
  <c r="H4095" i="19"/>
  <c r="I4095" i="19"/>
  <c r="J4095" i="19"/>
  <c r="K4095" i="19"/>
  <c r="G4096" i="19"/>
  <c r="H4096" i="19"/>
  <c r="I4096" i="19"/>
  <c r="J4096" i="19"/>
  <c r="K4096" i="19"/>
  <c r="G4097" i="19"/>
  <c r="H4097" i="19"/>
  <c r="I4097" i="19"/>
  <c r="J4097" i="19"/>
  <c r="K4097" i="19"/>
  <c r="G4098" i="19"/>
  <c r="H4098" i="19"/>
  <c r="I4098" i="19"/>
  <c r="J4098" i="19"/>
  <c r="K4098" i="19"/>
  <c r="G4099" i="19"/>
  <c r="H4099" i="19"/>
  <c r="I4099" i="19"/>
  <c r="J4099" i="19"/>
  <c r="K4099" i="19"/>
  <c r="G4100" i="19"/>
  <c r="H4100" i="19"/>
  <c r="I4100" i="19"/>
  <c r="J4100" i="19"/>
  <c r="K4100" i="19"/>
  <c r="G4101" i="19"/>
  <c r="H4101" i="19"/>
  <c r="I4101" i="19"/>
  <c r="J4101" i="19"/>
  <c r="K4101" i="19"/>
  <c r="G4102" i="19"/>
  <c r="H4102" i="19"/>
  <c r="I4102" i="19"/>
  <c r="J4102" i="19"/>
  <c r="K4102" i="19"/>
  <c r="G4103" i="19"/>
  <c r="H4103" i="19"/>
  <c r="I4103" i="19"/>
  <c r="J4103" i="19"/>
  <c r="K4103" i="19"/>
  <c r="G4104" i="19"/>
  <c r="H4104" i="19"/>
  <c r="I4104" i="19"/>
  <c r="J4104" i="19"/>
  <c r="K4104" i="19"/>
  <c r="G4105" i="19"/>
  <c r="H4105" i="19"/>
  <c r="I4105" i="19"/>
  <c r="J4105" i="19"/>
  <c r="K4105" i="19"/>
  <c r="G4106" i="19"/>
  <c r="H4106" i="19"/>
  <c r="I4106" i="19"/>
  <c r="J4106" i="19"/>
  <c r="K4106" i="19"/>
  <c r="G4107" i="19"/>
  <c r="H4107" i="19"/>
  <c r="I4107" i="19"/>
  <c r="J4107" i="19"/>
  <c r="K4107" i="19"/>
  <c r="G4108" i="19"/>
  <c r="H4108" i="19"/>
  <c r="I4108" i="19"/>
  <c r="J4108" i="19"/>
  <c r="K4108" i="19"/>
  <c r="G4109" i="19"/>
  <c r="H4109" i="19"/>
  <c r="I4109" i="19"/>
  <c r="J4109" i="19"/>
  <c r="K4109" i="19"/>
  <c r="G4110" i="19"/>
  <c r="H4110" i="19"/>
  <c r="I4110" i="19"/>
  <c r="J4110" i="19"/>
  <c r="K4110" i="19"/>
  <c r="G4111" i="19"/>
  <c r="H4111" i="19"/>
  <c r="I4111" i="19"/>
  <c r="J4111" i="19"/>
  <c r="K4111" i="19"/>
  <c r="G4112" i="19"/>
  <c r="H4112" i="19"/>
  <c r="I4112" i="19"/>
  <c r="J4112" i="19"/>
  <c r="K4112" i="19"/>
  <c r="G4113" i="19"/>
  <c r="H4113" i="19"/>
  <c r="I4113" i="19"/>
  <c r="J4113" i="19"/>
  <c r="K4113" i="19"/>
  <c r="G4114" i="19"/>
  <c r="H4114" i="19"/>
  <c r="I4114" i="19"/>
  <c r="J4114" i="19"/>
  <c r="K4114" i="19"/>
  <c r="G4115" i="19"/>
  <c r="H4115" i="19"/>
  <c r="I4115" i="19"/>
  <c r="J4115" i="19"/>
  <c r="K4115" i="19"/>
  <c r="G4116" i="19"/>
  <c r="H4116" i="19"/>
  <c r="I4116" i="19"/>
  <c r="J4116" i="19"/>
  <c r="K4116" i="19"/>
  <c r="G4117" i="19"/>
  <c r="H4117" i="19"/>
  <c r="I4117" i="19"/>
  <c r="J4117" i="19"/>
  <c r="K4117" i="19"/>
  <c r="G4118" i="19"/>
  <c r="H4118" i="19"/>
  <c r="I4118" i="19"/>
  <c r="J4118" i="19"/>
  <c r="K4118" i="19"/>
  <c r="G4119" i="19"/>
  <c r="H4119" i="19"/>
  <c r="I4119" i="19"/>
  <c r="J4119" i="19"/>
  <c r="K4119" i="19"/>
  <c r="G4120" i="19"/>
  <c r="H4120" i="19"/>
  <c r="I4120" i="19"/>
  <c r="J4120" i="19"/>
  <c r="K4120" i="19"/>
  <c r="G4121" i="19"/>
  <c r="H4121" i="19"/>
  <c r="I4121" i="19"/>
  <c r="J4121" i="19"/>
  <c r="K4121" i="19"/>
  <c r="G4122" i="19"/>
  <c r="H4122" i="19"/>
  <c r="I4122" i="19"/>
  <c r="J4122" i="19"/>
  <c r="K4122" i="19"/>
  <c r="G4123" i="19"/>
  <c r="H4123" i="19"/>
  <c r="I4123" i="19"/>
  <c r="J4123" i="19"/>
  <c r="K4123" i="19"/>
  <c r="G4124" i="19"/>
  <c r="H4124" i="19"/>
  <c r="I4124" i="19"/>
  <c r="J4124" i="19"/>
  <c r="K4124" i="19"/>
  <c r="G4125" i="19"/>
  <c r="H4125" i="19"/>
  <c r="I4125" i="19"/>
  <c r="J4125" i="19"/>
  <c r="K4125" i="19"/>
  <c r="G4126" i="19"/>
  <c r="H4126" i="19"/>
  <c r="I4126" i="19"/>
  <c r="J4126" i="19"/>
  <c r="K4126" i="19"/>
  <c r="G4127" i="19"/>
  <c r="H4127" i="19"/>
  <c r="I4127" i="19"/>
  <c r="J4127" i="19"/>
  <c r="K4127" i="19"/>
  <c r="G4128" i="19"/>
  <c r="H4128" i="19"/>
  <c r="I4128" i="19"/>
  <c r="J4128" i="19"/>
  <c r="K4128" i="19"/>
  <c r="G4129" i="19"/>
  <c r="H4129" i="19"/>
  <c r="I4129" i="19"/>
  <c r="J4129" i="19"/>
  <c r="K4129" i="19"/>
  <c r="G4130" i="19"/>
  <c r="H4130" i="19"/>
  <c r="I4130" i="19"/>
  <c r="J4130" i="19"/>
  <c r="K4130" i="19"/>
  <c r="G4131" i="19"/>
  <c r="H4131" i="19"/>
  <c r="I4131" i="19"/>
  <c r="J4131" i="19"/>
  <c r="K4131" i="19"/>
  <c r="G4132" i="19"/>
  <c r="H4132" i="19"/>
  <c r="I4132" i="19"/>
  <c r="J4132" i="19"/>
  <c r="K4132" i="19"/>
  <c r="G4133" i="19"/>
  <c r="H4133" i="19"/>
  <c r="I4133" i="19"/>
  <c r="J4133" i="19"/>
  <c r="K4133" i="19"/>
  <c r="G4134" i="19"/>
  <c r="H4134" i="19"/>
  <c r="I4134" i="19"/>
  <c r="J4134" i="19"/>
  <c r="K4134" i="19"/>
  <c r="G4135" i="19"/>
  <c r="H4135" i="19"/>
  <c r="I4135" i="19"/>
  <c r="J4135" i="19"/>
  <c r="K4135" i="19"/>
  <c r="G4136" i="19"/>
  <c r="H4136" i="19"/>
  <c r="I4136" i="19"/>
  <c r="J4136" i="19"/>
  <c r="K4136" i="19"/>
  <c r="G4137" i="19"/>
  <c r="H4137" i="19"/>
  <c r="I4137" i="19"/>
  <c r="J4137" i="19"/>
  <c r="K4137" i="19"/>
  <c r="G4138" i="19"/>
  <c r="H4138" i="19"/>
  <c r="I4138" i="19"/>
  <c r="J4138" i="19"/>
  <c r="K4138" i="19"/>
  <c r="G4139" i="19"/>
  <c r="H4139" i="19"/>
  <c r="I4139" i="19"/>
  <c r="J4139" i="19"/>
  <c r="K4139" i="19"/>
  <c r="G4140" i="19"/>
  <c r="H4140" i="19"/>
  <c r="I4140" i="19"/>
  <c r="J4140" i="19"/>
  <c r="K4140" i="19"/>
  <c r="G4141" i="19"/>
  <c r="H4141" i="19"/>
  <c r="I4141" i="19"/>
  <c r="J4141" i="19"/>
  <c r="K4141" i="19"/>
  <c r="G4142" i="19"/>
  <c r="H4142" i="19"/>
  <c r="I4142" i="19"/>
  <c r="J4142" i="19"/>
  <c r="K4142" i="19"/>
  <c r="G4143" i="19"/>
  <c r="H4143" i="19"/>
  <c r="I4143" i="19"/>
  <c r="J4143" i="19"/>
  <c r="K4143" i="19"/>
  <c r="G4144" i="19"/>
  <c r="H4144" i="19"/>
  <c r="I4144" i="19"/>
  <c r="J4144" i="19"/>
  <c r="K4144" i="19"/>
  <c r="G4145" i="19"/>
  <c r="H4145" i="19"/>
  <c r="I4145" i="19"/>
  <c r="J4145" i="19"/>
  <c r="K4145" i="19"/>
  <c r="G4146" i="19"/>
  <c r="H4146" i="19"/>
  <c r="I4146" i="19"/>
  <c r="J4146" i="19"/>
  <c r="K4146" i="19"/>
  <c r="G4147" i="19"/>
  <c r="H4147" i="19"/>
  <c r="I4147" i="19"/>
  <c r="J4147" i="19"/>
  <c r="K4147" i="19"/>
  <c r="G4148" i="19"/>
  <c r="H4148" i="19"/>
  <c r="I4148" i="19"/>
  <c r="J4148" i="19"/>
  <c r="K4148" i="19"/>
  <c r="G4149" i="19"/>
  <c r="H4149" i="19"/>
  <c r="I4149" i="19"/>
  <c r="J4149" i="19"/>
  <c r="K4149" i="19"/>
  <c r="G4150" i="19"/>
  <c r="H4150" i="19"/>
  <c r="I4150" i="19"/>
  <c r="J4150" i="19"/>
  <c r="K4150" i="19"/>
  <c r="G4151" i="19"/>
  <c r="H4151" i="19"/>
  <c r="I4151" i="19"/>
  <c r="J4151" i="19"/>
  <c r="K4151" i="19"/>
  <c r="G4152" i="19"/>
  <c r="H4152" i="19"/>
  <c r="I4152" i="19"/>
  <c r="J4152" i="19"/>
  <c r="K4152" i="19"/>
  <c r="G4153" i="19"/>
  <c r="H4153" i="19"/>
  <c r="I4153" i="19"/>
  <c r="J4153" i="19"/>
  <c r="K4153" i="19"/>
  <c r="G4154" i="19"/>
  <c r="H4154" i="19"/>
  <c r="I4154" i="19"/>
  <c r="J4154" i="19"/>
  <c r="K4154" i="19"/>
  <c r="G4155" i="19"/>
  <c r="H4155" i="19"/>
  <c r="I4155" i="19"/>
  <c r="J4155" i="19"/>
  <c r="K4155" i="19"/>
  <c r="G4156" i="19"/>
  <c r="H4156" i="19"/>
  <c r="I4156" i="19"/>
  <c r="J4156" i="19"/>
  <c r="K4156" i="19"/>
  <c r="G4157" i="19"/>
  <c r="H4157" i="19"/>
  <c r="I4157" i="19"/>
  <c r="J4157" i="19"/>
  <c r="K4157" i="19"/>
  <c r="G4158" i="19"/>
  <c r="H4158" i="19"/>
  <c r="I4158" i="19"/>
  <c r="J4158" i="19"/>
  <c r="K4158" i="19"/>
  <c r="G4159" i="19"/>
  <c r="H4159" i="19"/>
  <c r="I4159" i="19"/>
  <c r="J4159" i="19"/>
  <c r="K4159" i="19"/>
  <c r="G4160" i="19"/>
  <c r="H4160" i="19"/>
  <c r="I4160" i="19"/>
  <c r="J4160" i="19"/>
  <c r="K4160" i="19"/>
  <c r="G4161" i="19"/>
  <c r="H4161" i="19"/>
  <c r="I4161" i="19"/>
  <c r="J4161" i="19"/>
  <c r="K4161" i="19"/>
  <c r="G4162" i="19"/>
  <c r="H4162" i="19"/>
  <c r="I4162" i="19"/>
  <c r="J4162" i="19"/>
  <c r="K4162" i="19"/>
  <c r="G4163" i="19"/>
  <c r="H4163" i="19"/>
  <c r="I4163" i="19"/>
  <c r="J4163" i="19"/>
  <c r="K4163" i="19"/>
  <c r="G4164" i="19"/>
  <c r="H4164" i="19"/>
  <c r="I4164" i="19"/>
  <c r="J4164" i="19"/>
  <c r="K4164" i="19"/>
  <c r="G4165" i="19"/>
  <c r="H4165" i="19"/>
  <c r="I4165" i="19"/>
  <c r="J4165" i="19"/>
  <c r="K4165" i="19"/>
  <c r="G4166" i="19"/>
  <c r="H4166" i="19"/>
  <c r="I4166" i="19"/>
  <c r="J4166" i="19"/>
  <c r="K4166" i="19"/>
  <c r="G4167" i="19"/>
  <c r="H4167" i="19"/>
  <c r="I4167" i="19"/>
  <c r="J4167" i="19"/>
  <c r="K4167" i="19"/>
  <c r="G4168" i="19"/>
  <c r="H4168" i="19"/>
  <c r="I4168" i="19"/>
  <c r="J4168" i="19"/>
  <c r="K4168" i="19"/>
  <c r="G4169" i="19"/>
  <c r="H4169" i="19"/>
  <c r="I4169" i="19"/>
  <c r="J4169" i="19"/>
  <c r="K4169" i="19"/>
  <c r="G4170" i="19"/>
  <c r="H4170" i="19"/>
  <c r="I4170" i="19"/>
  <c r="J4170" i="19"/>
  <c r="K4170" i="19"/>
  <c r="G4171" i="19"/>
  <c r="H4171" i="19"/>
  <c r="I4171" i="19"/>
  <c r="J4171" i="19"/>
  <c r="K4171" i="19"/>
  <c r="G4172" i="19"/>
  <c r="H4172" i="19"/>
  <c r="I4172" i="19"/>
  <c r="J4172" i="19"/>
  <c r="K4172" i="19"/>
  <c r="G4173" i="19"/>
  <c r="H4173" i="19"/>
  <c r="I4173" i="19"/>
  <c r="J4173" i="19"/>
  <c r="K4173" i="19"/>
  <c r="G4174" i="19"/>
  <c r="H4174" i="19"/>
  <c r="I4174" i="19"/>
  <c r="J4174" i="19"/>
  <c r="K4174" i="19"/>
  <c r="G4175" i="19"/>
  <c r="H4175" i="19"/>
  <c r="I4175" i="19"/>
  <c r="J4175" i="19"/>
  <c r="K4175" i="19"/>
  <c r="G4176" i="19"/>
  <c r="H4176" i="19"/>
  <c r="I4176" i="19"/>
  <c r="J4176" i="19"/>
  <c r="K4176" i="19"/>
  <c r="G4177" i="19"/>
  <c r="H4177" i="19"/>
  <c r="I4177" i="19"/>
  <c r="J4177" i="19"/>
  <c r="K4177" i="19"/>
  <c r="G4178" i="19"/>
  <c r="H4178" i="19"/>
  <c r="I4178" i="19"/>
  <c r="J4178" i="19"/>
  <c r="K4178" i="19"/>
  <c r="G4179" i="19"/>
  <c r="H4179" i="19"/>
  <c r="I4179" i="19"/>
  <c r="J4179" i="19"/>
  <c r="K4179" i="19"/>
  <c r="G4180" i="19"/>
  <c r="H4180" i="19"/>
  <c r="I4180" i="19"/>
  <c r="J4180" i="19"/>
  <c r="K4180" i="19"/>
  <c r="G4181" i="19"/>
  <c r="H4181" i="19"/>
  <c r="I4181" i="19"/>
  <c r="J4181" i="19"/>
  <c r="K4181" i="19"/>
  <c r="G4182" i="19"/>
  <c r="H4182" i="19"/>
  <c r="I4182" i="19"/>
  <c r="J4182" i="19"/>
  <c r="K4182" i="19"/>
  <c r="G4183" i="19"/>
  <c r="H4183" i="19"/>
  <c r="I4183" i="19"/>
  <c r="J4183" i="19"/>
  <c r="K4183" i="19"/>
  <c r="G4184" i="19"/>
  <c r="H4184" i="19"/>
  <c r="I4184" i="19"/>
  <c r="J4184" i="19"/>
  <c r="K4184" i="19"/>
  <c r="G4185" i="19"/>
  <c r="H4185" i="19"/>
  <c r="I4185" i="19"/>
  <c r="J4185" i="19"/>
  <c r="K4185" i="19"/>
  <c r="G4186" i="19"/>
  <c r="H4186" i="19"/>
  <c r="I4186" i="19"/>
  <c r="J4186" i="19"/>
  <c r="K4186" i="19"/>
  <c r="G4187" i="19"/>
  <c r="H4187" i="19"/>
  <c r="I4187" i="19"/>
  <c r="J4187" i="19"/>
  <c r="K4187" i="19"/>
  <c r="G4188" i="19"/>
  <c r="H4188" i="19"/>
  <c r="I4188" i="19"/>
  <c r="J4188" i="19"/>
  <c r="K4188" i="19"/>
  <c r="G4189" i="19"/>
  <c r="H4189" i="19"/>
  <c r="I4189" i="19"/>
  <c r="J4189" i="19"/>
  <c r="K4189" i="19"/>
  <c r="G4190" i="19"/>
  <c r="H4190" i="19"/>
  <c r="I4190" i="19"/>
  <c r="J4190" i="19"/>
  <c r="K4190" i="19"/>
  <c r="G4191" i="19"/>
  <c r="H4191" i="19"/>
  <c r="I4191" i="19"/>
  <c r="J4191" i="19"/>
  <c r="K4191" i="19"/>
  <c r="G4192" i="19"/>
  <c r="H4192" i="19"/>
  <c r="I4192" i="19"/>
  <c r="J4192" i="19"/>
  <c r="K4192" i="19"/>
  <c r="G4193" i="19"/>
  <c r="H4193" i="19"/>
  <c r="I4193" i="19"/>
  <c r="J4193" i="19"/>
  <c r="K4193" i="19"/>
  <c r="G4194" i="19"/>
  <c r="H4194" i="19"/>
  <c r="I4194" i="19"/>
  <c r="J4194" i="19"/>
  <c r="K4194" i="19"/>
  <c r="G4195" i="19"/>
  <c r="H4195" i="19"/>
  <c r="I4195" i="19"/>
  <c r="J4195" i="19"/>
  <c r="K4195" i="19"/>
  <c r="G4196" i="19"/>
  <c r="H4196" i="19"/>
  <c r="I4196" i="19"/>
  <c r="J4196" i="19"/>
  <c r="K4196" i="19"/>
  <c r="G4197" i="19"/>
  <c r="H4197" i="19"/>
  <c r="I4197" i="19"/>
  <c r="J4197" i="19"/>
  <c r="K4197" i="19"/>
  <c r="G4198" i="19"/>
  <c r="H4198" i="19"/>
  <c r="I4198" i="19"/>
  <c r="J4198" i="19"/>
  <c r="K4198" i="19"/>
  <c r="G4199" i="19"/>
  <c r="H4199" i="19"/>
  <c r="I4199" i="19"/>
  <c r="J4199" i="19"/>
  <c r="K4199" i="19"/>
  <c r="G4200" i="19"/>
  <c r="H4200" i="19"/>
  <c r="I4200" i="19"/>
  <c r="J4200" i="19"/>
  <c r="K4200" i="19"/>
  <c r="G4201" i="19"/>
  <c r="H4201" i="19"/>
  <c r="I4201" i="19"/>
  <c r="J4201" i="19"/>
  <c r="K4201" i="19"/>
  <c r="G4202" i="19"/>
  <c r="H4202" i="19"/>
  <c r="I4202" i="19"/>
  <c r="J4202" i="19"/>
  <c r="K4202" i="19"/>
  <c r="G4203" i="19"/>
  <c r="H4203" i="19"/>
  <c r="I4203" i="19"/>
  <c r="J4203" i="19"/>
  <c r="K4203" i="19"/>
  <c r="G4204" i="19"/>
  <c r="H4204" i="19"/>
  <c r="I4204" i="19"/>
  <c r="J4204" i="19"/>
  <c r="K4204" i="19"/>
  <c r="G4205" i="19"/>
  <c r="H4205" i="19"/>
  <c r="I4205" i="19"/>
  <c r="J4205" i="19"/>
  <c r="K4205" i="19"/>
  <c r="G4206" i="19"/>
  <c r="H4206" i="19"/>
  <c r="I4206" i="19"/>
  <c r="J4206" i="19"/>
  <c r="K4206" i="19"/>
  <c r="G4207" i="19"/>
  <c r="H4207" i="19"/>
  <c r="I4207" i="19"/>
  <c r="J4207" i="19"/>
  <c r="K4207" i="19"/>
  <c r="G4208" i="19"/>
  <c r="H4208" i="19"/>
  <c r="I4208" i="19"/>
  <c r="J4208" i="19"/>
  <c r="K4208" i="19"/>
  <c r="G4209" i="19"/>
  <c r="H4209" i="19"/>
  <c r="I4209" i="19"/>
  <c r="J4209" i="19"/>
  <c r="K4209" i="19"/>
  <c r="G4210" i="19"/>
  <c r="H4210" i="19"/>
  <c r="I4210" i="19"/>
  <c r="J4210" i="19"/>
  <c r="K4210" i="19"/>
  <c r="G4211" i="19"/>
  <c r="H4211" i="19"/>
  <c r="I4211" i="19"/>
  <c r="J4211" i="19"/>
  <c r="K4211" i="19"/>
  <c r="G4212" i="19"/>
  <c r="H4212" i="19"/>
  <c r="I4212" i="19"/>
  <c r="J4212" i="19"/>
  <c r="K4212" i="19"/>
  <c r="G4213" i="19"/>
  <c r="H4213" i="19"/>
  <c r="I4213" i="19"/>
  <c r="J4213" i="19"/>
  <c r="K4213" i="19"/>
  <c r="G4214" i="19"/>
  <c r="H4214" i="19"/>
  <c r="I4214" i="19"/>
  <c r="J4214" i="19"/>
  <c r="K4214" i="19"/>
  <c r="G4215" i="19"/>
  <c r="H4215" i="19"/>
  <c r="I4215" i="19"/>
  <c r="J4215" i="19"/>
  <c r="K4215" i="19"/>
  <c r="G4216" i="19"/>
  <c r="H4216" i="19"/>
  <c r="I4216" i="19"/>
  <c r="J4216" i="19"/>
  <c r="K4216" i="19"/>
  <c r="G4217" i="19"/>
  <c r="H4217" i="19"/>
  <c r="I4217" i="19"/>
  <c r="J4217" i="19"/>
  <c r="K4217" i="19"/>
  <c r="G4218" i="19"/>
  <c r="H4218" i="19"/>
  <c r="I4218" i="19"/>
  <c r="J4218" i="19"/>
  <c r="K4218" i="19"/>
  <c r="G4219" i="19"/>
  <c r="H4219" i="19"/>
  <c r="I4219" i="19"/>
  <c r="J4219" i="19"/>
  <c r="K4219" i="19"/>
  <c r="G4220" i="19"/>
  <c r="H4220" i="19"/>
  <c r="I4220" i="19"/>
  <c r="J4220" i="19"/>
  <c r="K4220" i="19"/>
  <c r="G4221" i="19"/>
  <c r="H4221" i="19"/>
  <c r="I4221" i="19"/>
  <c r="J4221" i="19"/>
  <c r="K4221" i="19"/>
  <c r="G4222" i="19"/>
  <c r="H4222" i="19"/>
  <c r="I4222" i="19"/>
  <c r="J4222" i="19"/>
  <c r="K4222" i="19"/>
  <c r="G4223" i="19"/>
  <c r="H4223" i="19"/>
  <c r="I4223" i="19"/>
  <c r="J4223" i="19"/>
  <c r="K4223" i="19"/>
  <c r="G4224" i="19"/>
  <c r="H4224" i="19"/>
  <c r="I4224" i="19"/>
  <c r="J4224" i="19"/>
  <c r="K4224" i="19"/>
  <c r="G4225" i="19"/>
  <c r="H4225" i="19"/>
  <c r="I4225" i="19"/>
  <c r="J4225" i="19"/>
  <c r="K4225" i="19"/>
  <c r="G4226" i="19"/>
  <c r="H4226" i="19"/>
  <c r="I4226" i="19"/>
  <c r="J4226" i="19"/>
  <c r="K4226" i="19"/>
  <c r="G4227" i="19"/>
  <c r="H4227" i="19"/>
  <c r="I4227" i="19"/>
  <c r="J4227" i="19"/>
  <c r="K4227" i="19"/>
  <c r="G4228" i="19"/>
  <c r="H4228" i="19"/>
  <c r="I4228" i="19"/>
  <c r="J4228" i="19"/>
  <c r="K4228" i="19"/>
  <c r="G4229" i="19"/>
  <c r="H4229" i="19"/>
  <c r="I4229" i="19"/>
  <c r="J4229" i="19"/>
  <c r="K4229" i="19"/>
  <c r="G4230" i="19"/>
  <c r="H4230" i="19"/>
  <c r="I4230" i="19"/>
  <c r="J4230" i="19"/>
  <c r="K4230" i="19"/>
  <c r="G4231" i="19"/>
  <c r="H4231" i="19"/>
  <c r="I4231" i="19"/>
  <c r="J4231" i="19"/>
  <c r="K4231" i="19"/>
  <c r="G4232" i="19"/>
  <c r="H4232" i="19"/>
  <c r="I4232" i="19"/>
  <c r="J4232" i="19"/>
  <c r="K4232" i="19"/>
  <c r="G4233" i="19"/>
  <c r="H4233" i="19"/>
  <c r="I4233" i="19"/>
  <c r="J4233" i="19"/>
  <c r="K4233" i="19"/>
  <c r="G4234" i="19"/>
  <c r="H4234" i="19"/>
  <c r="I4234" i="19"/>
  <c r="J4234" i="19"/>
  <c r="K4234" i="19"/>
  <c r="G4235" i="19"/>
  <c r="H4235" i="19"/>
  <c r="I4235" i="19"/>
  <c r="J4235" i="19"/>
  <c r="K4235" i="19"/>
  <c r="G4236" i="19"/>
  <c r="H4236" i="19"/>
  <c r="I4236" i="19"/>
  <c r="J4236" i="19"/>
  <c r="K4236" i="19"/>
  <c r="G4237" i="19"/>
  <c r="H4237" i="19"/>
  <c r="I4237" i="19"/>
  <c r="J4237" i="19"/>
  <c r="K4237" i="19"/>
  <c r="G4238" i="19"/>
  <c r="H4238" i="19"/>
  <c r="I4238" i="19"/>
  <c r="J4238" i="19"/>
  <c r="K4238" i="19"/>
  <c r="G4239" i="19"/>
  <c r="H4239" i="19"/>
  <c r="I4239" i="19"/>
  <c r="J4239" i="19"/>
  <c r="K4239" i="19"/>
  <c r="G4240" i="19"/>
  <c r="H4240" i="19"/>
  <c r="I4240" i="19"/>
  <c r="J4240" i="19"/>
  <c r="K4240" i="19"/>
  <c r="G4241" i="19"/>
  <c r="H4241" i="19"/>
  <c r="I4241" i="19"/>
  <c r="J4241" i="19"/>
  <c r="K4241" i="19"/>
  <c r="G4242" i="19"/>
  <c r="H4242" i="19"/>
  <c r="I4242" i="19"/>
  <c r="J4242" i="19"/>
  <c r="K4242" i="19"/>
  <c r="G4243" i="19"/>
  <c r="H4243" i="19"/>
  <c r="I4243" i="19"/>
  <c r="J4243" i="19"/>
  <c r="K4243" i="19"/>
  <c r="G4244" i="19"/>
  <c r="H4244" i="19"/>
  <c r="I4244" i="19"/>
  <c r="J4244" i="19"/>
  <c r="K4244" i="19"/>
  <c r="G4245" i="19"/>
  <c r="H4245" i="19"/>
  <c r="I4245" i="19"/>
  <c r="J4245" i="19"/>
  <c r="K4245" i="19"/>
  <c r="G4246" i="19"/>
  <c r="H4246" i="19"/>
  <c r="I4246" i="19"/>
  <c r="J4246" i="19"/>
  <c r="K4246" i="19"/>
  <c r="G4247" i="19"/>
  <c r="H4247" i="19"/>
  <c r="I4247" i="19"/>
  <c r="J4247" i="19"/>
  <c r="K4247" i="19"/>
  <c r="G4248" i="19"/>
  <c r="H4248" i="19"/>
  <c r="I4248" i="19"/>
  <c r="J4248" i="19"/>
  <c r="K4248" i="19"/>
  <c r="G4249" i="19"/>
  <c r="H4249" i="19"/>
  <c r="I4249" i="19"/>
  <c r="J4249" i="19"/>
  <c r="K4249" i="19"/>
  <c r="G4250" i="19"/>
  <c r="H4250" i="19"/>
  <c r="I4250" i="19"/>
  <c r="J4250" i="19"/>
  <c r="K4250" i="19"/>
  <c r="G4251" i="19"/>
  <c r="H4251" i="19"/>
  <c r="I4251" i="19"/>
  <c r="J4251" i="19"/>
  <c r="K4251" i="19"/>
  <c r="G4252" i="19"/>
  <c r="H4252" i="19"/>
  <c r="I4252" i="19"/>
  <c r="J4252" i="19"/>
  <c r="K4252" i="19"/>
  <c r="G4253" i="19"/>
  <c r="H4253" i="19"/>
  <c r="I4253" i="19"/>
  <c r="J4253" i="19"/>
  <c r="K4253" i="19"/>
  <c r="G4254" i="19"/>
  <c r="H4254" i="19"/>
  <c r="I4254" i="19"/>
  <c r="J4254" i="19"/>
  <c r="K4254" i="19"/>
  <c r="G4255" i="19"/>
  <c r="H4255" i="19"/>
  <c r="I4255" i="19"/>
  <c r="J4255" i="19"/>
  <c r="K4255" i="19"/>
  <c r="G4256" i="19"/>
  <c r="H4256" i="19"/>
  <c r="I4256" i="19"/>
  <c r="J4256" i="19"/>
  <c r="K4256" i="19"/>
  <c r="G4257" i="19"/>
  <c r="H4257" i="19"/>
  <c r="I4257" i="19"/>
  <c r="J4257" i="19"/>
  <c r="K4257" i="19"/>
  <c r="G4258" i="19"/>
  <c r="H4258" i="19"/>
  <c r="I4258" i="19"/>
  <c r="J4258" i="19"/>
  <c r="K4258" i="19"/>
  <c r="G4259" i="19"/>
  <c r="H4259" i="19"/>
  <c r="I4259" i="19"/>
  <c r="J4259" i="19"/>
  <c r="K4259" i="19"/>
  <c r="G4260" i="19"/>
  <c r="H4260" i="19"/>
  <c r="I4260" i="19"/>
  <c r="J4260" i="19"/>
  <c r="K4260" i="19"/>
  <c r="G4261" i="19"/>
  <c r="H4261" i="19"/>
  <c r="I4261" i="19"/>
  <c r="J4261" i="19"/>
  <c r="K4261" i="19"/>
  <c r="G4262" i="19"/>
  <c r="H4262" i="19"/>
  <c r="I4262" i="19"/>
  <c r="J4262" i="19"/>
  <c r="K4262" i="19"/>
  <c r="G4263" i="19"/>
  <c r="H4263" i="19"/>
  <c r="I4263" i="19"/>
  <c r="J4263" i="19"/>
  <c r="K4263" i="19"/>
  <c r="G4264" i="19"/>
  <c r="H4264" i="19"/>
  <c r="I4264" i="19"/>
  <c r="J4264" i="19"/>
  <c r="K4264" i="19"/>
  <c r="G4265" i="19"/>
  <c r="H4265" i="19"/>
  <c r="I4265" i="19"/>
  <c r="J4265" i="19"/>
  <c r="K4265" i="19"/>
  <c r="G4266" i="19"/>
  <c r="H4266" i="19"/>
  <c r="I4266" i="19"/>
  <c r="J4266" i="19"/>
  <c r="K4266" i="19"/>
  <c r="G4267" i="19"/>
  <c r="H4267" i="19"/>
  <c r="I4267" i="19"/>
  <c r="J4267" i="19"/>
  <c r="K4267" i="19"/>
  <c r="G4268" i="19"/>
  <c r="H4268" i="19"/>
  <c r="I4268" i="19"/>
  <c r="J4268" i="19"/>
  <c r="K4268" i="19"/>
  <c r="G4269" i="19"/>
  <c r="H4269" i="19"/>
  <c r="I4269" i="19"/>
  <c r="J4269" i="19"/>
  <c r="K4269" i="19"/>
  <c r="G4270" i="19"/>
  <c r="H4270" i="19"/>
  <c r="I4270" i="19"/>
  <c r="J4270" i="19"/>
  <c r="K4270" i="19"/>
  <c r="G4271" i="19"/>
  <c r="H4271" i="19"/>
  <c r="I4271" i="19"/>
  <c r="J4271" i="19"/>
  <c r="K4271" i="19"/>
  <c r="G4272" i="19"/>
  <c r="H4272" i="19"/>
  <c r="I4272" i="19"/>
  <c r="J4272" i="19"/>
  <c r="K4272" i="19"/>
  <c r="G4273" i="19"/>
  <c r="H4273" i="19"/>
  <c r="I4273" i="19"/>
  <c r="J4273" i="19"/>
  <c r="K4273" i="19"/>
  <c r="G4274" i="19"/>
  <c r="H4274" i="19"/>
  <c r="I4274" i="19"/>
  <c r="J4274" i="19"/>
  <c r="K4274" i="19"/>
  <c r="G4275" i="19"/>
  <c r="H4275" i="19"/>
  <c r="I4275" i="19"/>
  <c r="J4275" i="19"/>
  <c r="K4275" i="19"/>
  <c r="G4276" i="19"/>
  <c r="H4276" i="19"/>
  <c r="I4276" i="19"/>
  <c r="J4276" i="19"/>
  <c r="K4276" i="19"/>
  <c r="G4277" i="19"/>
  <c r="H4277" i="19"/>
  <c r="I4277" i="19"/>
  <c r="J4277" i="19"/>
  <c r="K4277" i="19"/>
  <c r="G4278" i="19"/>
  <c r="H4278" i="19"/>
  <c r="I4278" i="19"/>
  <c r="J4278" i="19"/>
  <c r="K4278" i="19"/>
  <c r="G4279" i="19"/>
  <c r="H4279" i="19"/>
  <c r="I4279" i="19"/>
  <c r="J4279" i="19"/>
  <c r="K4279" i="19"/>
  <c r="G4280" i="19"/>
  <c r="H4280" i="19"/>
  <c r="I4280" i="19"/>
  <c r="J4280" i="19"/>
  <c r="K4280" i="19"/>
  <c r="G4281" i="19"/>
  <c r="H4281" i="19"/>
  <c r="I4281" i="19"/>
  <c r="J4281" i="19"/>
  <c r="K4281" i="19"/>
  <c r="G4282" i="19"/>
  <c r="H4282" i="19"/>
  <c r="I4282" i="19"/>
  <c r="J4282" i="19"/>
  <c r="K4282" i="19"/>
  <c r="G4283" i="19"/>
  <c r="H4283" i="19"/>
  <c r="I4283" i="19"/>
  <c r="J4283" i="19"/>
  <c r="K4283" i="19"/>
  <c r="G4284" i="19"/>
  <c r="H4284" i="19"/>
  <c r="I4284" i="19"/>
  <c r="J4284" i="19"/>
  <c r="K4284" i="19"/>
  <c r="G4285" i="19"/>
  <c r="H4285" i="19"/>
  <c r="I4285" i="19"/>
  <c r="J4285" i="19"/>
  <c r="K4285" i="19"/>
  <c r="G4286" i="19"/>
  <c r="H4286" i="19"/>
  <c r="I4286" i="19"/>
  <c r="J4286" i="19"/>
  <c r="K4286" i="19"/>
  <c r="G4287" i="19"/>
  <c r="H4287" i="19"/>
  <c r="I4287" i="19"/>
  <c r="J4287" i="19"/>
  <c r="K4287" i="19"/>
  <c r="G4288" i="19"/>
  <c r="H4288" i="19"/>
  <c r="I4288" i="19"/>
  <c r="J4288" i="19"/>
  <c r="K4288" i="19"/>
  <c r="G4289" i="19"/>
  <c r="H4289" i="19"/>
  <c r="I4289" i="19"/>
  <c r="J4289" i="19"/>
  <c r="K4289" i="19"/>
  <c r="G4290" i="19"/>
  <c r="H4290" i="19"/>
  <c r="I4290" i="19"/>
  <c r="J4290" i="19"/>
  <c r="K4290" i="19"/>
  <c r="G4291" i="19"/>
  <c r="H4291" i="19"/>
  <c r="I4291" i="19"/>
  <c r="J4291" i="19"/>
  <c r="K4291" i="19"/>
  <c r="G4292" i="19"/>
  <c r="H4292" i="19"/>
  <c r="I4292" i="19"/>
  <c r="J4292" i="19"/>
  <c r="K4292" i="19"/>
  <c r="G4293" i="19"/>
  <c r="H4293" i="19"/>
  <c r="I4293" i="19"/>
  <c r="J4293" i="19"/>
  <c r="K4293" i="19"/>
  <c r="G4294" i="19"/>
  <c r="H4294" i="19"/>
  <c r="I4294" i="19"/>
  <c r="J4294" i="19"/>
  <c r="K4294" i="19"/>
  <c r="G4295" i="19"/>
  <c r="H4295" i="19"/>
  <c r="I4295" i="19"/>
  <c r="J4295" i="19"/>
  <c r="K4295" i="19"/>
  <c r="G4296" i="19"/>
  <c r="H4296" i="19"/>
  <c r="I4296" i="19"/>
  <c r="J4296" i="19"/>
  <c r="K4296" i="19"/>
  <c r="G4297" i="19"/>
  <c r="H4297" i="19"/>
  <c r="I4297" i="19"/>
  <c r="J4297" i="19"/>
  <c r="K4297" i="19"/>
  <c r="G4298" i="19"/>
  <c r="H4298" i="19"/>
  <c r="I4298" i="19"/>
  <c r="J4298" i="19"/>
  <c r="K4298" i="19"/>
  <c r="G4299" i="19"/>
  <c r="H4299" i="19"/>
  <c r="I4299" i="19"/>
  <c r="J4299" i="19"/>
  <c r="K4299" i="19"/>
  <c r="G4300" i="19"/>
  <c r="H4300" i="19"/>
  <c r="I4300" i="19"/>
  <c r="J4300" i="19"/>
  <c r="K4300" i="19"/>
  <c r="G4301" i="19"/>
  <c r="H4301" i="19"/>
  <c r="I4301" i="19"/>
  <c r="J4301" i="19"/>
  <c r="K4301" i="19"/>
  <c r="G4302" i="19"/>
  <c r="H4302" i="19"/>
  <c r="I4302" i="19"/>
  <c r="J4302" i="19"/>
  <c r="K4302" i="19"/>
  <c r="G4303" i="19"/>
  <c r="H4303" i="19"/>
  <c r="I4303" i="19"/>
  <c r="J4303" i="19"/>
  <c r="K4303" i="19"/>
  <c r="G4304" i="19"/>
  <c r="H4304" i="19"/>
  <c r="I4304" i="19"/>
  <c r="J4304" i="19"/>
  <c r="K4304" i="19"/>
  <c r="G4305" i="19"/>
  <c r="H4305" i="19"/>
  <c r="I4305" i="19"/>
  <c r="J4305" i="19"/>
  <c r="K4305" i="19"/>
  <c r="G4306" i="19"/>
  <c r="H4306" i="19"/>
  <c r="I4306" i="19"/>
  <c r="J4306" i="19"/>
  <c r="K4306" i="19"/>
  <c r="G4307" i="19"/>
  <c r="H4307" i="19"/>
  <c r="I4307" i="19"/>
  <c r="J4307" i="19"/>
  <c r="K4307" i="19"/>
  <c r="G4308" i="19"/>
  <c r="H4308" i="19"/>
  <c r="I4308" i="19"/>
  <c r="J4308" i="19"/>
  <c r="K4308" i="19"/>
  <c r="G4309" i="19"/>
  <c r="H4309" i="19"/>
  <c r="I4309" i="19"/>
  <c r="J4309" i="19"/>
  <c r="K4309" i="19"/>
  <c r="G4310" i="19"/>
  <c r="H4310" i="19"/>
  <c r="I4310" i="19"/>
  <c r="J4310" i="19"/>
  <c r="K4310" i="19"/>
  <c r="G4311" i="19"/>
  <c r="H4311" i="19"/>
  <c r="I4311" i="19"/>
  <c r="J4311" i="19"/>
  <c r="K4311" i="19"/>
  <c r="G4312" i="19"/>
  <c r="H4312" i="19"/>
  <c r="I4312" i="19"/>
  <c r="J4312" i="19"/>
  <c r="K4312" i="19"/>
  <c r="G4313" i="19"/>
  <c r="H4313" i="19"/>
  <c r="I4313" i="19"/>
  <c r="J4313" i="19"/>
  <c r="K4313" i="19"/>
  <c r="G4314" i="19"/>
  <c r="H4314" i="19"/>
  <c r="I4314" i="19"/>
  <c r="J4314" i="19"/>
  <c r="K4314" i="19"/>
  <c r="G4315" i="19"/>
  <c r="H4315" i="19"/>
  <c r="I4315" i="19"/>
  <c r="J4315" i="19"/>
  <c r="K4315" i="19"/>
  <c r="G4316" i="19"/>
  <c r="H4316" i="19"/>
  <c r="I4316" i="19"/>
  <c r="J4316" i="19"/>
  <c r="K4316" i="19"/>
  <c r="G4317" i="19"/>
  <c r="H4317" i="19"/>
  <c r="I4317" i="19"/>
  <c r="J4317" i="19"/>
  <c r="K4317" i="19"/>
  <c r="G4318" i="19"/>
  <c r="H4318" i="19"/>
  <c r="I4318" i="19"/>
  <c r="J4318" i="19"/>
  <c r="K4318" i="19"/>
  <c r="G4319" i="19"/>
  <c r="H4319" i="19"/>
  <c r="I4319" i="19"/>
  <c r="J4319" i="19"/>
  <c r="K4319" i="19"/>
  <c r="G4320" i="19"/>
  <c r="H4320" i="19"/>
  <c r="I4320" i="19"/>
  <c r="J4320" i="19"/>
  <c r="K4320" i="19"/>
  <c r="G4321" i="19"/>
  <c r="H4321" i="19"/>
  <c r="I4321" i="19"/>
  <c r="J4321" i="19"/>
  <c r="K4321" i="19"/>
  <c r="G4322" i="19"/>
  <c r="H4322" i="19"/>
  <c r="I4322" i="19"/>
  <c r="J4322" i="19"/>
  <c r="K4322" i="19"/>
  <c r="G4323" i="19"/>
  <c r="H4323" i="19"/>
  <c r="I4323" i="19"/>
  <c r="J4323" i="19"/>
  <c r="K4323" i="19"/>
  <c r="G4324" i="19"/>
  <c r="H4324" i="19"/>
  <c r="I4324" i="19"/>
  <c r="J4324" i="19"/>
  <c r="K4324" i="19"/>
  <c r="G4325" i="19"/>
  <c r="H4325" i="19"/>
  <c r="I4325" i="19"/>
  <c r="J4325" i="19"/>
  <c r="K4325" i="19"/>
  <c r="G4326" i="19"/>
  <c r="H4326" i="19"/>
  <c r="I4326" i="19"/>
  <c r="J4326" i="19"/>
  <c r="K4326" i="19"/>
  <c r="G4327" i="19"/>
  <c r="H4327" i="19"/>
  <c r="I4327" i="19"/>
  <c r="J4327" i="19"/>
  <c r="K4327" i="19"/>
  <c r="G4328" i="19"/>
  <c r="H4328" i="19"/>
  <c r="I4328" i="19"/>
  <c r="J4328" i="19"/>
  <c r="K4328" i="19"/>
  <c r="G4329" i="19"/>
  <c r="H4329" i="19"/>
  <c r="I4329" i="19"/>
  <c r="J4329" i="19"/>
  <c r="K4329" i="19"/>
  <c r="G4330" i="19"/>
  <c r="H4330" i="19"/>
  <c r="I4330" i="19"/>
  <c r="J4330" i="19"/>
  <c r="K4330" i="19"/>
  <c r="G4331" i="19"/>
  <c r="H4331" i="19"/>
  <c r="I4331" i="19"/>
  <c r="J4331" i="19"/>
  <c r="K4331" i="19"/>
  <c r="G4332" i="19"/>
  <c r="H4332" i="19"/>
  <c r="I4332" i="19"/>
  <c r="J4332" i="19"/>
  <c r="K4332" i="19"/>
  <c r="G4333" i="19"/>
  <c r="H4333" i="19"/>
  <c r="I4333" i="19"/>
  <c r="J4333" i="19"/>
  <c r="K4333" i="19"/>
  <c r="G4334" i="19"/>
  <c r="H4334" i="19"/>
  <c r="I4334" i="19"/>
  <c r="J4334" i="19"/>
  <c r="K4334" i="19"/>
  <c r="G4335" i="19"/>
  <c r="H4335" i="19"/>
  <c r="I4335" i="19"/>
  <c r="J4335" i="19"/>
  <c r="K4335" i="19"/>
  <c r="G4336" i="19"/>
  <c r="H4336" i="19"/>
  <c r="I4336" i="19"/>
  <c r="J4336" i="19"/>
  <c r="K4336" i="19"/>
  <c r="G4337" i="19"/>
  <c r="H4337" i="19"/>
  <c r="I4337" i="19"/>
  <c r="J4337" i="19"/>
  <c r="K4337" i="19"/>
  <c r="G4338" i="19"/>
  <c r="H4338" i="19"/>
  <c r="I4338" i="19"/>
  <c r="J4338" i="19"/>
  <c r="K4338" i="19"/>
  <c r="G4339" i="19"/>
  <c r="H4339" i="19"/>
  <c r="I4339" i="19"/>
  <c r="J4339" i="19"/>
  <c r="K4339" i="19"/>
  <c r="G4340" i="19"/>
  <c r="H4340" i="19"/>
  <c r="I4340" i="19"/>
  <c r="J4340" i="19"/>
  <c r="K4340" i="19"/>
  <c r="G4341" i="19"/>
  <c r="H4341" i="19"/>
  <c r="I4341" i="19"/>
  <c r="J4341" i="19"/>
  <c r="K4341" i="19"/>
  <c r="G4342" i="19"/>
  <c r="H4342" i="19"/>
  <c r="I4342" i="19"/>
  <c r="J4342" i="19"/>
  <c r="K4342" i="19"/>
  <c r="G4343" i="19"/>
  <c r="H4343" i="19"/>
  <c r="I4343" i="19"/>
  <c r="J4343" i="19"/>
  <c r="K4343" i="19"/>
  <c r="G4344" i="19"/>
  <c r="H4344" i="19"/>
  <c r="I4344" i="19"/>
  <c r="J4344" i="19"/>
  <c r="K4344" i="19"/>
  <c r="G4345" i="19"/>
  <c r="H4345" i="19"/>
  <c r="I4345" i="19"/>
  <c r="J4345" i="19"/>
  <c r="K4345" i="19"/>
  <c r="G4346" i="19"/>
  <c r="H4346" i="19"/>
  <c r="I4346" i="19"/>
  <c r="J4346" i="19"/>
  <c r="K4346" i="19"/>
  <c r="G4347" i="19"/>
  <c r="H4347" i="19"/>
  <c r="I4347" i="19"/>
  <c r="J4347" i="19"/>
  <c r="K4347" i="19"/>
  <c r="G4348" i="19"/>
  <c r="H4348" i="19"/>
  <c r="I4348" i="19"/>
  <c r="J4348" i="19"/>
  <c r="K4348" i="19"/>
  <c r="G4349" i="19"/>
  <c r="H4349" i="19"/>
  <c r="I4349" i="19"/>
  <c r="J4349" i="19"/>
  <c r="K4349" i="19"/>
  <c r="G4350" i="19"/>
  <c r="H4350" i="19"/>
  <c r="I4350" i="19"/>
  <c r="J4350" i="19"/>
  <c r="K4350" i="19"/>
  <c r="G4351" i="19"/>
  <c r="H4351" i="19"/>
  <c r="I4351" i="19"/>
  <c r="J4351" i="19"/>
  <c r="K4351" i="19"/>
  <c r="G4352" i="19"/>
  <c r="H4352" i="19"/>
  <c r="I4352" i="19"/>
  <c r="J4352" i="19"/>
  <c r="K4352" i="19"/>
  <c r="G4353" i="19"/>
  <c r="H4353" i="19"/>
  <c r="I4353" i="19"/>
  <c r="J4353" i="19"/>
  <c r="K4353" i="19"/>
  <c r="G4354" i="19"/>
  <c r="H4354" i="19"/>
  <c r="I4354" i="19"/>
  <c r="J4354" i="19"/>
  <c r="K4354" i="19"/>
  <c r="G4355" i="19"/>
  <c r="H4355" i="19"/>
  <c r="I4355" i="19"/>
  <c r="J4355" i="19"/>
  <c r="K4355" i="19"/>
  <c r="G4356" i="19"/>
  <c r="H4356" i="19"/>
  <c r="I4356" i="19"/>
  <c r="J4356" i="19"/>
  <c r="K4356" i="19"/>
  <c r="G4357" i="19"/>
  <c r="H4357" i="19"/>
  <c r="I4357" i="19"/>
  <c r="J4357" i="19"/>
  <c r="K4357" i="19"/>
  <c r="G4358" i="19"/>
  <c r="H4358" i="19"/>
  <c r="I4358" i="19"/>
  <c r="J4358" i="19"/>
  <c r="K4358" i="19"/>
  <c r="G4359" i="19"/>
  <c r="H4359" i="19"/>
  <c r="I4359" i="19"/>
  <c r="J4359" i="19"/>
  <c r="K4359" i="19"/>
  <c r="G4360" i="19"/>
  <c r="H4360" i="19"/>
  <c r="I4360" i="19"/>
  <c r="J4360" i="19"/>
  <c r="K4360" i="19"/>
  <c r="G4361" i="19"/>
  <c r="H4361" i="19"/>
  <c r="I4361" i="19"/>
  <c r="J4361" i="19"/>
  <c r="K4361" i="19"/>
  <c r="G4362" i="19"/>
  <c r="H4362" i="19"/>
  <c r="I4362" i="19"/>
  <c r="J4362" i="19"/>
  <c r="K4362" i="19"/>
  <c r="G4363" i="19"/>
  <c r="H4363" i="19"/>
  <c r="I4363" i="19"/>
  <c r="J4363" i="19"/>
  <c r="K4363" i="19"/>
  <c r="G4364" i="19"/>
  <c r="H4364" i="19"/>
  <c r="I4364" i="19"/>
  <c r="J4364" i="19"/>
  <c r="K4364" i="19"/>
  <c r="G4365" i="19"/>
  <c r="H4365" i="19"/>
  <c r="I4365" i="19"/>
  <c r="J4365" i="19"/>
  <c r="K4365" i="19"/>
  <c r="G4366" i="19"/>
  <c r="H4366" i="19"/>
  <c r="I4366" i="19"/>
  <c r="J4366" i="19"/>
  <c r="K4366" i="19"/>
  <c r="G4367" i="19"/>
  <c r="H4367" i="19"/>
  <c r="I4367" i="19"/>
  <c r="J4367" i="19"/>
  <c r="K4367" i="19"/>
  <c r="G4368" i="19"/>
  <c r="H4368" i="19"/>
  <c r="I4368" i="19"/>
  <c r="J4368" i="19"/>
  <c r="K4368" i="19"/>
  <c r="G4369" i="19"/>
  <c r="H4369" i="19"/>
  <c r="I4369" i="19"/>
  <c r="J4369" i="19"/>
  <c r="K4369" i="19"/>
  <c r="G4370" i="19"/>
  <c r="H4370" i="19"/>
  <c r="I4370" i="19"/>
  <c r="J4370" i="19"/>
  <c r="K4370" i="19"/>
  <c r="G4371" i="19"/>
  <c r="H4371" i="19"/>
  <c r="I4371" i="19"/>
  <c r="J4371" i="19"/>
  <c r="K4371" i="19"/>
  <c r="G4372" i="19"/>
  <c r="H4372" i="19"/>
  <c r="I4372" i="19"/>
  <c r="J4372" i="19"/>
  <c r="K4372" i="19"/>
  <c r="G4373" i="19"/>
  <c r="H4373" i="19"/>
  <c r="I4373" i="19"/>
  <c r="J4373" i="19"/>
  <c r="K4373" i="19"/>
  <c r="G4374" i="19"/>
  <c r="H4374" i="19"/>
  <c r="I4374" i="19"/>
  <c r="J4374" i="19"/>
  <c r="K4374" i="19"/>
  <c r="G4375" i="19"/>
  <c r="H4375" i="19"/>
  <c r="I4375" i="19"/>
  <c r="J4375" i="19"/>
  <c r="K4375" i="19"/>
  <c r="G4376" i="19"/>
  <c r="H4376" i="19"/>
  <c r="I4376" i="19"/>
  <c r="J4376" i="19"/>
  <c r="K4376" i="19"/>
  <c r="G4377" i="19"/>
  <c r="H4377" i="19"/>
  <c r="I4377" i="19"/>
  <c r="J4377" i="19"/>
  <c r="K4377" i="19"/>
  <c r="G4378" i="19"/>
  <c r="H4378" i="19"/>
  <c r="I4378" i="19"/>
  <c r="J4378" i="19"/>
  <c r="K4378" i="19"/>
  <c r="G4379" i="19"/>
  <c r="H4379" i="19"/>
  <c r="I4379" i="19"/>
  <c r="J4379" i="19"/>
  <c r="K4379" i="19"/>
  <c r="G4380" i="19"/>
  <c r="H4380" i="19"/>
  <c r="I4380" i="19"/>
  <c r="J4380" i="19"/>
  <c r="K4380" i="19"/>
  <c r="G4381" i="19"/>
  <c r="H4381" i="19"/>
  <c r="I4381" i="19"/>
  <c r="J4381" i="19"/>
  <c r="K4381" i="19"/>
  <c r="G4382" i="19"/>
  <c r="H4382" i="19"/>
  <c r="I4382" i="19"/>
  <c r="J4382" i="19"/>
  <c r="K4382" i="19"/>
  <c r="G4383" i="19"/>
  <c r="H4383" i="19"/>
  <c r="I4383" i="19"/>
  <c r="J4383" i="19"/>
  <c r="K4383" i="19"/>
  <c r="G4384" i="19"/>
  <c r="H4384" i="19"/>
  <c r="I4384" i="19"/>
  <c r="J4384" i="19"/>
  <c r="K4384" i="19"/>
  <c r="G4385" i="19"/>
  <c r="H4385" i="19"/>
  <c r="I4385" i="19"/>
  <c r="J4385" i="19"/>
  <c r="K4385" i="19"/>
  <c r="G4386" i="19"/>
  <c r="H4386" i="19"/>
  <c r="I4386" i="19"/>
  <c r="J4386" i="19"/>
  <c r="K4386" i="19"/>
  <c r="G4387" i="19"/>
  <c r="H4387" i="19"/>
  <c r="I4387" i="19"/>
  <c r="J4387" i="19"/>
  <c r="K4387" i="19"/>
  <c r="G4388" i="19"/>
  <c r="H4388" i="19"/>
  <c r="I4388" i="19"/>
  <c r="J4388" i="19"/>
  <c r="K4388" i="19"/>
  <c r="G4389" i="19"/>
  <c r="H4389" i="19"/>
  <c r="I4389" i="19"/>
  <c r="J4389" i="19"/>
  <c r="K4389" i="19"/>
  <c r="G4390" i="19"/>
  <c r="H4390" i="19"/>
  <c r="I4390" i="19"/>
  <c r="J4390" i="19"/>
  <c r="K4390" i="19"/>
  <c r="G4391" i="19"/>
  <c r="H4391" i="19"/>
  <c r="I4391" i="19"/>
  <c r="J4391" i="19"/>
  <c r="K4391" i="19"/>
  <c r="G4392" i="19"/>
  <c r="H4392" i="19"/>
  <c r="I4392" i="19"/>
  <c r="J4392" i="19"/>
  <c r="K4392" i="19"/>
  <c r="G4393" i="19"/>
  <c r="H4393" i="19"/>
  <c r="I4393" i="19"/>
  <c r="J4393" i="19"/>
  <c r="K4393" i="19"/>
  <c r="G4394" i="19"/>
  <c r="H4394" i="19"/>
  <c r="I4394" i="19"/>
  <c r="J4394" i="19"/>
  <c r="K4394" i="19"/>
  <c r="G4395" i="19"/>
  <c r="H4395" i="19"/>
  <c r="I4395" i="19"/>
  <c r="J4395" i="19"/>
  <c r="K4395" i="19"/>
  <c r="G4396" i="19"/>
  <c r="H4396" i="19"/>
  <c r="I4396" i="19"/>
  <c r="J4396" i="19"/>
  <c r="K4396" i="19"/>
  <c r="G4397" i="19"/>
  <c r="H4397" i="19"/>
  <c r="I4397" i="19"/>
  <c r="J4397" i="19"/>
  <c r="K4397" i="19"/>
  <c r="G4398" i="19"/>
  <c r="H4398" i="19"/>
  <c r="I4398" i="19"/>
  <c r="J4398" i="19"/>
  <c r="K4398" i="19"/>
  <c r="G4399" i="19"/>
  <c r="H4399" i="19"/>
  <c r="I4399" i="19"/>
  <c r="J4399" i="19"/>
  <c r="K4399" i="19"/>
  <c r="G4400" i="19"/>
  <c r="H4400" i="19"/>
  <c r="I4400" i="19"/>
  <c r="J4400" i="19"/>
  <c r="K4400" i="19"/>
  <c r="G4401" i="19"/>
  <c r="H4401" i="19"/>
  <c r="I4401" i="19"/>
  <c r="J4401" i="19"/>
  <c r="K4401" i="19"/>
  <c r="G4402" i="19"/>
  <c r="H4402" i="19"/>
  <c r="I4402" i="19"/>
  <c r="J4402" i="19"/>
  <c r="K4402" i="19"/>
  <c r="G4403" i="19"/>
  <c r="H4403" i="19"/>
  <c r="I4403" i="19"/>
  <c r="J4403" i="19"/>
  <c r="K4403" i="19"/>
  <c r="G4404" i="19"/>
  <c r="H4404" i="19"/>
  <c r="I4404" i="19"/>
  <c r="J4404" i="19"/>
  <c r="K4404" i="19"/>
  <c r="G4405" i="19"/>
  <c r="H4405" i="19"/>
  <c r="I4405" i="19"/>
  <c r="J4405" i="19"/>
  <c r="K4405" i="19"/>
  <c r="G4406" i="19"/>
  <c r="H4406" i="19"/>
  <c r="I4406" i="19"/>
  <c r="J4406" i="19"/>
  <c r="K4406" i="19"/>
  <c r="G4407" i="19"/>
  <c r="H4407" i="19"/>
  <c r="I4407" i="19"/>
  <c r="J4407" i="19"/>
  <c r="K4407" i="19"/>
  <c r="G4408" i="19"/>
  <c r="H4408" i="19"/>
  <c r="I4408" i="19"/>
  <c r="J4408" i="19"/>
  <c r="K4408" i="19"/>
  <c r="G4409" i="19"/>
  <c r="H4409" i="19"/>
  <c r="I4409" i="19"/>
  <c r="J4409" i="19"/>
  <c r="K4409" i="19"/>
  <c r="G4410" i="19"/>
  <c r="H4410" i="19"/>
  <c r="I4410" i="19"/>
  <c r="J4410" i="19"/>
  <c r="K4410" i="19"/>
  <c r="G4411" i="19"/>
  <c r="H4411" i="19"/>
  <c r="I4411" i="19"/>
  <c r="J4411" i="19"/>
  <c r="K4411" i="19"/>
  <c r="G4412" i="19"/>
  <c r="H4412" i="19"/>
  <c r="I4412" i="19"/>
  <c r="J4412" i="19"/>
  <c r="K4412" i="19"/>
  <c r="G4413" i="19"/>
  <c r="H4413" i="19"/>
  <c r="I4413" i="19"/>
  <c r="J4413" i="19"/>
  <c r="K4413" i="19"/>
  <c r="G4414" i="19"/>
  <c r="H4414" i="19"/>
  <c r="I4414" i="19"/>
  <c r="J4414" i="19"/>
  <c r="K4414" i="19"/>
  <c r="G4415" i="19"/>
  <c r="H4415" i="19"/>
  <c r="I4415" i="19"/>
  <c r="J4415" i="19"/>
  <c r="K4415" i="19"/>
  <c r="G4416" i="19"/>
  <c r="H4416" i="19"/>
  <c r="I4416" i="19"/>
  <c r="J4416" i="19"/>
  <c r="K4416" i="19"/>
  <c r="G4417" i="19"/>
  <c r="H4417" i="19"/>
  <c r="I4417" i="19"/>
  <c r="J4417" i="19"/>
  <c r="K4417" i="19"/>
  <c r="G4418" i="19"/>
  <c r="H4418" i="19"/>
  <c r="I4418" i="19"/>
  <c r="J4418" i="19"/>
  <c r="K4418" i="19"/>
  <c r="G4419" i="19"/>
  <c r="H4419" i="19"/>
  <c r="I4419" i="19"/>
  <c r="J4419" i="19"/>
  <c r="K4419" i="19"/>
  <c r="G4420" i="19"/>
  <c r="H4420" i="19"/>
  <c r="I4420" i="19"/>
  <c r="J4420" i="19"/>
  <c r="K4420" i="19"/>
  <c r="G4421" i="19"/>
  <c r="H4421" i="19"/>
  <c r="I4421" i="19"/>
  <c r="J4421" i="19"/>
  <c r="K4421" i="19"/>
  <c r="G4422" i="19"/>
  <c r="H4422" i="19"/>
  <c r="I4422" i="19"/>
  <c r="J4422" i="19"/>
  <c r="K4422" i="19"/>
  <c r="G4423" i="19"/>
  <c r="H4423" i="19"/>
  <c r="I4423" i="19"/>
  <c r="J4423" i="19"/>
  <c r="K4423" i="19"/>
  <c r="G4424" i="19"/>
  <c r="H4424" i="19"/>
  <c r="I4424" i="19"/>
  <c r="J4424" i="19"/>
  <c r="K4424" i="19"/>
  <c r="G4425" i="19"/>
  <c r="H4425" i="19"/>
  <c r="I4425" i="19"/>
  <c r="J4425" i="19"/>
  <c r="K4425" i="19"/>
  <c r="G4426" i="19"/>
  <c r="H4426" i="19"/>
  <c r="I4426" i="19"/>
  <c r="J4426" i="19"/>
  <c r="K4426" i="19"/>
  <c r="G4427" i="19"/>
  <c r="H4427" i="19"/>
  <c r="I4427" i="19"/>
  <c r="J4427" i="19"/>
  <c r="K4427" i="19"/>
  <c r="G4428" i="19"/>
  <c r="H4428" i="19"/>
  <c r="I4428" i="19"/>
  <c r="J4428" i="19"/>
  <c r="K4428" i="19"/>
  <c r="G4429" i="19"/>
  <c r="H4429" i="19"/>
  <c r="I4429" i="19"/>
  <c r="J4429" i="19"/>
  <c r="K4429" i="19"/>
  <c r="G4430" i="19"/>
  <c r="H4430" i="19"/>
  <c r="I4430" i="19"/>
  <c r="J4430" i="19"/>
  <c r="K4430" i="19"/>
  <c r="G4431" i="19"/>
  <c r="H4431" i="19"/>
  <c r="I4431" i="19"/>
  <c r="J4431" i="19"/>
  <c r="K4431" i="19"/>
  <c r="G4432" i="19"/>
  <c r="H4432" i="19"/>
  <c r="I4432" i="19"/>
  <c r="J4432" i="19"/>
  <c r="K4432" i="19"/>
  <c r="G4433" i="19"/>
  <c r="H4433" i="19"/>
  <c r="I4433" i="19"/>
  <c r="J4433" i="19"/>
  <c r="K4433" i="19"/>
  <c r="G4434" i="19"/>
  <c r="H4434" i="19"/>
  <c r="I4434" i="19"/>
  <c r="J4434" i="19"/>
  <c r="K4434" i="19"/>
  <c r="G4435" i="19"/>
  <c r="H4435" i="19"/>
  <c r="I4435" i="19"/>
  <c r="J4435" i="19"/>
  <c r="K4435" i="19"/>
  <c r="G4436" i="19"/>
  <c r="H4436" i="19"/>
  <c r="I4436" i="19"/>
  <c r="J4436" i="19"/>
  <c r="K4436" i="19"/>
  <c r="G4437" i="19"/>
  <c r="H4437" i="19"/>
  <c r="I4437" i="19"/>
  <c r="J4437" i="19"/>
  <c r="K4437" i="19"/>
  <c r="G4438" i="19"/>
  <c r="H4438" i="19"/>
  <c r="I4438" i="19"/>
  <c r="J4438" i="19"/>
  <c r="K4438" i="19"/>
  <c r="G4439" i="19"/>
  <c r="H4439" i="19"/>
  <c r="I4439" i="19"/>
  <c r="J4439" i="19"/>
  <c r="K4439" i="19"/>
  <c r="G4440" i="19"/>
  <c r="H4440" i="19"/>
  <c r="I4440" i="19"/>
  <c r="J4440" i="19"/>
  <c r="K4440" i="19"/>
  <c r="G4441" i="19"/>
  <c r="H4441" i="19"/>
  <c r="I4441" i="19"/>
  <c r="J4441" i="19"/>
  <c r="K4441" i="19"/>
  <c r="G4442" i="19"/>
  <c r="H4442" i="19"/>
  <c r="I4442" i="19"/>
  <c r="J4442" i="19"/>
  <c r="K4442" i="19"/>
  <c r="G4443" i="19"/>
  <c r="H4443" i="19"/>
  <c r="I4443" i="19"/>
  <c r="J4443" i="19"/>
  <c r="K4443" i="19"/>
  <c r="G4444" i="19"/>
  <c r="H4444" i="19"/>
  <c r="I4444" i="19"/>
  <c r="J4444" i="19"/>
  <c r="K4444" i="19"/>
  <c r="G4445" i="19"/>
  <c r="H4445" i="19"/>
  <c r="I4445" i="19"/>
  <c r="J4445" i="19"/>
  <c r="K4445" i="19"/>
  <c r="G4446" i="19"/>
  <c r="H4446" i="19"/>
  <c r="I4446" i="19"/>
  <c r="J4446" i="19"/>
  <c r="K4446" i="19"/>
  <c r="G4447" i="19"/>
  <c r="H4447" i="19"/>
  <c r="I4447" i="19"/>
  <c r="J4447" i="19"/>
  <c r="K4447" i="19"/>
  <c r="G4448" i="19"/>
  <c r="H4448" i="19"/>
  <c r="I4448" i="19"/>
  <c r="J4448" i="19"/>
  <c r="K4448" i="19"/>
  <c r="G4449" i="19"/>
  <c r="H4449" i="19"/>
  <c r="I4449" i="19"/>
  <c r="J4449" i="19"/>
  <c r="K4449" i="19"/>
  <c r="G4450" i="19"/>
  <c r="H4450" i="19"/>
  <c r="I4450" i="19"/>
  <c r="J4450" i="19"/>
  <c r="K4450" i="19"/>
  <c r="G4451" i="19"/>
  <c r="H4451" i="19"/>
  <c r="I4451" i="19"/>
  <c r="J4451" i="19"/>
  <c r="K4451" i="19"/>
  <c r="G4452" i="19"/>
  <c r="H4452" i="19"/>
  <c r="I4452" i="19"/>
  <c r="J4452" i="19"/>
  <c r="K4452" i="19"/>
  <c r="G4453" i="19"/>
  <c r="H4453" i="19"/>
  <c r="I4453" i="19"/>
  <c r="J4453" i="19"/>
  <c r="K4453" i="19"/>
  <c r="G4454" i="19"/>
  <c r="H4454" i="19"/>
  <c r="I4454" i="19"/>
  <c r="J4454" i="19"/>
  <c r="K4454" i="19"/>
  <c r="G4455" i="19"/>
  <c r="H4455" i="19"/>
  <c r="I4455" i="19"/>
  <c r="J4455" i="19"/>
  <c r="K4455" i="19"/>
  <c r="G4456" i="19"/>
  <c r="H4456" i="19"/>
  <c r="I4456" i="19"/>
  <c r="J4456" i="19"/>
  <c r="K4456" i="19"/>
  <c r="G4457" i="19"/>
  <c r="H4457" i="19"/>
  <c r="I4457" i="19"/>
  <c r="J4457" i="19"/>
  <c r="K4457" i="19"/>
  <c r="G4458" i="19"/>
  <c r="H4458" i="19"/>
  <c r="I4458" i="19"/>
  <c r="J4458" i="19"/>
  <c r="K4458" i="19"/>
  <c r="G4459" i="19"/>
  <c r="H4459" i="19"/>
  <c r="I4459" i="19"/>
  <c r="J4459" i="19"/>
  <c r="K4459" i="19"/>
  <c r="G4460" i="19"/>
  <c r="H4460" i="19"/>
  <c r="I4460" i="19"/>
  <c r="J4460" i="19"/>
  <c r="K4460" i="19"/>
  <c r="G4461" i="19"/>
  <c r="H4461" i="19"/>
  <c r="I4461" i="19"/>
  <c r="J4461" i="19"/>
  <c r="K4461" i="19"/>
  <c r="G4462" i="19"/>
  <c r="H4462" i="19"/>
  <c r="I4462" i="19"/>
  <c r="J4462" i="19"/>
  <c r="K4462" i="19"/>
  <c r="G4463" i="19"/>
  <c r="H4463" i="19"/>
  <c r="I4463" i="19"/>
  <c r="J4463" i="19"/>
  <c r="K4463" i="19"/>
  <c r="G4464" i="19"/>
  <c r="H4464" i="19"/>
  <c r="I4464" i="19"/>
  <c r="J4464" i="19"/>
  <c r="K4464" i="19"/>
  <c r="G4465" i="19"/>
  <c r="H4465" i="19"/>
  <c r="I4465" i="19"/>
  <c r="J4465" i="19"/>
  <c r="K4465" i="19"/>
  <c r="G4466" i="19"/>
  <c r="H4466" i="19"/>
  <c r="I4466" i="19"/>
  <c r="J4466" i="19"/>
  <c r="K4466" i="19"/>
  <c r="G4467" i="19"/>
  <c r="H4467" i="19"/>
  <c r="I4467" i="19"/>
  <c r="J4467" i="19"/>
  <c r="K4467" i="19"/>
  <c r="G4468" i="19"/>
  <c r="H4468" i="19"/>
  <c r="I4468" i="19"/>
  <c r="J4468" i="19"/>
  <c r="K4468" i="19"/>
  <c r="G4469" i="19"/>
  <c r="H4469" i="19"/>
  <c r="I4469" i="19"/>
  <c r="J4469" i="19"/>
  <c r="K4469" i="19"/>
  <c r="G4470" i="19"/>
  <c r="H4470" i="19"/>
  <c r="I4470" i="19"/>
  <c r="J4470" i="19"/>
  <c r="K4470" i="19"/>
  <c r="G4471" i="19"/>
  <c r="H4471" i="19"/>
  <c r="I4471" i="19"/>
  <c r="J4471" i="19"/>
  <c r="K4471" i="19"/>
  <c r="G4472" i="19"/>
  <c r="H4472" i="19"/>
  <c r="I4472" i="19"/>
  <c r="J4472" i="19"/>
  <c r="K4472" i="19"/>
  <c r="G4473" i="19"/>
  <c r="H4473" i="19"/>
  <c r="I4473" i="19"/>
  <c r="J4473" i="19"/>
  <c r="K4473" i="19"/>
  <c r="G4474" i="19"/>
  <c r="H4474" i="19"/>
  <c r="I4474" i="19"/>
  <c r="J4474" i="19"/>
  <c r="K4474" i="19"/>
  <c r="G4475" i="19"/>
  <c r="H4475" i="19"/>
  <c r="I4475" i="19"/>
  <c r="J4475" i="19"/>
  <c r="K4475" i="19"/>
  <c r="G4476" i="19"/>
  <c r="H4476" i="19"/>
  <c r="I4476" i="19"/>
  <c r="J4476" i="19"/>
  <c r="K4476" i="19"/>
  <c r="G4477" i="19"/>
  <c r="H4477" i="19"/>
  <c r="I4477" i="19"/>
  <c r="J4477" i="19"/>
  <c r="K4477" i="19"/>
  <c r="G4478" i="19"/>
  <c r="H4478" i="19"/>
  <c r="I4478" i="19"/>
  <c r="J4478" i="19"/>
  <c r="K4478" i="19"/>
  <c r="G4479" i="19"/>
  <c r="H4479" i="19"/>
  <c r="I4479" i="19"/>
  <c r="J4479" i="19"/>
  <c r="K4479" i="19"/>
  <c r="G4480" i="19"/>
  <c r="H4480" i="19"/>
  <c r="I4480" i="19"/>
  <c r="J4480" i="19"/>
  <c r="K4480" i="19"/>
  <c r="G4481" i="19"/>
  <c r="H4481" i="19"/>
  <c r="I4481" i="19"/>
  <c r="J4481" i="19"/>
  <c r="K4481" i="19"/>
  <c r="G4482" i="19"/>
  <c r="H4482" i="19"/>
  <c r="I4482" i="19"/>
  <c r="J4482" i="19"/>
  <c r="K4482" i="19"/>
  <c r="G4483" i="19"/>
  <c r="H4483" i="19"/>
  <c r="I4483" i="19"/>
  <c r="J4483" i="19"/>
  <c r="K4483" i="19"/>
  <c r="G4484" i="19"/>
  <c r="H4484" i="19"/>
  <c r="I4484" i="19"/>
  <c r="J4484" i="19"/>
  <c r="K4484" i="19"/>
  <c r="G4485" i="19"/>
  <c r="H4485" i="19"/>
  <c r="I4485" i="19"/>
  <c r="J4485" i="19"/>
  <c r="K4485" i="19"/>
  <c r="G4486" i="19"/>
  <c r="H4486" i="19"/>
  <c r="I4486" i="19"/>
  <c r="J4486" i="19"/>
  <c r="K4486" i="19"/>
  <c r="G4487" i="19"/>
  <c r="H4487" i="19"/>
  <c r="I4487" i="19"/>
  <c r="J4487" i="19"/>
  <c r="K4487" i="19"/>
  <c r="G4488" i="19"/>
  <c r="H4488" i="19"/>
  <c r="I4488" i="19"/>
  <c r="J4488" i="19"/>
  <c r="K4488" i="19"/>
  <c r="G4489" i="19"/>
  <c r="H4489" i="19"/>
  <c r="I4489" i="19"/>
  <c r="J4489" i="19"/>
  <c r="K4489" i="19"/>
  <c r="G4490" i="19"/>
  <c r="H4490" i="19"/>
  <c r="I4490" i="19"/>
  <c r="J4490" i="19"/>
  <c r="K4490" i="19"/>
  <c r="G4491" i="19"/>
  <c r="H4491" i="19"/>
  <c r="I4491" i="19"/>
  <c r="J4491" i="19"/>
  <c r="K4491" i="19"/>
  <c r="G4492" i="19"/>
  <c r="H4492" i="19"/>
  <c r="I4492" i="19"/>
  <c r="J4492" i="19"/>
  <c r="K4492" i="19"/>
  <c r="G4493" i="19"/>
  <c r="H4493" i="19"/>
  <c r="I4493" i="19"/>
  <c r="J4493" i="19"/>
  <c r="K4493" i="19"/>
  <c r="G4494" i="19"/>
  <c r="H4494" i="19"/>
  <c r="I4494" i="19"/>
  <c r="J4494" i="19"/>
  <c r="K4494" i="19"/>
  <c r="G4495" i="19"/>
  <c r="H4495" i="19"/>
  <c r="I4495" i="19"/>
  <c r="J4495" i="19"/>
  <c r="K4495" i="19"/>
  <c r="G4496" i="19"/>
  <c r="H4496" i="19"/>
  <c r="I4496" i="19"/>
  <c r="J4496" i="19"/>
  <c r="K4496" i="19"/>
  <c r="G4497" i="19"/>
  <c r="H4497" i="19"/>
  <c r="I4497" i="19"/>
  <c r="J4497" i="19"/>
  <c r="K4497" i="19"/>
  <c r="G4498" i="19"/>
  <c r="H4498" i="19"/>
  <c r="I4498" i="19"/>
  <c r="J4498" i="19"/>
  <c r="K4498" i="19"/>
  <c r="G4499" i="19"/>
  <c r="H4499" i="19"/>
  <c r="I4499" i="19"/>
  <c r="J4499" i="19"/>
  <c r="K4499" i="19"/>
  <c r="G4500" i="19"/>
  <c r="H4500" i="19"/>
  <c r="I4500" i="19"/>
  <c r="J4500" i="19"/>
  <c r="K4500" i="19"/>
  <c r="G4501" i="19"/>
  <c r="H4501" i="19"/>
  <c r="I4501" i="19"/>
  <c r="J4501" i="19"/>
  <c r="K4501" i="19"/>
  <c r="G4502" i="19"/>
  <c r="H4502" i="19"/>
  <c r="I4502" i="19"/>
  <c r="J4502" i="19"/>
  <c r="K4502" i="19"/>
  <c r="G4503" i="19"/>
  <c r="H4503" i="19"/>
  <c r="I4503" i="19"/>
  <c r="J4503" i="19"/>
  <c r="K4503" i="19"/>
  <c r="G4504" i="19"/>
  <c r="H4504" i="19"/>
  <c r="I4504" i="19"/>
  <c r="J4504" i="19"/>
  <c r="K4504" i="19"/>
  <c r="G4505" i="19"/>
  <c r="H4505" i="19"/>
  <c r="I4505" i="19"/>
  <c r="J4505" i="19"/>
  <c r="K4505" i="19"/>
  <c r="G4506" i="19"/>
  <c r="H4506" i="19"/>
  <c r="I4506" i="19"/>
  <c r="J4506" i="19"/>
  <c r="K4506" i="19"/>
  <c r="G4507" i="19"/>
  <c r="H4507" i="19"/>
  <c r="I4507" i="19"/>
  <c r="J4507" i="19"/>
  <c r="K4507" i="19"/>
  <c r="G4508" i="19"/>
  <c r="H4508" i="19"/>
  <c r="I4508" i="19"/>
  <c r="J4508" i="19"/>
  <c r="K4508" i="19"/>
  <c r="G4509" i="19"/>
  <c r="H4509" i="19"/>
  <c r="I4509" i="19"/>
  <c r="J4509" i="19"/>
  <c r="K4509" i="19"/>
  <c r="G4510" i="19"/>
  <c r="H4510" i="19"/>
  <c r="I4510" i="19"/>
  <c r="J4510" i="19"/>
  <c r="K4510" i="19"/>
  <c r="G4511" i="19"/>
  <c r="H4511" i="19"/>
  <c r="I4511" i="19"/>
  <c r="J4511" i="19"/>
  <c r="K4511" i="19"/>
  <c r="G4512" i="19"/>
  <c r="H4512" i="19"/>
  <c r="I4512" i="19"/>
  <c r="J4512" i="19"/>
  <c r="K4512" i="19"/>
  <c r="G4513" i="19"/>
  <c r="H4513" i="19"/>
  <c r="I4513" i="19"/>
  <c r="J4513" i="19"/>
  <c r="K4513" i="19"/>
  <c r="G4514" i="19"/>
  <c r="H4514" i="19"/>
  <c r="I4514" i="19"/>
  <c r="J4514" i="19"/>
  <c r="K4514" i="19"/>
  <c r="G4515" i="19"/>
  <c r="H4515" i="19"/>
  <c r="I4515" i="19"/>
  <c r="J4515" i="19"/>
  <c r="K4515" i="19"/>
  <c r="G4516" i="19"/>
  <c r="H4516" i="19"/>
  <c r="I4516" i="19"/>
  <c r="J4516" i="19"/>
  <c r="K4516" i="19"/>
  <c r="G4517" i="19"/>
  <c r="H4517" i="19"/>
  <c r="I4517" i="19"/>
  <c r="J4517" i="19"/>
  <c r="K4517" i="19"/>
  <c r="G4518" i="19"/>
  <c r="H4518" i="19"/>
  <c r="I4518" i="19"/>
  <c r="J4518" i="19"/>
  <c r="K4518" i="19"/>
  <c r="G4519" i="19"/>
  <c r="H4519" i="19"/>
  <c r="I4519" i="19"/>
  <c r="J4519" i="19"/>
  <c r="K4519" i="19"/>
  <c r="G4520" i="19"/>
  <c r="H4520" i="19"/>
  <c r="I4520" i="19"/>
  <c r="J4520" i="19"/>
  <c r="K4520" i="19"/>
  <c r="G4521" i="19"/>
  <c r="H4521" i="19"/>
  <c r="I4521" i="19"/>
  <c r="J4521" i="19"/>
  <c r="K4521" i="19"/>
  <c r="G4522" i="19"/>
  <c r="H4522" i="19"/>
  <c r="I4522" i="19"/>
  <c r="J4522" i="19"/>
  <c r="K4522" i="19"/>
  <c r="G4523" i="19"/>
  <c r="H4523" i="19"/>
  <c r="I4523" i="19"/>
  <c r="J4523" i="19"/>
  <c r="K4523" i="19"/>
  <c r="G4524" i="19"/>
  <c r="H4524" i="19"/>
  <c r="I4524" i="19"/>
  <c r="J4524" i="19"/>
  <c r="K4524" i="19"/>
  <c r="G4525" i="19"/>
  <c r="H4525" i="19"/>
  <c r="I4525" i="19"/>
  <c r="J4525" i="19"/>
  <c r="K4525" i="19"/>
  <c r="G4526" i="19"/>
  <c r="H4526" i="19"/>
  <c r="I4526" i="19"/>
  <c r="J4526" i="19"/>
  <c r="K4526" i="19"/>
  <c r="G4527" i="19"/>
  <c r="H4527" i="19"/>
  <c r="I4527" i="19"/>
  <c r="J4527" i="19"/>
  <c r="K4527" i="19"/>
  <c r="G4528" i="19"/>
  <c r="H4528" i="19"/>
  <c r="I4528" i="19"/>
  <c r="J4528" i="19"/>
  <c r="K4528" i="19"/>
  <c r="G4529" i="19"/>
  <c r="H4529" i="19"/>
  <c r="I4529" i="19"/>
  <c r="J4529" i="19"/>
  <c r="K4529" i="19"/>
  <c r="G4530" i="19"/>
  <c r="H4530" i="19"/>
  <c r="I4530" i="19"/>
  <c r="J4530" i="19"/>
  <c r="K4530" i="19"/>
  <c r="G4531" i="19"/>
  <c r="H4531" i="19"/>
  <c r="I4531" i="19"/>
  <c r="J4531" i="19"/>
  <c r="K4531" i="19"/>
  <c r="G4532" i="19"/>
  <c r="H4532" i="19"/>
  <c r="I4532" i="19"/>
  <c r="J4532" i="19"/>
  <c r="K4532" i="19"/>
  <c r="G4533" i="19"/>
  <c r="H4533" i="19"/>
  <c r="I4533" i="19"/>
  <c r="J4533" i="19"/>
  <c r="K4533" i="19"/>
  <c r="G4534" i="19"/>
  <c r="H4534" i="19"/>
  <c r="I4534" i="19"/>
  <c r="J4534" i="19"/>
  <c r="K4534" i="19"/>
  <c r="G4535" i="19"/>
  <c r="H4535" i="19"/>
  <c r="I4535" i="19"/>
  <c r="J4535" i="19"/>
  <c r="K4535" i="19"/>
  <c r="G4536" i="19"/>
  <c r="H4536" i="19"/>
  <c r="I4536" i="19"/>
  <c r="J4536" i="19"/>
  <c r="K4536" i="19"/>
  <c r="G4537" i="19"/>
  <c r="H4537" i="19"/>
  <c r="I4537" i="19"/>
  <c r="J4537" i="19"/>
  <c r="K4537" i="19"/>
  <c r="G4538" i="19"/>
  <c r="H4538" i="19"/>
  <c r="I4538" i="19"/>
  <c r="J4538" i="19"/>
  <c r="K4538" i="19"/>
  <c r="G4539" i="19"/>
  <c r="H4539" i="19"/>
  <c r="I4539" i="19"/>
  <c r="J4539" i="19"/>
  <c r="K4539" i="19"/>
  <c r="G4540" i="19"/>
  <c r="H4540" i="19"/>
  <c r="I4540" i="19"/>
  <c r="J4540" i="19"/>
  <c r="K4540" i="19"/>
  <c r="G4541" i="19"/>
  <c r="H4541" i="19"/>
  <c r="I4541" i="19"/>
  <c r="J4541" i="19"/>
  <c r="K4541" i="19"/>
  <c r="G4542" i="19"/>
  <c r="H4542" i="19"/>
  <c r="I4542" i="19"/>
  <c r="J4542" i="19"/>
  <c r="K4542" i="19"/>
  <c r="G4543" i="19"/>
  <c r="H4543" i="19"/>
  <c r="I4543" i="19"/>
  <c r="J4543" i="19"/>
  <c r="K4543" i="19"/>
  <c r="G4544" i="19"/>
  <c r="H4544" i="19"/>
  <c r="I4544" i="19"/>
  <c r="J4544" i="19"/>
  <c r="K4544" i="19"/>
  <c r="G4545" i="19"/>
  <c r="H4545" i="19"/>
  <c r="I4545" i="19"/>
  <c r="J4545" i="19"/>
  <c r="K4545" i="19"/>
  <c r="G4546" i="19"/>
  <c r="H4546" i="19"/>
  <c r="I4546" i="19"/>
  <c r="J4546" i="19"/>
  <c r="K4546" i="19"/>
  <c r="G4547" i="19"/>
  <c r="H4547" i="19"/>
  <c r="I4547" i="19"/>
  <c r="J4547" i="19"/>
  <c r="K4547" i="19"/>
  <c r="G4548" i="19"/>
  <c r="H4548" i="19"/>
  <c r="I4548" i="19"/>
  <c r="J4548" i="19"/>
  <c r="K4548" i="19"/>
  <c r="G4549" i="19"/>
  <c r="H4549" i="19"/>
  <c r="I4549" i="19"/>
  <c r="J4549" i="19"/>
  <c r="K4549" i="19"/>
  <c r="G4550" i="19"/>
  <c r="H4550" i="19"/>
  <c r="I4550" i="19"/>
  <c r="J4550" i="19"/>
  <c r="K4550" i="19"/>
  <c r="G4551" i="19"/>
  <c r="H4551" i="19"/>
  <c r="I4551" i="19"/>
  <c r="J4551" i="19"/>
  <c r="K4551" i="19"/>
  <c r="G4552" i="19"/>
  <c r="H4552" i="19"/>
  <c r="I4552" i="19"/>
  <c r="J4552" i="19"/>
  <c r="K4552" i="19"/>
  <c r="G4553" i="19"/>
  <c r="H4553" i="19"/>
  <c r="I4553" i="19"/>
  <c r="J4553" i="19"/>
  <c r="K4553" i="19"/>
  <c r="G4554" i="19"/>
  <c r="H4554" i="19"/>
  <c r="I4554" i="19"/>
  <c r="J4554" i="19"/>
  <c r="K4554" i="19"/>
  <c r="G4555" i="19"/>
  <c r="H4555" i="19"/>
  <c r="I4555" i="19"/>
  <c r="J4555" i="19"/>
  <c r="K4555" i="19"/>
  <c r="G4556" i="19"/>
  <c r="H4556" i="19"/>
  <c r="I4556" i="19"/>
  <c r="J4556" i="19"/>
  <c r="K4556" i="19"/>
  <c r="G4557" i="19"/>
  <c r="H4557" i="19"/>
  <c r="I4557" i="19"/>
  <c r="J4557" i="19"/>
  <c r="K4557" i="19"/>
  <c r="G4558" i="19"/>
  <c r="H4558" i="19"/>
  <c r="I4558" i="19"/>
  <c r="J4558" i="19"/>
  <c r="K4558" i="19"/>
  <c r="G4559" i="19"/>
  <c r="H4559" i="19"/>
  <c r="I4559" i="19"/>
  <c r="J4559" i="19"/>
  <c r="K4559" i="19"/>
  <c r="G4560" i="19"/>
  <c r="H4560" i="19"/>
  <c r="I4560" i="19"/>
  <c r="J4560" i="19"/>
  <c r="K4560" i="19"/>
  <c r="G4561" i="19"/>
  <c r="H4561" i="19"/>
  <c r="I4561" i="19"/>
  <c r="J4561" i="19"/>
  <c r="K4561" i="19"/>
  <c r="G4562" i="19"/>
  <c r="H4562" i="19"/>
  <c r="I4562" i="19"/>
  <c r="J4562" i="19"/>
  <c r="K4562" i="19"/>
  <c r="G4563" i="19"/>
  <c r="H4563" i="19"/>
  <c r="I4563" i="19"/>
  <c r="J4563" i="19"/>
  <c r="K4563" i="19"/>
  <c r="G4564" i="19"/>
  <c r="H4564" i="19"/>
  <c r="I4564" i="19"/>
  <c r="J4564" i="19"/>
  <c r="K4564" i="19"/>
  <c r="G4565" i="19"/>
  <c r="H4565" i="19"/>
  <c r="I4565" i="19"/>
  <c r="J4565" i="19"/>
  <c r="K4565" i="19"/>
  <c r="G4566" i="19"/>
  <c r="H4566" i="19"/>
  <c r="I4566" i="19"/>
  <c r="J4566" i="19"/>
  <c r="K4566" i="19"/>
  <c r="G4567" i="19"/>
  <c r="H4567" i="19"/>
  <c r="I4567" i="19"/>
  <c r="J4567" i="19"/>
  <c r="K4567" i="19"/>
  <c r="G4568" i="19"/>
  <c r="H4568" i="19"/>
  <c r="I4568" i="19"/>
  <c r="J4568" i="19"/>
  <c r="K4568" i="19"/>
  <c r="G4569" i="19"/>
  <c r="H4569" i="19"/>
  <c r="I4569" i="19"/>
  <c r="J4569" i="19"/>
  <c r="K4569" i="19"/>
  <c r="G4570" i="19"/>
  <c r="H4570" i="19"/>
  <c r="I4570" i="19"/>
  <c r="J4570" i="19"/>
  <c r="K4570" i="19"/>
  <c r="G4571" i="19"/>
  <c r="H4571" i="19"/>
  <c r="I4571" i="19"/>
  <c r="J4571" i="19"/>
  <c r="K4571" i="19"/>
  <c r="G4572" i="19"/>
  <c r="H4572" i="19"/>
  <c r="I4572" i="19"/>
  <c r="J4572" i="19"/>
  <c r="K4572" i="19"/>
  <c r="G4573" i="19"/>
  <c r="H4573" i="19"/>
  <c r="I4573" i="19"/>
  <c r="J4573" i="19"/>
  <c r="K4573" i="19"/>
  <c r="G4574" i="19"/>
  <c r="H4574" i="19"/>
  <c r="I4574" i="19"/>
  <c r="J4574" i="19"/>
  <c r="K4574" i="19"/>
  <c r="G4575" i="19"/>
  <c r="H4575" i="19"/>
  <c r="I4575" i="19"/>
  <c r="J4575" i="19"/>
  <c r="K4575" i="19"/>
  <c r="G4576" i="19"/>
  <c r="H4576" i="19"/>
  <c r="I4576" i="19"/>
  <c r="J4576" i="19"/>
  <c r="K4576" i="19"/>
  <c r="G4577" i="19"/>
  <c r="H4577" i="19"/>
  <c r="I4577" i="19"/>
  <c r="J4577" i="19"/>
  <c r="K4577" i="19"/>
  <c r="G4578" i="19"/>
  <c r="H4578" i="19"/>
  <c r="I4578" i="19"/>
  <c r="J4578" i="19"/>
  <c r="K4578" i="19"/>
  <c r="G4579" i="19"/>
  <c r="H4579" i="19"/>
  <c r="I4579" i="19"/>
  <c r="J4579" i="19"/>
  <c r="K4579" i="19"/>
  <c r="G4580" i="19"/>
  <c r="H4580" i="19"/>
  <c r="I4580" i="19"/>
  <c r="J4580" i="19"/>
  <c r="K4580" i="19"/>
  <c r="G4581" i="19"/>
  <c r="H4581" i="19"/>
  <c r="I4581" i="19"/>
  <c r="J4581" i="19"/>
  <c r="K4581" i="19"/>
  <c r="G4582" i="19"/>
  <c r="H4582" i="19"/>
  <c r="I4582" i="19"/>
  <c r="J4582" i="19"/>
  <c r="K4582" i="19"/>
  <c r="G4583" i="19"/>
  <c r="H4583" i="19"/>
  <c r="I4583" i="19"/>
  <c r="J4583" i="19"/>
  <c r="K4583" i="19"/>
  <c r="G4584" i="19"/>
  <c r="H4584" i="19"/>
  <c r="I4584" i="19"/>
  <c r="J4584" i="19"/>
  <c r="K4584" i="19"/>
  <c r="G4585" i="19"/>
  <c r="H4585" i="19"/>
  <c r="I4585" i="19"/>
  <c r="J4585" i="19"/>
  <c r="K4585" i="19"/>
  <c r="G4586" i="19"/>
  <c r="H4586" i="19"/>
  <c r="I4586" i="19"/>
  <c r="J4586" i="19"/>
  <c r="K4586" i="19"/>
  <c r="G4587" i="19"/>
  <c r="H4587" i="19"/>
  <c r="I4587" i="19"/>
  <c r="J4587" i="19"/>
  <c r="K4587" i="19"/>
  <c r="G4588" i="19"/>
  <c r="H4588" i="19"/>
  <c r="I4588" i="19"/>
  <c r="J4588" i="19"/>
  <c r="K4588" i="19"/>
  <c r="G4589" i="19"/>
  <c r="H4589" i="19"/>
  <c r="I4589" i="19"/>
  <c r="J4589" i="19"/>
  <c r="K4589" i="19"/>
  <c r="G4590" i="19"/>
  <c r="H4590" i="19"/>
  <c r="I4590" i="19"/>
  <c r="J4590" i="19"/>
  <c r="K4590" i="19"/>
  <c r="G4591" i="19"/>
  <c r="H4591" i="19"/>
  <c r="I4591" i="19"/>
  <c r="J4591" i="19"/>
  <c r="K4591" i="19"/>
  <c r="G4592" i="19"/>
  <c r="H4592" i="19"/>
  <c r="I4592" i="19"/>
  <c r="J4592" i="19"/>
  <c r="K4592" i="19"/>
  <c r="G4593" i="19"/>
  <c r="H4593" i="19"/>
  <c r="I4593" i="19"/>
  <c r="J4593" i="19"/>
  <c r="K4593" i="19"/>
  <c r="G4594" i="19"/>
  <c r="H4594" i="19"/>
  <c r="I4594" i="19"/>
  <c r="J4594" i="19"/>
  <c r="K4594" i="19"/>
  <c r="G4595" i="19"/>
  <c r="H4595" i="19"/>
  <c r="I4595" i="19"/>
  <c r="J4595" i="19"/>
  <c r="K4595" i="19"/>
  <c r="G4596" i="19"/>
  <c r="H4596" i="19"/>
  <c r="I4596" i="19"/>
  <c r="J4596" i="19"/>
  <c r="K4596" i="19"/>
  <c r="G4597" i="19"/>
  <c r="H4597" i="19"/>
  <c r="I4597" i="19"/>
  <c r="J4597" i="19"/>
  <c r="K4597" i="19"/>
  <c r="G4598" i="19"/>
  <c r="H4598" i="19"/>
  <c r="I4598" i="19"/>
  <c r="J4598" i="19"/>
  <c r="K4598" i="19"/>
  <c r="G4599" i="19"/>
  <c r="H4599" i="19"/>
  <c r="I4599" i="19"/>
  <c r="J4599" i="19"/>
  <c r="K4599" i="19"/>
  <c r="G4600" i="19"/>
  <c r="H4600" i="19"/>
  <c r="I4600" i="19"/>
  <c r="J4600" i="19"/>
  <c r="K4600" i="19"/>
  <c r="G4601" i="19"/>
  <c r="H4601" i="19"/>
  <c r="I4601" i="19"/>
  <c r="J4601" i="19"/>
  <c r="K4601" i="19"/>
  <c r="G4602" i="19"/>
  <c r="H4602" i="19"/>
  <c r="I4602" i="19"/>
  <c r="J4602" i="19"/>
  <c r="K4602" i="19"/>
  <c r="G4603" i="19"/>
  <c r="H4603" i="19"/>
  <c r="I4603" i="19"/>
  <c r="J4603" i="19"/>
  <c r="K4603" i="19"/>
  <c r="G4604" i="19"/>
  <c r="H4604" i="19"/>
  <c r="I4604" i="19"/>
  <c r="J4604" i="19"/>
  <c r="K4604" i="19"/>
  <c r="G4605" i="19"/>
  <c r="H4605" i="19"/>
  <c r="I4605" i="19"/>
  <c r="J4605" i="19"/>
  <c r="K4605" i="19"/>
  <c r="G4606" i="19"/>
  <c r="H4606" i="19"/>
  <c r="I4606" i="19"/>
  <c r="J4606" i="19"/>
  <c r="K4606" i="19"/>
  <c r="G4607" i="19"/>
  <c r="H4607" i="19"/>
  <c r="I4607" i="19"/>
  <c r="J4607" i="19"/>
  <c r="K4607" i="19"/>
  <c r="G4608" i="19"/>
  <c r="H4608" i="19"/>
  <c r="I4608" i="19"/>
  <c r="J4608" i="19"/>
  <c r="K4608" i="19"/>
  <c r="G4609" i="19"/>
  <c r="H4609" i="19"/>
  <c r="I4609" i="19"/>
  <c r="J4609" i="19"/>
  <c r="K4609" i="19"/>
  <c r="G4610" i="19"/>
  <c r="H4610" i="19"/>
  <c r="I4610" i="19"/>
  <c r="J4610" i="19"/>
  <c r="K4610" i="19"/>
  <c r="G4611" i="19"/>
  <c r="H4611" i="19"/>
  <c r="I4611" i="19"/>
  <c r="J4611" i="19"/>
  <c r="K4611" i="19"/>
  <c r="G4612" i="19"/>
  <c r="H4612" i="19"/>
  <c r="I4612" i="19"/>
  <c r="J4612" i="19"/>
  <c r="K4612" i="19"/>
  <c r="G4613" i="19"/>
  <c r="H4613" i="19"/>
  <c r="I4613" i="19"/>
  <c r="J4613" i="19"/>
  <c r="K4613" i="19"/>
  <c r="G4614" i="19"/>
  <c r="H4614" i="19"/>
  <c r="I4614" i="19"/>
  <c r="J4614" i="19"/>
  <c r="K4614" i="19"/>
  <c r="G4615" i="19"/>
  <c r="H4615" i="19"/>
  <c r="I4615" i="19"/>
  <c r="J4615" i="19"/>
  <c r="K4615" i="19"/>
  <c r="G4616" i="19"/>
  <c r="H4616" i="19"/>
  <c r="I4616" i="19"/>
  <c r="J4616" i="19"/>
  <c r="K4616" i="19"/>
  <c r="G4617" i="19"/>
  <c r="H4617" i="19"/>
  <c r="I4617" i="19"/>
  <c r="J4617" i="19"/>
  <c r="K4617" i="19"/>
  <c r="G4618" i="19"/>
  <c r="H4618" i="19"/>
  <c r="I4618" i="19"/>
  <c r="J4618" i="19"/>
  <c r="K4618" i="19"/>
  <c r="G4619" i="19"/>
  <c r="H4619" i="19"/>
  <c r="I4619" i="19"/>
  <c r="J4619" i="19"/>
  <c r="K4619" i="19"/>
  <c r="G4620" i="19"/>
  <c r="H4620" i="19"/>
  <c r="I4620" i="19"/>
  <c r="J4620" i="19"/>
  <c r="K4620" i="19"/>
  <c r="G4621" i="19"/>
  <c r="H4621" i="19"/>
  <c r="I4621" i="19"/>
  <c r="J4621" i="19"/>
  <c r="K4621" i="19"/>
  <c r="G4622" i="19"/>
  <c r="H4622" i="19"/>
  <c r="I4622" i="19"/>
  <c r="J4622" i="19"/>
  <c r="K4622" i="19"/>
  <c r="G4623" i="19"/>
  <c r="H4623" i="19"/>
  <c r="I4623" i="19"/>
  <c r="J4623" i="19"/>
  <c r="K4623" i="19"/>
  <c r="G4624" i="19"/>
  <c r="H4624" i="19"/>
  <c r="I4624" i="19"/>
  <c r="J4624" i="19"/>
  <c r="K4624" i="19"/>
  <c r="G4625" i="19"/>
  <c r="H4625" i="19"/>
  <c r="I4625" i="19"/>
  <c r="J4625" i="19"/>
  <c r="K4625" i="19"/>
  <c r="G4626" i="19"/>
  <c r="H4626" i="19"/>
  <c r="I4626" i="19"/>
  <c r="J4626" i="19"/>
  <c r="K4626" i="19"/>
  <c r="G4627" i="19"/>
  <c r="H4627" i="19"/>
  <c r="I4627" i="19"/>
  <c r="J4627" i="19"/>
  <c r="K4627" i="19"/>
  <c r="G4628" i="19"/>
  <c r="H4628" i="19"/>
  <c r="I4628" i="19"/>
  <c r="J4628" i="19"/>
  <c r="K4628" i="19"/>
  <c r="G4629" i="19"/>
  <c r="H4629" i="19"/>
  <c r="I4629" i="19"/>
  <c r="J4629" i="19"/>
  <c r="K4629" i="19"/>
  <c r="G4630" i="19"/>
  <c r="H4630" i="19"/>
  <c r="I4630" i="19"/>
  <c r="J4630" i="19"/>
  <c r="K4630" i="19"/>
  <c r="G4631" i="19"/>
  <c r="H4631" i="19"/>
  <c r="I4631" i="19"/>
  <c r="J4631" i="19"/>
  <c r="K4631" i="19"/>
  <c r="G4632" i="19"/>
  <c r="H4632" i="19"/>
  <c r="I4632" i="19"/>
  <c r="J4632" i="19"/>
  <c r="K4632" i="19"/>
  <c r="G4633" i="19"/>
  <c r="H4633" i="19"/>
  <c r="I4633" i="19"/>
  <c r="J4633" i="19"/>
  <c r="K4633" i="19"/>
  <c r="G4634" i="19"/>
  <c r="H4634" i="19"/>
  <c r="I4634" i="19"/>
  <c r="J4634" i="19"/>
  <c r="K4634" i="19"/>
  <c r="G4635" i="19"/>
  <c r="H4635" i="19"/>
  <c r="I4635" i="19"/>
  <c r="J4635" i="19"/>
  <c r="K4635" i="19"/>
  <c r="G4636" i="19"/>
  <c r="H4636" i="19"/>
  <c r="I4636" i="19"/>
  <c r="J4636" i="19"/>
  <c r="K4636" i="19"/>
  <c r="G4637" i="19"/>
  <c r="H4637" i="19"/>
  <c r="I4637" i="19"/>
  <c r="J4637" i="19"/>
  <c r="K4637" i="19"/>
  <c r="G4638" i="19"/>
  <c r="H4638" i="19"/>
  <c r="I4638" i="19"/>
  <c r="J4638" i="19"/>
  <c r="K4638" i="19"/>
  <c r="G4639" i="19"/>
  <c r="H4639" i="19"/>
  <c r="I4639" i="19"/>
  <c r="J4639" i="19"/>
  <c r="K4639" i="19"/>
  <c r="G4640" i="19"/>
  <c r="H4640" i="19"/>
  <c r="I4640" i="19"/>
  <c r="J4640" i="19"/>
  <c r="K4640" i="19"/>
  <c r="G4641" i="19"/>
  <c r="H4641" i="19"/>
  <c r="I4641" i="19"/>
  <c r="J4641" i="19"/>
  <c r="K4641" i="19"/>
  <c r="G4642" i="19"/>
  <c r="H4642" i="19"/>
  <c r="I4642" i="19"/>
  <c r="J4642" i="19"/>
  <c r="K4642" i="19"/>
  <c r="G4643" i="19"/>
  <c r="H4643" i="19"/>
  <c r="I4643" i="19"/>
  <c r="J4643" i="19"/>
  <c r="K4643" i="19"/>
  <c r="G4644" i="19"/>
  <c r="H4644" i="19"/>
  <c r="I4644" i="19"/>
  <c r="J4644" i="19"/>
  <c r="K4644" i="19"/>
  <c r="G4645" i="19"/>
  <c r="H4645" i="19"/>
  <c r="I4645" i="19"/>
  <c r="J4645" i="19"/>
  <c r="K4645" i="19"/>
  <c r="G4646" i="19"/>
  <c r="H4646" i="19"/>
  <c r="I4646" i="19"/>
  <c r="J4646" i="19"/>
  <c r="K4646" i="19"/>
  <c r="G4647" i="19"/>
  <c r="H4647" i="19"/>
  <c r="I4647" i="19"/>
  <c r="J4647" i="19"/>
  <c r="K4647" i="19"/>
  <c r="G4648" i="19"/>
  <c r="H4648" i="19"/>
  <c r="I4648" i="19"/>
  <c r="J4648" i="19"/>
  <c r="K4648" i="19"/>
  <c r="G4649" i="19"/>
  <c r="H4649" i="19"/>
  <c r="I4649" i="19"/>
  <c r="J4649" i="19"/>
  <c r="K4649" i="19"/>
  <c r="G4650" i="19"/>
  <c r="H4650" i="19"/>
  <c r="I4650" i="19"/>
  <c r="J4650" i="19"/>
  <c r="K4650" i="19"/>
  <c r="G4651" i="19"/>
  <c r="H4651" i="19"/>
  <c r="I4651" i="19"/>
  <c r="J4651" i="19"/>
  <c r="K4651" i="19"/>
  <c r="G4652" i="19"/>
  <c r="H4652" i="19"/>
  <c r="I4652" i="19"/>
  <c r="J4652" i="19"/>
  <c r="K4652" i="19"/>
  <c r="G4653" i="19"/>
  <c r="H4653" i="19"/>
  <c r="I4653" i="19"/>
  <c r="J4653" i="19"/>
  <c r="K4653" i="19"/>
  <c r="G4654" i="19"/>
  <c r="H4654" i="19"/>
  <c r="I4654" i="19"/>
  <c r="J4654" i="19"/>
  <c r="K4654" i="19"/>
  <c r="G4655" i="19"/>
  <c r="H4655" i="19"/>
  <c r="I4655" i="19"/>
  <c r="J4655" i="19"/>
  <c r="K4655" i="19"/>
  <c r="G4656" i="19"/>
  <c r="H4656" i="19"/>
  <c r="I4656" i="19"/>
  <c r="J4656" i="19"/>
  <c r="K4656" i="19"/>
  <c r="G4657" i="19"/>
  <c r="H4657" i="19"/>
  <c r="I4657" i="19"/>
  <c r="J4657" i="19"/>
  <c r="K4657" i="19"/>
  <c r="G4658" i="19"/>
  <c r="H4658" i="19"/>
  <c r="I4658" i="19"/>
  <c r="J4658" i="19"/>
  <c r="K4658" i="19"/>
  <c r="G4659" i="19"/>
  <c r="H4659" i="19"/>
  <c r="I4659" i="19"/>
  <c r="J4659" i="19"/>
  <c r="K4659" i="19"/>
  <c r="G4660" i="19"/>
  <c r="H4660" i="19"/>
  <c r="I4660" i="19"/>
  <c r="J4660" i="19"/>
  <c r="K4660" i="19"/>
  <c r="G4661" i="19"/>
  <c r="H4661" i="19"/>
  <c r="I4661" i="19"/>
  <c r="J4661" i="19"/>
  <c r="K4661" i="19"/>
  <c r="G4662" i="19"/>
  <c r="H4662" i="19"/>
  <c r="I4662" i="19"/>
  <c r="J4662" i="19"/>
  <c r="K4662" i="19"/>
  <c r="G4663" i="19"/>
  <c r="H4663" i="19"/>
  <c r="I4663" i="19"/>
  <c r="J4663" i="19"/>
  <c r="K4663" i="19"/>
  <c r="G4664" i="19"/>
  <c r="H4664" i="19"/>
  <c r="I4664" i="19"/>
  <c r="J4664" i="19"/>
  <c r="K4664" i="19"/>
  <c r="G4665" i="19"/>
  <c r="H4665" i="19"/>
  <c r="I4665" i="19"/>
  <c r="J4665" i="19"/>
  <c r="K4665" i="19"/>
  <c r="G4666" i="19"/>
  <c r="H4666" i="19"/>
  <c r="I4666" i="19"/>
  <c r="J4666" i="19"/>
  <c r="K4666" i="19"/>
  <c r="G4667" i="19"/>
  <c r="H4667" i="19"/>
  <c r="I4667" i="19"/>
  <c r="J4667" i="19"/>
  <c r="K4667" i="19"/>
  <c r="G4668" i="19"/>
  <c r="H4668" i="19"/>
  <c r="I4668" i="19"/>
  <c r="J4668" i="19"/>
  <c r="K4668" i="19"/>
  <c r="G4669" i="19"/>
  <c r="H4669" i="19"/>
  <c r="I4669" i="19"/>
  <c r="J4669" i="19"/>
  <c r="K4669" i="19"/>
  <c r="G4670" i="19"/>
  <c r="H4670" i="19"/>
  <c r="I4670" i="19"/>
  <c r="J4670" i="19"/>
  <c r="K4670" i="19"/>
  <c r="G4671" i="19"/>
  <c r="H4671" i="19"/>
  <c r="I4671" i="19"/>
  <c r="J4671" i="19"/>
  <c r="K4671" i="19"/>
  <c r="G4672" i="19"/>
  <c r="H4672" i="19"/>
  <c r="I4672" i="19"/>
  <c r="J4672" i="19"/>
  <c r="K4672" i="19"/>
  <c r="H1" i="19"/>
  <c r="I1" i="19"/>
  <c r="J1" i="19"/>
  <c r="K1" i="19"/>
  <c r="G1" i="19"/>
  <c r="A2" i="19"/>
  <c r="G2" i="19" s="1"/>
  <c r="B2" i="19"/>
  <c r="H2" i="19" s="1"/>
  <c r="D2" i="19"/>
  <c r="J2" i="19" s="1"/>
  <c r="A3" i="19"/>
  <c r="G3" i="19" s="1"/>
  <c r="B3" i="19"/>
  <c r="H3" i="19" s="1"/>
  <c r="D3" i="19"/>
  <c r="J3" i="19" s="1"/>
  <c r="A4" i="19"/>
  <c r="G4" i="19" s="1"/>
  <c r="B4" i="19"/>
  <c r="H4" i="19" s="1"/>
  <c r="D4" i="19"/>
  <c r="J4" i="19" s="1"/>
  <c r="A5" i="19"/>
  <c r="G5" i="19" s="1"/>
  <c r="B5" i="19"/>
  <c r="H5" i="19" s="1"/>
  <c r="D5" i="19"/>
  <c r="J5" i="19" s="1"/>
  <c r="A6" i="19"/>
  <c r="G6" i="19" s="1"/>
  <c r="B6" i="19"/>
  <c r="H6" i="19" s="1"/>
  <c r="D6" i="19"/>
  <c r="J6" i="19" s="1"/>
  <c r="A7" i="19"/>
  <c r="G7" i="19" s="1"/>
  <c r="B7" i="19"/>
  <c r="H7" i="19" s="1"/>
  <c r="D7" i="19"/>
  <c r="J7" i="19" s="1"/>
  <c r="A8" i="19"/>
  <c r="G8" i="19" s="1"/>
  <c r="B8" i="19"/>
  <c r="H8" i="19" s="1"/>
  <c r="D8" i="19"/>
  <c r="J8" i="19" s="1"/>
  <c r="A9" i="19"/>
  <c r="G9" i="19" s="1"/>
  <c r="B9" i="19"/>
  <c r="H9" i="19" s="1"/>
  <c r="D9" i="19"/>
  <c r="J9" i="19" s="1"/>
  <c r="A10" i="19"/>
  <c r="G10" i="19" s="1"/>
  <c r="B10" i="19"/>
  <c r="H10" i="19" s="1"/>
  <c r="D10" i="19"/>
  <c r="J10" i="19" s="1"/>
  <c r="A11" i="19"/>
  <c r="G11" i="19" s="1"/>
  <c r="B11" i="19"/>
  <c r="H11" i="19" s="1"/>
  <c r="D11" i="19"/>
  <c r="J11" i="19" s="1"/>
  <c r="A12" i="19"/>
  <c r="G12" i="19" s="1"/>
  <c r="B12" i="19"/>
  <c r="H12" i="19" s="1"/>
  <c r="D12" i="19"/>
  <c r="J12" i="19" s="1"/>
  <c r="A13" i="19"/>
  <c r="G13" i="19" s="1"/>
  <c r="B13" i="19"/>
  <c r="H13" i="19" s="1"/>
  <c r="D13" i="19"/>
  <c r="J13" i="19" s="1"/>
  <c r="A14" i="19"/>
  <c r="G14" i="19" s="1"/>
  <c r="B14" i="19"/>
  <c r="H14" i="19" s="1"/>
  <c r="D14" i="19"/>
  <c r="J14" i="19" s="1"/>
  <c r="A15" i="19"/>
  <c r="G15" i="19" s="1"/>
  <c r="B15" i="19"/>
  <c r="H15" i="19" s="1"/>
  <c r="D15" i="19"/>
  <c r="J15" i="19" s="1"/>
  <c r="A16" i="19"/>
  <c r="G16" i="19" s="1"/>
  <c r="B16" i="19"/>
  <c r="H16" i="19" s="1"/>
  <c r="D16" i="19"/>
  <c r="J16" i="19" s="1"/>
  <c r="A17" i="19"/>
  <c r="G17" i="19" s="1"/>
  <c r="B17" i="19"/>
  <c r="H17" i="19" s="1"/>
  <c r="D17" i="19"/>
  <c r="J17" i="19" s="1"/>
  <c r="A18" i="19"/>
  <c r="G18" i="19" s="1"/>
  <c r="B18" i="19"/>
  <c r="H18" i="19" s="1"/>
  <c r="D18" i="19"/>
  <c r="J18" i="19" s="1"/>
  <c r="A19" i="19"/>
  <c r="G19" i="19" s="1"/>
  <c r="B19" i="19"/>
  <c r="H19" i="19" s="1"/>
  <c r="D19" i="19"/>
  <c r="J19" i="19" s="1"/>
  <c r="A20" i="19"/>
  <c r="G20" i="19" s="1"/>
  <c r="B20" i="19"/>
  <c r="H20" i="19" s="1"/>
  <c r="D20" i="19"/>
  <c r="J20" i="19" s="1"/>
  <c r="A21" i="19"/>
  <c r="G21" i="19" s="1"/>
  <c r="B21" i="19"/>
  <c r="H21" i="19" s="1"/>
  <c r="D21" i="19"/>
  <c r="J21" i="19" s="1"/>
  <c r="A22" i="19"/>
  <c r="G22" i="19" s="1"/>
  <c r="B22" i="19"/>
  <c r="H22" i="19" s="1"/>
  <c r="D22" i="19"/>
  <c r="J22" i="19" s="1"/>
  <c r="A23" i="19"/>
  <c r="G23" i="19" s="1"/>
  <c r="B23" i="19"/>
  <c r="H23" i="19" s="1"/>
  <c r="D23" i="19"/>
  <c r="J23" i="19" s="1"/>
  <c r="A24" i="19"/>
  <c r="G24" i="19" s="1"/>
  <c r="B24" i="19"/>
  <c r="H24" i="19" s="1"/>
  <c r="D24" i="19"/>
  <c r="J24" i="19" s="1"/>
  <c r="A25" i="19"/>
  <c r="G25" i="19" s="1"/>
  <c r="B25" i="19"/>
  <c r="H25" i="19" s="1"/>
  <c r="D25" i="19"/>
  <c r="J25" i="19" s="1"/>
  <c r="A26" i="19"/>
  <c r="G26" i="19" s="1"/>
  <c r="B26" i="19"/>
  <c r="H26" i="19" s="1"/>
  <c r="D26" i="19"/>
  <c r="J26" i="19" s="1"/>
  <c r="A27" i="19"/>
  <c r="G27" i="19" s="1"/>
  <c r="B27" i="19"/>
  <c r="H27" i="19" s="1"/>
  <c r="D27" i="19"/>
  <c r="J27" i="19" s="1"/>
  <c r="A28" i="19"/>
  <c r="G28" i="19" s="1"/>
  <c r="B28" i="19"/>
  <c r="H28" i="19" s="1"/>
  <c r="D28" i="19"/>
  <c r="J28" i="19" s="1"/>
  <c r="A29" i="19"/>
  <c r="G29" i="19" s="1"/>
  <c r="B29" i="19"/>
  <c r="H29" i="19" s="1"/>
  <c r="D29" i="19"/>
  <c r="J29" i="19" s="1"/>
  <c r="A30" i="19"/>
  <c r="G30" i="19" s="1"/>
  <c r="B30" i="19"/>
  <c r="H30" i="19" s="1"/>
  <c r="D30" i="19"/>
  <c r="J30" i="19" s="1"/>
  <c r="A31" i="19"/>
  <c r="G31" i="19" s="1"/>
  <c r="B31" i="19"/>
  <c r="H31" i="19" s="1"/>
  <c r="D31" i="19"/>
  <c r="J31" i="19" s="1"/>
  <c r="A32" i="19"/>
  <c r="G32" i="19" s="1"/>
  <c r="B32" i="19"/>
  <c r="H32" i="19" s="1"/>
  <c r="D32" i="19"/>
  <c r="J32" i="19" s="1"/>
  <c r="A33" i="19"/>
  <c r="G33" i="19" s="1"/>
  <c r="B33" i="19"/>
  <c r="H33" i="19" s="1"/>
  <c r="D33" i="19"/>
  <c r="J33" i="19" s="1"/>
  <c r="A34" i="19"/>
  <c r="G34" i="19" s="1"/>
  <c r="B34" i="19"/>
  <c r="H34" i="19" s="1"/>
  <c r="D34" i="19"/>
  <c r="J34" i="19" s="1"/>
  <c r="A35" i="19"/>
  <c r="G35" i="19" s="1"/>
  <c r="B35" i="19"/>
  <c r="H35" i="19" s="1"/>
  <c r="D35" i="19"/>
  <c r="J35" i="19" s="1"/>
  <c r="A36" i="19"/>
  <c r="G36" i="19" s="1"/>
  <c r="B36" i="19"/>
  <c r="H36" i="19" s="1"/>
  <c r="D36" i="19"/>
  <c r="J36" i="19" s="1"/>
  <c r="A37" i="19"/>
  <c r="G37" i="19" s="1"/>
  <c r="B37" i="19"/>
  <c r="H37" i="19" s="1"/>
  <c r="D37" i="19"/>
  <c r="J37" i="19" s="1"/>
  <c r="A38" i="19"/>
  <c r="G38" i="19" s="1"/>
  <c r="B38" i="19"/>
  <c r="H38" i="19" s="1"/>
  <c r="D38" i="19"/>
  <c r="J38" i="19" s="1"/>
  <c r="A39" i="19"/>
  <c r="G39" i="19" s="1"/>
  <c r="B39" i="19"/>
  <c r="H39" i="19" s="1"/>
  <c r="D39" i="19"/>
  <c r="J39" i="19" s="1"/>
  <c r="A40" i="19"/>
  <c r="G40" i="19" s="1"/>
  <c r="B40" i="19"/>
  <c r="H40" i="19" s="1"/>
  <c r="D40" i="19"/>
  <c r="J40" i="19" s="1"/>
  <c r="A41" i="19"/>
  <c r="G41" i="19" s="1"/>
  <c r="B41" i="19"/>
  <c r="H41" i="19" s="1"/>
  <c r="D41" i="19"/>
  <c r="J41" i="19" s="1"/>
  <c r="A42" i="19"/>
  <c r="G42" i="19" s="1"/>
  <c r="B42" i="19"/>
  <c r="H42" i="19" s="1"/>
  <c r="D42" i="19"/>
  <c r="J42" i="19" s="1"/>
  <c r="A43" i="19"/>
  <c r="G43" i="19" s="1"/>
  <c r="B43" i="19"/>
  <c r="H43" i="19" s="1"/>
  <c r="D43" i="19"/>
  <c r="J43" i="19" s="1"/>
  <c r="A44" i="19"/>
  <c r="G44" i="19" s="1"/>
  <c r="B44" i="19"/>
  <c r="H44" i="19" s="1"/>
  <c r="D44" i="19"/>
  <c r="J44" i="19" s="1"/>
  <c r="A45" i="19"/>
  <c r="G45" i="19" s="1"/>
  <c r="B45" i="19"/>
  <c r="H45" i="19" s="1"/>
  <c r="D45" i="19"/>
  <c r="J45" i="19" s="1"/>
  <c r="A46" i="19"/>
  <c r="G46" i="19" s="1"/>
  <c r="B46" i="19"/>
  <c r="H46" i="19" s="1"/>
  <c r="D46" i="19"/>
  <c r="J46" i="19" s="1"/>
  <c r="A47" i="19"/>
  <c r="G47" i="19" s="1"/>
  <c r="B47" i="19"/>
  <c r="H47" i="19" s="1"/>
  <c r="D47" i="19"/>
  <c r="J47" i="19" s="1"/>
  <c r="A48" i="19"/>
  <c r="G48" i="19" s="1"/>
  <c r="B48" i="19"/>
  <c r="H48" i="19" s="1"/>
  <c r="D48" i="19"/>
  <c r="J48" i="19" s="1"/>
  <c r="A49" i="19"/>
  <c r="G49" i="19" s="1"/>
  <c r="B49" i="19"/>
  <c r="H49" i="19" s="1"/>
  <c r="D49" i="19"/>
  <c r="J49" i="19" s="1"/>
  <c r="A50" i="19"/>
  <c r="G50" i="19" s="1"/>
  <c r="B50" i="19"/>
  <c r="H50" i="19" s="1"/>
  <c r="D50" i="19"/>
  <c r="J50" i="19" s="1"/>
  <c r="A51" i="19"/>
  <c r="G51" i="19" s="1"/>
  <c r="B51" i="19"/>
  <c r="H51" i="19" s="1"/>
  <c r="D51" i="19"/>
  <c r="J51" i="19" s="1"/>
  <c r="A52" i="19"/>
  <c r="G52" i="19" s="1"/>
  <c r="B52" i="19"/>
  <c r="H52" i="19" s="1"/>
  <c r="D52" i="19"/>
  <c r="J52" i="19" s="1"/>
  <c r="A53" i="19"/>
  <c r="G53" i="19" s="1"/>
  <c r="B53" i="19"/>
  <c r="H53" i="19" s="1"/>
  <c r="D53" i="19"/>
  <c r="J53" i="19" s="1"/>
  <c r="A54" i="19"/>
  <c r="G54" i="19" s="1"/>
  <c r="B54" i="19"/>
  <c r="H54" i="19" s="1"/>
  <c r="D54" i="19"/>
  <c r="J54" i="19" s="1"/>
  <c r="A55" i="19"/>
  <c r="G55" i="19" s="1"/>
  <c r="B55" i="19"/>
  <c r="H55" i="19" s="1"/>
  <c r="D55" i="19"/>
  <c r="J55" i="19" s="1"/>
  <c r="A56" i="19"/>
  <c r="G56" i="19" s="1"/>
  <c r="B56" i="19"/>
  <c r="H56" i="19" s="1"/>
  <c r="D56" i="19"/>
  <c r="J56" i="19" s="1"/>
  <c r="A57" i="19"/>
  <c r="G57" i="19" s="1"/>
  <c r="B57" i="19"/>
  <c r="H57" i="19" s="1"/>
  <c r="D57" i="19"/>
  <c r="J57" i="19" s="1"/>
  <c r="A58" i="19"/>
  <c r="G58" i="19" s="1"/>
  <c r="B58" i="19"/>
  <c r="H58" i="19" s="1"/>
  <c r="D58" i="19"/>
  <c r="J58" i="19" s="1"/>
  <c r="A59" i="19"/>
  <c r="G59" i="19" s="1"/>
  <c r="B59" i="19"/>
  <c r="H59" i="19" s="1"/>
  <c r="D59" i="19"/>
  <c r="J59" i="19" s="1"/>
  <c r="A60" i="19"/>
  <c r="G60" i="19" s="1"/>
  <c r="B60" i="19"/>
  <c r="H60" i="19" s="1"/>
  <c r="D60" i="19"/>
  <c r="J60" i="19" s="1"/>
  <c r="A61" i="19"/>
  <c r="G61" i="19" s="1"/>
  <c r="B61" i="19"/>
  <c r="H61" i="19" s="1"/>
  <c r="D61" i="19"/>
  <c r="J61" i="19" s="1"/>
  <c r="A62" i="19"/>
  <c r="G62" i="19" s="1"/>
  <c r="B62" i="19"/>
  <c r="H62" i="19" s="1"/>
  <c r="D62" i="19"/>
  <c r="J62" i="19" s="1"/>
  <c r="A63" i="19"/>
  <c r="G63" i="19" s="1"/>
  <c r="B63" i="19"/>
  <c r="H63" i="19" s="1"/>
  <c r="D63" i="19"/>
  <c r="J63" i="19" s="1"/>
  <c r="A64" i="19"/>
  <c r="G64" i="19" s="1"/>
  <c r="B64" i="19"/>
  <c r="H64" i="19" s="1"/>
  <c r="D64" i="19"/>
  <c r="J64" i="19" s="1"/>
  <c r="A65" i="19"/>
  <c r="G65" i="19" s="1"/>
  <c r="B65" i="19"/>
  <c r="H65" i="19" s="1"/>
  <c r="D65" i="19"/>
  <c r="J65" i="19" s="1"/>
  <c r="A66" i="19"/>
  <c r="G66" i="19" s="1"/>
  <c r="B66" i="19"/>
  <c r="H66" i="19" s="1"/>
  <c r="D66" i="19"/>
  <c r="J66" i="19" s="1"/>
  <c r="A67" i="19"/>
  <c r="G67" i="19" s="1"/>
  <c r="B67" i="19"/>
  <c r="H67" i="19" s="1"/>
  <c r="D67" i="19"/>
  <c r="J67" i="19" s="1"/>
  <c r="A68" i="19"/>
  <c r="G68" i="19" s="1"/>
  <c r="B68" i="19"/>
  <c r="H68" i="19" s="1"/>
  <c r="D68" i="19"/>
  <c r="J68" i="19" s="1"/>
  <c r="A69" i="19"/>
  <c r="G69" i="19" s="1"/>
  <c r="B69" i="19"/>
  <c r="H69" i="19" s="1"/>
  <c r="D69" i="19"/>
  <c r="J69" i="19" s="1"/>
  <c r="A70" i="19"/>
  <c r="G70" i="19" s="1"/>
  <c r="B70" i="19"/>
  <c r="H70" i="19" s="1"/>
  <c r="D70" i="19"/>
  <c r="J70" i="19" s="1"/>
  <c r="A71" i="19"/>
  <c r="G71" i="19" s="1"/>
  <c r="B71" i="19"/>
  <c r="H71" i="19" s="1"/>
  <c r="D71" i="19"/>
  <c r="J71" i="19" s="1"/>
  <c r="A72" i="19"/>
  <c r="G72" i="19" s="1"/>
  <c r="B72" i="19"/>
  <c r="H72" i="19" s="1"/>
  <c r="D72" i="19"/>
  <c r="J72" i="19" s="1"/>
  <c r="A73" i="19"/>
  <c r="G73" i="19" s="1"/>
  <c r="B73" i="19"/>
  <c r="H73" i="19" s="1"/>
  <c r="D73" i="19"/>
  <c r="J73" i="19" s="1"/>
  <c r="A74" i="19"/>
  <c r="G74" i="19" s="1"/>
  <c r="B74" i="19"/>
  <c r="H74" i="19" s="1"/>
  <c r="D74" i="19"/>
  <c r="J74" i="19" s="1"/>
  <c r="A75" i="19"/>
  <c r="G75" i="19" s="1"/>
  <c r="B75" i="19"/>
  <c r="H75" i="19" s="1"/>
  <c r="D75" i="19"/>
  <c r="J75" i="19" s="1"/>
  <c r="A76" i="19"/>
  <c r="G76" i="19" s="1"/>
  <c r="B76" i="19"/>
  <c r="H76" i="19" s="1"/>
  <c r="D76" i="19"/>
  <c r="J76" i="19" s="1"/>
  <c r="A77" i="19"/>
  <c r="G77" i="19" s="1"/>
  <c r="B77" i="19"/>
  <c r="H77" i="19" s="1"/>
  <c r="D77" i="19"/>
  <c r="J77" i="19" s="1"/>
  <c r="A78" i="19"/>
  <c r="G78" i="19" s="1"/>
  <c r="B78" i="19"/>
  <c r="H78" i="19" s="1"/>
  <c r="D78" i="19"/>
  <c r="J78" i="19" s="1"/>
  <c r="A79" i="19"/>
  <c r="G79" i="19" s="1"/>
  <c r="B79" i="19"/>
  <c r="H79" i="19" s="1"/>
  <c r="D79" i="19"/>
  <c r="J79" i="19" s="1"/>
  <c r="A80" i="19"/>
  <c r="G80" i="19" s="1"/>
  <c r="B80" i="19"/>
  <c r="H80" i="19" s="1"/>
  <c r="D80" i="19"/>
  <c r="J80" i="19" s="1"/>
  <c r="A81" i="19"/>
  <c r="G81" i="19" s="1"/>
  <c r="B81" i="19"/>
  <c r="H81" i="19" s="1"/>
  <c r="D81" i="19"/>
  <c r="J81" i="19" s="1"/>
  <c r="A82" i="19"/>
  <c r="G82" i="19" s="1"/>
  <c r="B82" i="19"/>
  <c r="H82" i="19" s="1"/>
  <c r="D82" i="19"/>
  <c r="J82" i="19" s="1"/>
  <c r="A83" i="19"/>
  <c r="G83" i="19" s="1"/>
  <c r="B83" i="19"/>
  <c r="H83" i="19" s="1"/>
  <c r="D83" i="19"/>
  <c r="J83" i="19" s="1"/>
  <c r="A84" i="19"/>
  <c r="G84" i="19" s="1"/>
  <c r="B84" i="19"/>
  <c r="H84" i="19" s="1"/>
  <c r="D84" i="19"/>
  <c r="J84" i="19" s="1"/>
  <c r="A85" i="19"/>
  <c r="G85" i="19" s="1"/>
  <c r="B85" i="19"/>
  <c r="H85" i="19" s="1"/>
  <c r="D85" i="19"/>
  <c r="J85" i="19" s="1"/>
  <c r="A86" i="19"/>
  <c r="G86" i="19" s="1"/>
  <c r="B86" i="19"/>
  <c r="H86" i="19" s="1"/>
  <c r="D86" i="19"/>
  <c r="J86" i="19" s="1"/>
  <c r="A87" i="19"/>
  <c r="G87" i="19" s="1"/>
  <c r="B87" i="19"/>
  <c r="H87" i="19" s="1"/>
  <c r="D87" i="19"/>
  <c r="J87" i="19" s="1"/>
  <c r="A88" i="19"/>
  <c r="G88" i="19" s="1"/>
  <c r="B88" i="19"/>
  <c r="H88" i="19" s="1"/>
  <c r="D88" i="19"/>
  <c r="J88" i="19" s="1"/>
  <c r="A89" i="19"/>
  <c r="G89" i="19" s="1"/>
  <c r="B89" i="19"/>
  <c r="H89" i="19" s="1"/>
  <c r="D89" i="19"/>
  <c r="J89" i="19" s="1"/>
  <c r="A90" i="19"/>
  <c r="G90" i="19" s="1"/>
  <c r="B90" i="19"/>
  <c r="H90" i="19" s="1"/>
  <c r="D90" i="19"/>
  <c r="J90" i="19" s="1"/>
  <c r="A91" i="19"/>
  <c r="G91" i="19" s="1"/>
  <c r="B91" i="19"/>
  <c r="H91" i="19" s="1"/>
  <c r="D91" i="19"/>
  <c r="J91" i="19" s="1"/>
  <c r="A92" i="19"/>
  <c r="G92" i="19" s="1"/>
  <c r="B92" i="19"/>
  <c r="H92" i="19" s="1"/>
  <c r="D92" i="19"/>
  <c r="J92" i="19" s="1"/>
  <c r="A93" i="19"/>
  <c r="G93" i="19" s="1"/>
  <c r="B93" i="19"/>
  <c r="H93" i="19" s="1"/>
  <c r="D93" i="19"/>
  <c r="J93" i="19" s="1"/>
  <c r="A94" i="19"/>
  <c r="G94" i="19" s="1"/>
  <c r="B94" i="19"/>
  <c r="H94" i="19" s="1"/>
  <c r="D94" i="19"/>
  <c r="J94" i="19" s="1"/>
  <c r="A95" i="19"/>
  <c r="G95" i="19" s="1"/>
  <c r="B95" i="19"/>
  <c r="H95" i="19" s="1"/>
  <c r="D95" i="19"/>
  <c r="J95" i="19" s="1"/>
  <c r="A96" i="19"/>
  <c r="G96" i="19" s="1"/>
  <c r="B96" i="19"/>
  <c r="H96" i="19" s="1"/>
  <c r="D96" i="19"/>
  <c r="J96" i="19" s="1"/>
  <c r="A97" i="19"/>
  <c r="G97" i="19" s="1"/>
  <c r="B97" i="19"/>
  <c r="H97" i="19" s="1"/>
  <c r="D97" i="19"/>
  <c r="J97" i="19" s="1"/>
  <c r="A98" i="19"/>
  <c r="G98" i="19" s="1"/>
  <c r="B98" i="19"/>
  <c r="H98" i="19" s="1"/>
  <c r="D98" i="19"/>
  <c r="J98" i="19" s="1"/>
  <c r="A99" i="19"/>
  <c r="G99" i="19" s="1"/>
  <c r="B99" i="19"/>
  <c r="H99" i="19" s="1"/>
  <c r="D99" i="19"/>
  <c r="J99" i="19" s="1"/>
  <c r="A100" i="19"/>
  <c r="G100" i="19" s="1"/>
  <c r="B100" i="19"/>
  <c r="H100" i="19" s="1"/>
  <c r="C100" i="19"/>
  <c r="I100" i="19" s="1"/>
  <c r="D100" i="19"/>
  <c r="J100" i="19" s="1"/>
  <c r="E100" i="19"/>
  <c r="K100" i="19" s="1"/>
  <c r="A101" i="19"/>
  <c r="G101" i="19" s="1"/>
  <c r="B101" i="19"/>
  <c r="H101" i="19" s="1"/>
  <c r="C101" i="19"/>
  <c r="I101" i="19" s="1"/>
  <c r="D101" i="19"/>
  <c r="J101" i="19" s="1"/>
  <c r="E101" i="19"/>
  <c r="K101" i="19" s="1"/>
  <c r="A102" i="19"/>
  <c r="G102" i="19" s="1"/>
  <c r="B102" i="19"/>
  <c r="H102" i="19" s="1"/>
  <c r="C102" i="19"/>
  <c r="I102" i="19" s="1"/>
  <c r="D102" i="19"/>
  <c r="J102" i="19" s="1"/>
  <c r="E102" i="19"/>
  <c r="K102" i="19" s="1"/>
  <c r="A103" i="19"/>
  <c r="G103" i="19" s="1"/>
  <c r="B103" i="19"/>
  <c r="H103" i="19" s="1"/>
  <c r="C103" i="19"/>
  <c r="I103" i="19" s="1"/>
  <c r="D103" i="19"/>
  <c r="J103" i="19" s="1"/>
  <c r="E103" i="19"/>
  <c r="K103" i="19" s="1"/>
  <c r="A104" i="19"/>
  <c r="G104" i="19" s="1"/>
  <c r="B104" i="19"/>
  <c r="H104" i="19" s="1"/>
  <c r="C104" i="19"/>
  <c r="I104" i="19" s="1"/>
  <c r="D104" i="19"/>
  <c r="J104" i="19" s="1"/>
  <c r="E104" i="19"/>
  <c r="K104" i="19" s="1"/>
  <c r="A105" i="19"/>
  <c r="G105" i="19" s="1"/>
  <c r="B105" i="19"/>
  <c r="H105" i="19" s="1"/>
  <c r="C105" i="19"/>
  <c r="I105" i="19" s="1"/>
  <c r="D105" i="19"/>
  <c r="J105" i="19" s="1"/>
  <c r="E105" i="19"/>
  <c r="K105" i="19" s="1"/>
  <c r="A106" i="19"/>
  <c r="G106" i="19" s="1"/>
  <c r="B106" i="19"/>
  <c r="H106" i="19" s="1"/>
  <c r="C106" i="19"/>
  <c r="I106" i="19" s="1"/>
  <c r="D106" i="19"/>
  <c r="J106" i="19" s="1"/>
  <c r="E106" i="19"/>
  <c r="K106" i="19" s="1"/>
  <c r="A107" i="19"/>
  <c r="G107" i="19" s="1"/>
  <c r="B107" i="19"/>
  <c r="H107" i="19" s="1"/>
  <c r="C107" i="19"/>
  <c r="I107" i="19" s="1"/>
  <c r="D107" i="19"/>
  <c r="J107" i="19" s="1"/>
  <c r="E107" i="19"/>
  <c r="K107" i="19" s="1"/>
  <c r="A108" i="19"/>
  <c r="G108" i="19" s="1"/>
  <c r="B108" i="19"/>
  <c r="H108" i="19" s="1"/>
  <c r="C108" i="19"/>
  <c r="I108" i="19" s="1"/>
  <c r="D108" i="19"/>
  <c r="J108" i="19" s="1"/>
  <c r="E108" i="19"/>
  <c r="K108" i="19" s="1"/>
  <c r="A109" i="19"/>
  <c r="G109" i="19" s="1"/>
  <c r="B109" i="19"/>
  <c r="H109" i="19" s="1"/>
  <c r="C109" i="19"/>
  <c r="I109" i="19" s="1"/>
  <c r="D109" i="19"/>
  <c r="J109" i="19" s="1"/>
  <c r="E109" i="19"/>
  <c r="K109" i="19" s="1"/>
  <c r="A110" i="19"/>
  <c r="G110" i="19" s="1"/>
  <c r="B110" i="19"/>
  <c r="H110" i="19" s="1"/>
  <c r="C110" i="19"/>
  <c r="I110" i="19" s="1"/>
  <c r="D110" i="19"/>
  <c r="J110" i="19" s="1"/>
  <c r="E110" i="19"/>
  <c r="K110" i="19" s="1"/>
  <c r="A111" i="19"/>
  <c r="G111" i="19" s="1"/>
  <c r="B111" i="19"/>
  <c r="H111" i="19" s="1"/>
  <c r="C111" i="19"/>
  <c r="I111" i="19" s="1"/>
  <c r="D111" i="19"/>
  <c r="J111" i="19" s="1"/>
  <c r="E111" i="19"/>
  <c r="K111" i="19" s="1"/>
  <c r="A112" i="19"/>
  <c r="G112" i="19" s="1"/>
  <c r="B112" i="19"/>
  <c r="H112" i="19" s="1"/>
  <c r="C112" i="19"/>
  <c r="I112" i="19" s="1"/>
  <c r="D112" i="19"/>
  <c r="J112" i="19" s="1"/>
  <c r="E112" i="19"/>
  <c r="K112" i="19" s="1"/>
  <c r="A113" i="19"/>
  <c r="G113" i="19" s="1"/>
  <c r="B113" i="19"/>
  <c r="H113" i="19" s="1"/>
  <c r="C113" i="19"/>
  <c r="I113" i="19" s="1"/>
  <c r="D113" i="19"/>
  <c r="J113" i="19" s="1"/>
  <c r="E113" i="19"/>
  <c r="K113" i="19" s="1"/>
  <c r="A114" i="19"/>
  <c r="G114" i="19" s="1"/>
  <c r="B114" i="19"/>
  <c r="H114" i="19" s="1"/>
  <c r="C114" i="19"/>
  <c r="I114" i="19" s="1"/>
  <c r="D114" i="19"/>
  <c r="J114" i="19" s="1"/>
  <c r="E114" i="19"/>
  <c r="K114" i="19" s="1"/>
  <c r="A115" i="19"/>
  <c r="G115" i="19" s="1"/>
  <c r="B115" i="19"/>
  <c r="H115" i="19" s="1"/>
  <c r="C115" i="19"/>
  <c r="I115" i="19" s="1"/>
  <c r="D115" i="19"/>
  <c r="J115" i="19" s="1"/>
  <c r="E115" i="19"/>
  <c r="K115" i="19" s="1"/>
  <c r="A116" i="19"/>
  <c r="G116" i="19" s="1"/>
  <c r="B116" i="19"/>
  <c r="H116" i="19" s="1"/>
  <c r="C116" i="19"/>
  <c r="I116" i="19" s="1"/>
  <c r="D116" i="19"/>
  <c r="J116" i="19" s="1"/>
  <c r="E116" i="19"/>
  <c r="K116" i="19" s="1"/>
  <c r="A117" i="19"/>
  <c r="G117" i="19" s="1"/>
  <c r="B117" i="19"/>
  <c r="H117" i="19" s="1"/>
  <c r="C117" i="19"/>
  <c r="I117" i="19" s="1"/>
  <c r="D117" i="19"/>
  <c r="J117" i="19" s="1"/>
  <c r="E117" i="19"/>
  <c r="K117" i="19" s="1"/>
  <c r="A118" i="19"/>
  <c r="G118" i="19" s="1"/>
  <c r="B118" i="19"/>
  <c r="H118" i="19" s="1"/>
  <c r="C118" i="19"/>
  <c r="I118" i="19" s="1"/>
  <c r="D118" i="19"/>
  <c r="J118" i="19" s="1"/>
  <c r="E118" i="19"/>
  <c r="K118" i="19" s="1"/>
  <c r="A119" i="19"/>
  <c r="G119" i="19" s="1"/>
  <c r="B119" i="19"/>
  <c r="H119" i="19" s="1"/>
  <c r="C119" i="19"/>
  <c r="I119" i="19" s="1"/>
  <c r="D119" i="19"/>
  <c r="J119" i="19" s="1"/>
  <c r="E119" i="19"/>
  <c r="K119" i="19" s="1"/>
  <c r="A120" i="19"/>
  <c r="G120" i="19" s="1"/>
  <c r="B120" i="19"/>
  <c r="H120" i="19" s="1"/>
  <c r="C120" i="19"/>
  <c r="I120" i="19" s="1"/>
  <c r="D120" i="19"/>
  <c r="J120" i="19" s="1"/>
  <c r="E120" i="19"/>
  <c r="K120" i="19" s="1"/>
  <c r="A121" i="19"/>
  <c r="G121" i="19" s="1"/>
  <c r="B121" i="19"/>
  <c r="H121" i="19" s="1"/>
  <c r="C121" i="19"/>
  <c r="I121" i="19" s="1"/>
  <c r="D121" i="19"/>
  <c r="J121" i="19" s="1"/>
  <c r="E121" i="19"/>
  <c r="K121" i="19" s="1"/>
  <c r="A122" i="19"/>
  <c r="G122" i="19" s="1"/>
  <c r="B122" i="19"/>
  <c r="H122" i="19" s="1"/>
  <c r="C122" i="19"/>
  <c r="I122" i="19" s="1"/>
  <c r="D122" i="19"/>
  <c r="J122" i="19" s="1"/>
  <c r="E122" i="19"/>
  <c r="K122" i="19" s="1"/>
  <c r="A123" i="19"/>
  <c r="G123" i="19" s="1"/>
  <c r="B123" i="19"/>
  <c r="H123" i="19" s="1"/>
  <c r="C123" i="19"/>
  <c r="I123" i="19" s="1"/>
  <c r="D123" i="19"/>
  <c r="J123" i="19" s="1"/>
  <c r="E123" i="19"/>
  <c r="K123" i="19" s="1"/>
  <c r="A124" i="19"/>
  <c r="G124" i="19" s="1"/>
  <c r="B124" i="19"/>
  <c r="H124" i="19" s="1"/>
  <c r="C124" i="19"/>
  <c r="I124" i="19" s="1"/>
  <c r="D124" i="19"/>
  <c r="J124" i="19" s="1"/>
  <c r="E124" i="19"/>
  <c r="K124" i="19" s="1"/>
  <c r="A125" i="19"/>
  <c r="G125" i="19" s="1"/>
  <c r="B125" i="19"/>
  <c r="H125" i="19" s="1"/>
  <c r="C125" i="19"/>
  <c r="I125" i="19" s="1"/>
  <c r="D125" i="19"/>
  <c r="J125" i="19" s="1"/>
  <c r="E125" i="19"/>
  <c r="K125" i="19" s="1"/>
  <c r="A126" i="19"/>
  <c r="G126" i="19" s="1"/>
  <c r="B126" i="19"/>
  <c r="H126" i="19" s="1"/>
  <c r="C126" i="19"/>
  <c r="I126" i="19" s="1"/>
  <c r="D126" i="19"/>
  <c r="J126" i="19" s="1"/>
  <c r="E126" i="19"/>
  <c r="K126" i="19" s="1"/>
  <c r="A127" i="19"/>
  <c r="G127" i="19" s="1"/>
  <c r="B127" i="19"/>
  <c r="H127" i="19" s="1"/>
  <c r="C127" i="19"/>
  <c r="I127" i="19" s="1"/>
  <c r="D127" i="19"/>
  <c r="J127" i="19" s="1"/>
  <c r="E127" i="19"/>
  <c r="K127" i="19" s="1"/>
  <c r="A128" i="19"/>
  <c r="G128" i="19" s="1"/>
  <c r="B128" i="19"/>
  <c r="H128" i="19" s="1"/>
  <c r="C128" i="19"/>
  <c r="I128" i="19" s="1"/>
  <c r="D128" i="19"/>
  <c r="J128" i="19" s="1"/>
  <c r="E128" i="19"/>
  <c r="K128" i="19" s="1"/>
  <c r="A129" i="19"/>
  <c r="G129" i="19" s="1"/>
  <c r="B129" i="19"/>
  <c r="H129" i="19" s="1"/>
  <c r="C129" i="19"/>
  <c r="I129" i="19" s="1"/>
  <c r="D129" i="19"/>
  <c r="J129" i="19" s="1"/>
  <c r="E129" i="19"/>
  <c r="K129" i="19" s="1"/>
  <c r="A130" i="19"/>
  <c r="G130" i="19" s="1"/>
  <c r="B130" i="19"/>
  <c r="H130" i="19" s="1"/>
  <c r="C130" i="19"/>
  <c r="I130" i="19" s="1"/>
  <c r="D130" i="19"/>
  <c r="J130" i="19" s="1"/>
  <c r="E130" i="19"/>
  <c r="K130" i="19" s="1"/>
  <c r="A131" i="19"/>
  <c r="G131" i="19" s="1"/>
  <c r="B131" i="19"/>
  <c r="H131" i="19" s="1"/>
  <c r="C131" i="19"/>
  <c r="I131" i="19" s="1"/>
  <c r="D131" i="19"/>
  <c r="J131" i="19" s="1"/>
  <c r="E131" i="19"/>
  <c r="K131" i="19" s="1"/>
  <c r="A132" i="19"/>
  <c r="G132" i="19" s="1"/>
  <c r="B132" i="19"/>
  <c r="H132" i="19" s="1"/>
  <c r="C132" i="19"/>
  <c r="I132" i="19" s="1"/>
  <c r="D132" i="19"/>
  <c r="J132" i="19" s="1"/>
  <c r="E132" i="19"/>
  <c r="K132" i="19" s="1"/>
  <c r="A133" i="19"/>
  <c r="G133" i="19" s="1"/>
  <c r="B133" i="19"/>
  <c r="H133" i="19" s="1"/>
  <c r="C133" i="19"/>
  <c r="I133" i="19" s="1"/>
  <c r="D133" i="19"/>
  <c r="J133" i="19" s="1"/>
  <c r="E133" i="19"/>
  <c r="K133" i="19" s="1"/>
  <c r="A134" i="19"/>
  <c r="G134" i="19" s="1"/>
  <c r="B134" i="19"/>
  <c r="H134" i="19" s="1"/>
  <c r="C134" i="19"/>
  <c r="I134" i="19" s="1"/>
  <c r="D134" i="19"/>
  <c r="J134" i="19" s="1"/>
  <c r="E134" i="19"/>
  <c r="K134" i="19" s="1"/>
  <c r="A135" i="19"/>
  <c r="G135" i="19" s="1"/>
  <c r="B135" i="19"/>
  <c r="H135" i="19" s="1"/>
  <c r="C135" i="19"/>
  <c r="I135" i="19" s="1"/>
  <c r="D135" i="19"/>
  <c r="J135" i="19" s="1"/>
  <c r="E135" i="19"/>
  <c r="K135" i="19" s="1"/>
  <c r="A136" i="19"/>
  <c r="G136" i="19" s="1"/>
  <c r="B136" i="19"/>
  <c r="H136" i="19" s="1"/>
  <c r="C136" i="19"/>
  <c r="I136" i="19" s="1"/>
  <c r="D136" i="19"/>
  <c r="J136" i="19" s="1"/>
  <c r="E136" i="19"/>
  <c r="K136" i="19" s="1"/>
  <c r="A137" i="19"/>
  <c r="G137" i="19" s="1"/>
  <c r="B137" i="19"/>
  <c r="H137" i="19" s="1"/>
  <c r="C137" i="19"/>
  <c r="I137" i="19" s="1"/>
  <c r="D137" i="19"/>
  <c r="J137" i="19" s="1"/>
  <c r="E137" i="19"/>
  <c r="K137" i="19" s="1"/>
  <c r="A138" i="19"/>
  <c r="G138" i="19" s="1"/>
  <c r="B138" i="19"/>
  <c r="H138" i="19" s="1"/>
  <c r="C138" i="19"/>
  <c r="I138" i="19" s="1"/>
  <c r="D138" i="19"/>
  <c r="J138" i="19" s="1"/>
  <c r="E138" i="19"/>
  <c r="K138" i="19" s="1"/>
  <c r="A139" i="19"/>
  <c r="G139" i="19" s="1"/>
  <c r="B139" i="19"/>
  <c r="H139" i="19" s="1"/>
  <c r="C139" i="19"/>
  <c r="I139" i="19" s="1"/>
  <c r="D139" i="19"/>
  <c r="J139" i="19" s="1"/>
  <c r="E139" i="19"/>
  <c r="K139" i="19" s="1"/>
  <c r="A140" i="19"/>
  <c r="G140" i="19" s="1"/>
  <c r="B140" i="19"/>
  <c r="H140" i="19" s="1"/>
  <c r="C140" i="19"/>
  <c r="I140" i="19" s="1"/>
  <c r="D140" i="19"/>
  <c r="J140" i="19" s="1"/>
  <c r="E140" i="19"/>
  <c r="K140" i="19" s="1"/>
  <c r="A141" i="19"/>
  <c r="G141" i="19" s="1"/>
  <c r="B141" i="19"/>
  <c r="H141" i="19" s="1"/>
  <c r="C141" i="19"/>
  <c r="I141" i="19" s="1"/>
  <c r="D141" i="19"/>
  <c r="J141" i="19" s="1"/>
  <c r="E141" i="19"/>
  <c r="K141" i="19" s="1"/>
  <c r="A142" i="19"/>
  <c r="G142" i="19" s="1"/>
  <c r="B142" i="19"/>
  <c r="H142" i="19" s="1"/>
  <c r="C142" i="19"/>
  <c r="I142" i="19" s="1"/>
  <c r="D142" i="19"/>
  <c r="J142" i="19" s="1"/>
  <c r="E142" i="19"/>
  <c r="K142" i="19" s="1"/>
  <c r="A143" i="19"/>
  <c r="G143" i="19" s="1"/>
  <c r="B143" i="19"/>
  <c r="H143" i="19" s="1"/>
  <c r="C143" i="19"/>
  <c r="I143" i="19" s="1"/>
  <c r="D143" i="19"/>
  <c r="J143" i="19" s="1"/>
  <c r="E143" i="19"/>
  <c r="K143" i="19" s="1"/>
  <c r="A144" i="19"/>
  <c r="G144" i="19" s="1"/>
  <c r="B144" i="19"/>
  <c r="H144" i="19" s="1"/>
  <c r="C144" i="19"/>
  <c r="I144" i="19" s="1"/>
  <c r="D144" i="19"/>
  <c r="J144" i="19" s="1"/>
  <c r="E144" i="19"/>
  <c r="K144" i="19" s="1"/>
  <c r="A145" i="19"/>
  <c r="G145" i="19" s="1"/>
  <c r="B145" i="19"/>
  <c r="H145" i="19" s="1"/>
  <c r="C145" i="19"/>
  <c r="I145" i="19" s="1"/>
  <c r="D145" i="19"/>
  <c r="J145" i="19" s="1"/>
  <c r="E145" i="19"/>
  <c r="K145" i="19" s="1"/>
  <c r="A146" i="19"/>
  <c r="G146" i="19" s="1"/>
  <c r="B146" i="19"/>
  <c r="H146" i="19" s="1"/>
  <c r="C146" i="19"/>
  <c r="I146" i="19" s="1"/>
  <c r="D146" i="19"/>
  <c r="J146" i="19" s="1"/>
  <c r="E146" i="19"/>
  <c r="K146" i="19" s="1"/>
  <c r="A147" i="19"/>
  <c r="G147" i="19" s="1"/>
  <c r="B147" i="19"/>
  <c r="H147" i="19" s="1"/>
  <c r="C147" i="19"/>
  <c r="I147" i="19" s="1"/>
  <c r="D147" i="19"/>
  <c r="J147" i="19" s="1"/>
  <c r="E147" i="19"/>
  <c r="K147" i="19" s="1"/>
  <c r="A148" i="19"/>
  <c r="G148" i="19" s="1"/>
  <c r="B148" i="19"/>
  <c r="H148" i="19" s="1"/>
  <c r="C148" i="19"/>
  <c r="I148" i="19" s="1"/>
  <c r="D148" i="19"/>
  <c r="J148" i="19" s="1"/>
  <c r="E148" i="19"/>
  <c r="K148" i="19" s="1"/>
  <c r="A149" i="19"/>
  <c r="G149" i="19" s="1"/>
  <c r="B149" i="19"/>
  <c r="H149" i="19" s="1"/>
  <c r="C149" i="19"/>
  <c r="I149" i="19" s="1"/>
  <c r="D149" i="19"/>
  <c r="J149" i="19" s="1"/>
  <c r="E149" i="19"/>
  <c r="K149" i="19" s="1"/>
  <c r="A150" i="19"/>
  <c r="G150" i="19" s="1"/>
  <c r="B150" i="19"/>
  <c r="H150" i="19" s="1"/>
  <c r="C150" i="19"/>
  <c r="I150" i="19" s="1"/>
  <c r="D150" i="19"/>
  <c r="J150" i="19" s="1"/>
  <c r="E150" i="19"/>
  <c r="K150" i="19" s="1"/>
  <c r="A151" i="19"/>
  <c r="G151" i="19" s="1"/>
  <c r="B151" i="19"/>
  <c r="H151" i="19" s="1"/>
  <c r="C151" i="19"/>
  <c r="I151" i="19" s="1"/>
  <c r="D151" i="19"/>
  <c r="J151" i="19" s="1"/>
  <c r="E151" i="19"/>
  <c r="K151" i="19" s="1"/>
  <c r="A152" i="19"/>
  <c r="G152" i="19" s="1"/>
  <c r="B152" i="19"/>
  <c r="H152" i="19" s="1"/>
  <c r="C152" i="19"/>
  <c r="I152" i="19" s="1"/>
  <c r="D152" i="19"/>
  <c r="J152" i="19" s="1"/>
  <c r="E152" i="19"/>
  <c r="K152" i="19" s="1"/>
  <c r="A153" i="19"/>
  <c r="G153" i="19" s="1"/>
  <c r="B153" i="19"/>
  <c r="H153" i="19" s="1"/>
  <c r="C153" i="19"/>
  <c r="I153" i="19" s="1"/>
  <c r="D153" i="19"/>
  <c r="J153" i="19" s="1"/>
  <c r="E153" i="19"/>
  <c r="K153" i="19" s="1"/>
  <c r="A154" i="19"/>
  <c r="G154" i="19" s="1"/>
  <c r="B154" i="19"/>
  <c r="H154" i="19" s="1"/>
  <c r="C154" i="19"/>
  <c r="I154" i="19" s="1"/>
  <c r="D154" i="19"/>
  <c r="J154" i="19" s="1"/>
  <c r="E154" i="19"/>
  <c r="K154" i="19" s="1"/>
  <c r="A155" i="19"/>
  <c r="G155" i="19" s="1"/>
  <c r="B155" i="19"/>
  <c r="H155" i="19" s="1"/>
  <c r="C155" i="19"/>
  <c r="I155" i="19" s="1"/>
  <c r="D155" i="19"/>
  <c r="J155" i="19" s="1"/>
  <c r="E155" i="19"/>
  <c r="K155" i="19" s="1"/>
  <c r="A156" i="19"/>
  <c r="G156" i="19" s="1"/>
  <c r="B156" i="19"/>
  <c r="H156" i="19" s="1"/>
  <c r="C156" i="19"/>
  <c r="I156" i="19" s="1"/>
  <c r="D156" i="19"/>
  <c r="J156" i="19" s="1"/>
  <c r="E156" i="19"/>
  <c r="K156" i="19" s="1"/>
  <c r="A157" i="19"/>
  <c r="G157" i="19" s="1"/>
  <c r="B157" i="19"/>
  <c r="H157" i="19" s="1"/>
  <c r="C157" i="19"/>
  <c r="I157" i="19" s="1"/>
  <c r="D157" i="19"/>
  <c r="J157" i="19" s="1"/>
  <c r="E157" i="19"/>
  <c r="K157" i="19" s="1"/>
  <c r="A158" i="19"/>
  <c r="G158" i="19" s="1"/>
  <c r="B158" i="19"/>
  <c r="H158" i="19" s="1"/>
  <c r="C158" i="19"/>
  <c r="I158" i="19" s="1"/>
  <c r="D158" i="19"/>
  <c r="J158" i="19" s="1"/>
  <c r="E158" i="19"/>
  <c r="K158" i="19" s="1"/>
  <c r="A159" i="19"/>
  <c r="G159" i="19" s="1"/>
  <c r="B159" i="19"/>
  <c r="H159" i="19" s="1"/>
  <c r="C159" i="19"/>
  <c r="I159" i="19" s="1"/>
  <c r="D159" i="19"/>
  <c r="J159" i="19" s="1"/>
  <c r="E159" i="19"/>
  <c r="K159" i="19" s="1"/>
  <c r="A160" i="19"/>
  <c r="G160" i="19" s="1"/>
  <c r="B160" i="19"/>
  <c r="H160" i="19" s="1"/>
  <c r="C160" i="19"/>
  <c r="I160" i="19" s="1"/>
  <c r="D160" i="19"/>
  <c r="J160" i="19" s="1"/>
  <c r="E160" i="19"/>
  <c r="K160" i="19" s="1"/>
  <c r="A161" i="19"/>
  <c r="G161" i="19" s="1"/>
  <c r="B161" i="19"/>
  <c r="H161" i="19" s="1"/>
  <c r="C161" i="19"/>
  <c r="I161" i="19" s="1"/>
  <c r="D161" i="19"/>
  <c r="J161" i="19" s="1"/>
  <c r="E161" i="19"/>
  <c r="K161" i="19" s="1"/>
  <c r="A162" i="19"/>
  <c r="G162" i="19" s="1"/>
  <c r="B162" i="19"/>
  <c r="H162" i="19" s="1"/>
  <c r="C162" i="19"/>
  <c r="I162" i="19" s="1"/>
  <c r="D162" i="19"/>
  <c r="J162" i="19" s="1"/>
  <c r="E162" i="19"/>
  <c r="K162" i="19" s="1"/>
  <c r="A163" i="19"/>
  <c r="G163" i="19" s="1"/>
  <c r="B163" i="19"/>
  <c r="H163" i="19" s="1"/>
  <c r="C163" i="19"/>
  <c r="I163" i="19" s="1"/>
  <c r="D163" i="19"/>
  <c r="J163" i="19" s="1"/>
  <c r="E163" i="19"/>
  <c r="K163" i="19" s="1"/>
  <c r="A164" i="19"/>
  <c r="G164" i="19" s="1"/>
  <c r="B164" i="19"/>
  <c r="H164" i="19" s="1"/>
  <c r="C164" i="19"/>
  <c r="I164" i="19" s="1"/>
  <c r="D164" i="19"/>
  <c r="J164" i="19" s="1"/>
  <c r="E164" i="19"/>
  <c r="K164" i="19" s="1"/>
  <c r="A165" i="19"/>
  <c r="G165" i="19" s="1"/>
  <c r="B165" i="19"/>
  <c r="H165" i="19" s="1"/>
  <c r="C165" i="19"/>
  <c r="I165" i="19" s="1"/>
  <c r="D165" i="19"/>
  <c r="J165" i="19" s="1"/>
  <c r="E165" i="19"/>
  <c r="K165" i="19" s="1"/>
  <c r="A166" i="19"/>
  <c r="G166" i="19" s="1"/>
  <c r="B166" i="19"/>
  <c r="H166" i="19" s="1"/>
  <c r="C166" i="19"/>
  <c r="I166" i="19" s="1"/>
  <c r="D166" i="19"/>
  <c r="J166" i="19" s="1"/>
  <c r="E166" i="19"/>
  <c r="K166" i="19" s="1"/>
  <c r="A167" i="19"/>
  <c r="G167" i="19" s="1"/>
  <c r="B167" i="19"/>
  <c r="H167" i="19" s="1"/>
  <c r="C167" i="19"/>
  <c r="I167" i="19" s="1"/>
  <c r="D167" i="19"/>
  <c r="J167" i="19" s="1"/>
  <c r="E167" i="19"/>
  <c r="K167" i="19" s="1"/>
  <c r="A168" i="19"/>
  <c r="G168" i="19" s="1"/>
  <c r="B168" i="19"/>
  <c r="H168" i="19" s="1"/>
  <c r="C168" i="19"/>
  <c r="I168" i="19" s="1"/>
  <c r="D168" i="19"/>
  <c r="J168" i="19" s="1"/>
  <c r="E168" i="19"/>
  <c r="K168" i="19" s="1"/>
  <c r="A169" i="19"/>
  <c r="G169" i="19" s="1"/>
  <c r="B169" i="19"/>
  <c r="H169" i="19" s="1"/>
  <c r="C169" i="19"/>
  <c r="I169" i="19" s="1"/>
  <c r="D169" i="19"/>
  <c r="J169" i="19" s="1"/>
  <c r="E169" i="19"/>
  <c r="K169" i="19" s="1"/>
  <c r="A170" i="19"/>
  <c r="G170" i="19" s="1"/>
  <c r="B170" i="19"/>
  <c r="H170" i="19" s="1"/>
  <c r="C170" i="19"/>
  <c r="I170" i="19" s="1"/>
  <c r="D170" i="19"/>
  <c r="J170" i="19" s="1"/>
  <c r="E170" i="19"/>
  <c r="K170" i="19" s="1"/>
  <c r="A171" i="19"/>
  <c r="G171" i="19" s="1"/>
  <c r="B171" i="19"/>
  <c r="H171" i="19" s="1"/>
  <c r="C171" i="19"/>
  <c r="I171" i="19" s="1"/>
  <c r="D171" i="19"/>
  <c r="J171" i="19" s="1"/>
  <c r="E171" i="19"/>
  <c r="K171" i="19" s="1"/>
  <c r="A172" i="19"/>
  <c r="G172" i="19" s="1"/>
  <c r="B172" i="19"/>
  <c r="H172" i="19" s="1"/>
  <c r="C172" i="19"/>
  <c r="I172" i="19" s="1"/>
  <c r="D172" i="19"/>
  <c r="J172" i="19" s="1"/>
  <c r="E172" i="19"/>
  <c r="K172" i="19" s="1"/>
  <c r="A173" i="19"/>
  <c r="G173" i="19" s="1"/>
  <c r="B173" i="19"/>
  <c r="H173" i="19" s="1"/>
  <c r="C173" i="19"/>
  <c r="I173" i="19" s="1"/>
  <c r="D173" i="19"/>
  <c r="J173" i="19" s="1"/>
  <c r="E173" i="19"/>
  <c r="K173" i="19" s="1"/>
  <c r="A174" i="19"/>
  <c r="G174" i="19" s="1"/>
  <c r="B174" i="19"/>
  <c r="H174" i="19" s="1"/>
  <c r="C174" i="19"/>
  <c r="I174" i="19" s="1"/>
  <c r="D174" i="19"/>
  <c r="J174" i="19" s="1"/>
  <c r="E174" i="19"/>
  <c r="K174" i="19" s="1"/>
  <c r="A175" i="19"/>
  <c r="G175" i="19" s="1"/>
  <c r="B175" i="19"/>
  <c r="H175" i="19" s="1"/>
  <c r="C175" i="19"/>
  <c r="I175" i="19" s="1"/>
  <c r="D175" i="19"/>
  <c r="J175" i="19" s="1"/>
  <c r="E175" i="19"/>
  <c r="K175" i="19" s="1"/>
  <c r="A176" i="19"/>
  <c r="G176" i="19" s="1"/>
  <c r="B176" i="19"/>
  <c r="H176" i="19" s="1"/>
  <c r="C176" i="19"/>
  <c r="I176" i="19" s="1"/>
  <c r="D176" i="19"/>
  <c r="J176" i="19" s="1"/>
  <c r="E176" i="19"/>
  <c r="K176" i="19" s="1"/>
  <c r="A177" i="19"/>
  <c r="G177" i="19" s="1"/>
  <c r="B177" i="19"/>
  <c r="H177" i="19" s="1"/>
  <c r="C177" i="19"/>
  <c r="I177" i="19" s="1"/>
  <c r="D177" i="19"/>
  <c r="J177" i="19" s="1"/>
  <c r="E177" i="19"/>
  <c r="K177" i="19" s="1"/>
  <c r="A178" i="19"/>
  <c r="G178" i="19" s="1"/>
  <c r="B178" i="19"/>
  <c r="H178" i="19" s="1"/>
  <c r="C178" i="19"/>
  <c r="I178" i="19" s="1"/>
  <c r="D178" i="19"/>
  <c r="J178" i="19" s="1"/>
  <c r="E178" i="19"/>
  <c r="K178" i="19" s="1"/>
  <c r="A179" i="19"/>
  <c r="G179" i="19" s="1"/>
  <c r="B179" i="19"/>
  <c r="H179" i="19" s="1"/>
  <c r="C179" i="19"/>
  <c r="I179" i="19" s="1"/>
  <c r="D179" i="19"/>
  <c r="J179" i="19" s="1"/>
  <c r="E179" i="19"/>
  <c r="K179" i="19" s="1"/>
  <c r="A180" i="19"/>
  <c r="G180" i="19" s="1"/>
  <c r="B180" i="19"/>
  <c r="H180" i="19" s="1"/>
  <c r="C180" i="19"/>
  <c r="I180" i="19" s="1"/>
  <c r="D180" i="19"/>
  <c r="J180" i="19" s="1"/>
  <c r="E180" i="19"/>
  <c r="K180" i="19" s="1"/>
  <c r="A181" i="19"/>
  <c r="G181" i="19" s="1"/>
  <c r="B181" i="19"/>
  <c r="H181" i="19" s="1"/>
  <c r="C181" i="19"/>
  <c r="I181" i="19" s="1"/>
  <c r="D181" i="19"/>
  <c r="J181" i="19" s="1"/>
  <c r="E181" i="19"/>
  <c r="K181" i="19" s="1"/>
  <c r="A182" i="19"/>
  <c r="G182" i="19" s="1"/>
  <c r="B182" i="19"/>
  <c r="H182" i="19" s="1"/>
  <c r="C182" i="19"/>
  <c r="I182" i="19" s="1"/>
  <c r="D182" i="19"/>
  <c r="J182" i="19" s="1"/>
  <c r="E182" i="19"/>
  <c r="K182" i="19" s="1"/>
  <c r="A183" i="19"/>
  <c r="G183" i="19" s="1"/>
  <c r="B183" i="19"/>
  <c r="H183" i="19" s="1"/>
  <c r="C183" i="19"/>
  <c r="I183" i="19" s="1"/>
  <c r="D183" i="19"/>
  <c r="J183" i="19" s="1"/>
  <c r="E183" i="19"/>
  <c r="K183" i="19" s="1"/>
  <c r="A184" i="19"/>
  <c r="G184" i="19" s="1"/>
  <c r="B184" i="19"/>
  <c r="H184" i="19" s="1"/>
  <c r="C184" i="19"/>
  <c r="I184" i="19" s="1"/>
  <c r="D184" i="19"/>
  <c r="J184" i="19" s="1"/>
  <c r="E184" i="19"/>
  <c r="K184" i="19" s="1"/>
  <c r="A185" i="19"/>
  <c r="G185" i="19" s="1"/>
  <c r="B185" i="19"/>
  <c r="H185" i="19" s="1"/>
  <c r="C185" i="19"/>
  <c r="I185" i="19" s="1"/>
  <c r="D185" i="19"/>
  <c r="J185" i="19" s="1"/>
  <c r="E185" i="19"/>
  <c r="K185" i="19" s="1"/>
  <c r="A186" i="19"/>
  <c r="G186" i="19" s="1"/>
  <c r="B186" i="19"/>
  <c r="H186" i="19" s="1"/>
  <c r="C186" i="19"/>
  <c r="I186" i="19" s="1"/>
  <c r="D186" i="19"/>
  <c r="J186" i="19" s="1"/>
  <c r="E186" i="19"/>
  <c r="K186" i="19" s="1"/>
  <c r="A187" i="19"/>
  <c r="G187" i="19" s="1"/>
  <c r="B187" i="19"/>
  <c r="H187" i="19" s="1"/>
  <c r="C187" i="19"/>
  <c r="I187" i="19" s="1"/>
  <c r="D187" i="19"/>
  <c r="J187" i="19" s="1"/>
  <c r="E187" i="19"/>
  <c r="K187" i="19" s="1"/>
  <c r="A188" i="19"/>
  <c r="G188" i="19" s="1"/>
  <c r="B188" i="19"/>
  <c r="H188" i="19" s="1"/>
  <c r="C188" i="19"/>
  <c r="I188" i="19" s="1"/>
  <c r="D188" i="19"/>
  <c r="J188" i="19" s="1"/>
  <c r="E188" i="19"/>
  <c r="K188" i="19" s="1"/>
  <c r="A189" i="19"/>
  <c r="G189" i="19" s="1"/>
  <c r="B189" i="19"/>
  <c r="H189" i="19" s="1"/>
  <c r="C189" i="19"/>
  <c r="I189" i="19" s="1"/>
  <c r="D189" i="19"/>
  <c r="J189" i="19" s="1"/>
  <c r="E189" i="19"/>
  <c r="K189" i="19" s="1"/>
  <c r="A190" i="19"/>
  <c r="G190" i="19" s="1"/>
  <c r="B190" i="19"/>
  <c r="H190" i="19" s="1"/>
  <c r="C190" i="19"/>
  <c r="I190" i="19" s="1"/>
  <c r="D190" i="19"/>
  <c r="J190" i="19" s="1"/>
  <c r="E190" i="19"/>
  <c r="K190" i="19" s="1"/>
  <c r="A191" i="19"/>
  <c r="G191" i="19" s="1"/>
  <c r="B191" i="19"/>
  <c r="H191" i="19" s="1"/>
  <c r="C191" i="19"/>
  <c r="I191" i="19" s="1"/>
  <c r="D191" i="19"/>
  <c r="J191" i="19" s="1"/>
  <c r="E191" i="19"/>
  <c r="K191" i="19" s="1"/>
  <c r="A192" i="19"/>
  <c r="G192" i="19" s="1"/>
  <c r="B192" i="19"/>
  <c r="H192" i="19" s="1"/>
  <c r="C192" i="19"/>
  <c r="I192" i="19" s="1"/>
  <c r="D192" i="19"/>
  <c r="J192" i="19" s="1"/>
  <c r="E192" i="19"/>
  <c r="K192" i="19" s="1"/>
  <c r="A193" i="19"/>
  <c r="G193" i="19" s="1"/>
  <c r="B193" i="19"/>
  <c r="H193" i="19" s="1"/>
  <c r="C193" i="19"/>
  <c r="I193" i="19" s="1"/>
  <c r="D193" i="19"/>
  <c r="J193" i="19" s="1"/>
  <c r="E193" i="19"/>
  <c r="K193" i="19" s="1"/>
  <c r="A194" i="19"/>
  <c r="G194" i="19" s="1"/>
  <c r="B194" i="19"/>
  <c r="H194" i="19" s="1"/>
  <c r="C194" i="19"/>
  <c r="I194" i="19" s="1"/>
  <c r="D194" i="19"/>
  <c r="J194" i="19" s="1"/>
  <c r="E194" i="19"/>
  <c r="K194" i="19" s="1"/>
  <c r="A195" i="19"/>
  <c r="G195" i="19" s="1"/>
  <c r="B195" i="19"/>
  <c r="H195" i="19" s="1"/>
  <c r="C195" i="19"/>
  <c r="I195" i="19" s="1"/>
  <c r="D195" i="19"/>
  <c r="J195" i="19" s="1"/>
  <c r="E195" i="19"/>
  <c r="K195" i="19" s="1"/>
  <c r="A196" i="19"/>
  <c r="G196" i="19" s="1"/>
  <c r="B196" i="19"/>
  <c r="H196" i="19" s="1"/>
  <c r="C196" i="19"/>
  <c r="I196" i="19" s="1"/>
  <c r="D196" i="19"/>
  <c r="J196" i="19" s="1"/>
  <c r="E196" i="19"/>
  <c r="K196" i="19" s="1"/>
  <c r="A197" i="19"/>
  <c r="G197" i="19" s="1"/>
  <c r="B197" i="19"/>
  <c r="H197" i="19" s="1"/>
  <c r="C197" i="19"/>
  <c r="I197" i="19" s="1"/>
  <c r="D197" i="19"/>
  <c r="J197" i="19" s="1"/>
  <c r="E197" i="19"/>
  <c r="K197" i="19" s="1"/>
  <c r="A198" i="19"/>
  <c r="G198" i="19" s="1"/>
  <c r="B198" i="19"/>
  <c r="H198" i="19" s="1"/>
  <c r="C198" i="19"/>
  <c r="I198" i="19" s="1"/>
  <c r="D198" i="19"/>
  <c r="J198" i="19" s="1"/>
  <c r="E198" i="19"/>
  <c r="K198" i="19" s="1"/>
  <c r="A199" i="19"/>
  <c r="G199" i="19" s="1"/>
  <c r="B199" i="19"/>
  <c r="H199" i="19" s="1"/>
  <c r="C199" i="19"/>
  <c r="I199" i="19" s="1"/>
  <c r="D199" i="19"/>
  <c r="J199" i="19" s="1"/>
  <c r="E199" i="19"/>
  <c r="K199" i="19" s="1"/>
  <c r="A200" i="19"/>
  <c r="G200" i="19" s="1"/>
  <c r="B200" i="19"/>
  <c r="H200" i="19" s="1"/>
  <c r="C200" i="19"/>
  <c r="I200" i="19" s="1"/>
  <c r="D200" i="19"/>
  <c r="J200" i="19" s="1"/>
  <c r="E200" i="19"/>
  <c r="K200" i="19" s="1"/>
  <c r="A201" i="19"/>
  <c r="G201" i="19" s="1"/>
  <c r="B201" i="19"/>
  <c r="H201" i="19" s="1"/>
  <c r="C201" i="19"/>
  <c r="I201" i="19" s="1"/>
  <c r="D201" i="19"/>
  <c r="J201" i="19" s="1"/>
  <c r="E201" i="19"/>
  <c r="K201" i="19" s="1"/>
  <c r="A202" i="19"/>
  <c r="G202" i="19" s="1"/>
  <c r="B202" i="19"/>
  <c r="H202" i="19" s="1"/>
  <c r="C202" i="19"/>
  <c r="I202" i="19" s="1"/>
  <c r="D202" i="19"/>
  <c r="J202" i="19" s="1"/>
  <c r="E202" i="19"/>
  <c r="K202" i="19" s="1"/>
  <c r="A203" i="19"/>
  <c r="G203" i="19" s="1"/>
  <c r="B203" i="19"/>
  <c r="H203" i="19" s="1"/>
  <c r="C203" i="19"/>
  <c r="I203" i="19" s="1"/>
  <c r="D203" i="19"/>
  <c r="J203" i="19" s="1"/>
  <c r="E203" i="19"/>
  <c r="K203" i="19" s="1"/>
  <c r="A204" i="19"/>
  <c r="G204" i="19" s="1"/>
  <c r="B204" i="19"/>
  <c r="H204" i="19" s="1"/>
  <c r="C204" i="19"/>
  <c r="I204" i="19" s="1"/>
  <c r="D204" i="19"/>
  <c r="J204" i="19" s="1"/>
  <c r="E204" i="19"/>
  <c r="K204" i="19" s="1"/>
  <c r="A205" i="19"/>
  <c r="G205" i="19" s="1"/>
  <c r="B205" i="19"/>
  <c r="H205" i="19" s="1"/>
  <c r="C205" i="19"/>
  <c r="I205" i="19" s="1"/>
  <c r="D205" i="19"/>
  <c r="J205" i="19" s="1"/>
  <c r="E205" i="19"/>
  <c r="K205" i="19" s="1"/>
  <c r="A206" i="19"/>
  <c r="G206" i="19" s="1"/>
  <c r="B206" i="19"/>
  <c r="H206" i="19" s="1"/>
  <c r="C206" i="19"/>
  <c r="I206" i="19" s="1"/>
  <c r="D206" i="19"/>
  <c r="J206" i="19" s="1"/>
  <c r="E206" i="19"/>
  <c r="K206" i="19" s="1"/>
  <c r="A207" i="19"/>
  <c r="G207" i="19" s="1"/>
  <c r="B207" i="19"/>
  <c r="H207" i="19" s="1"/>
  <c r="C207" i="19"/>
  <c r="I207" i="19" s="1"/>
  <c r="D207" i="19"/>
  <c r="J207" i="19" s="1"/>
  <c r="E207" i="19"/>
  <c r="K207" i="19" s="1"/>
  <c r="A208" i="19"/>
  <c r="G208" i="19" s="1"/>
  <c r="B208" i="19"/>
  <c r="H208" i="19" s="1"/>
  <c r="C208" i="19"/>
  <c r="I208" i="19" s="1"/>
  <c r="D208" i="19"/>
  <c r="J208" i="19" s="1"/>
  <c r="E208" i="19"/>
  <c r="K208" i="19" s="1"/>
  <c r="A209" i="19"/>
  <c r="G209" i="19" s="1"/>
  <c r="B209" i="19"/>
  <c r="H209" i="19" s="1"/>
  <c r="C209" i="19"/>
  <c r="I209" i="19" s="1"/>
  <c r="D209" i="19"/>
  <c r="J209" i="19" s="1"/>
  <c r="E209" i="19"/>
  <c r="K209" i="19" s="1"/>
  <c r="A210" i="19"/>
  <c r="G210" i="19" s="1"/>
  <c r="B210" i="19"/>
  <c r="H210" i="19" s="1"/>
  <c r="C210" i="19"/>
  <c r="I210" i="19" s="1"/>
  <c r="D210" i="19"/>
  <c r="J210" i="19" s="1"/>
  <c r="E210" i="19"/>
  <c r="K210" i="19" s="1"/>
  <c r="A211" i="19"/>
  <c r="G211" i="19" s="1"/>
  <c r="B211" i="19"/>
  <c r="H211" i="19" s="1"/>
  <c r="C211" i="19"/>
  <c r="I211" i="19" s="1"/>
  <c r="D211" i="19"/>
  <c r="J211" i="19" s="1"/>
  <c r="E211" i="19"/>
  <c r="K211" i="19" s="1"/>
  <c r="A212" i="19"/>
  <c r="G212" i="19" s="1"/>
  <c r="B212" i="19"/>
  <c r="H212" i="19" s="1"/>
  <c r="C212" i="19"/>
  <c r="I212" i="19" s="1"/>
  <c r="D212" i="19"/>
  <c r="J212" i="19" s="1"/>
  <c r="E212" i="19"/>
  <c r="K212" i="19" s="1"/>
  <c r="A213" i="19"/>
  <c r="G213" i="19" s="1"/>
  <c r="B213" i="19"/>
  <c r="H213" i="19" s="1"/>
  <c r="C213" i="19"/>
  <c r="I213" i="19" s="1"/>
  <c r="D213" i="19"/>
  <c r="J213" i="19" s="1"/>
  <c r="E213" i="19"/>
  <c r="K213" i="19" s="1"/>
  <c r="A214" i="19"/>
  <c r="G214" i="19" s="1"/>
  <c r="B214" i="19"/>
  <c r="H214" i="19" s="1"/>
  <c r="C214" i="19"/>
  <c r="I214" i="19" s="1"/>
  <c r="D214" i="19"/>
  <c r="J214" i="19" s="1"/>
  <c r="E214" i="19"/>
  <c r="K214" i="19" s="1"/>
  <c r="A215" i="19"/>
  <c r="G215" i="19" s="1"/>
  <c r="B215" i="19"/>
  <c r="H215" i="19" s="1"/>
  <c r="C215" i="19"/>
  <c r="I215" i="19" s="1"/>
  <c r="D215" i="19"/>
  <c r="J215" i="19" s="1"/>
  <c r="E215" i="19"/>
  <c r="K215" i="19" s="1"/>
  <c r="A216" i="19"/>
  <c r="G216" i="19" s="1"/>
  <c r="B216" i="19"/>
  <c r="H216" i="19" s="1"/>
  <c r="C216" i="19"/>
  <c r="I216" i="19" s="1"/>
  <c r="D216" i="19"/>
  <c r="J216" i="19" s="1"/>
  <c r="E216" i="19"/>
  <c r="K216" i="19" s="1"/>
  <c r="A217" i="19"/>
  <c r="G217" i="19" s="1"/>
  <c r="B217" i="19"/>
  <c r="H217" i="19" s="1"/>
  <c r="C217" i="19"/>
  <c r="I217" i="19" s="1"/>
  <c r="D217" i="19"/>
  <c r="J217" i="19" s="1"/>
  <c r="E217" i="19"/>
  <c r="K217" i="19" s="1"/>
  <c r="A218" i="19"/>
  <c r="G218" i="19" s="1"/>
  <c r="B218" i="19"/>
  <c r="H218" i="19" s="1"/>
  <c r="C218" i="19"/>
  <c r="I218" i="19" s="1"/>
  <c r="D218" i="19"/>
  <c r="J218" i="19" s="1"/>
  <c r="E218" i="19"/>
  <c r="K218" i="19" s="1"/>
  <c r="A219" i="19"/>
  <c r="G219" i="19" s="1"/>
  <c r="B219" i="19"/>
  <c r="H219" i="19" s="1"/>
  <c r="C219" i="19"/>
  <c r="I219" i="19" s="1"/>
  <c r="D219" i="19"/>
  <c r="J219" i="19" s="1"/>
  <c r="E219" i="19"/>
  <c r="K219" i="19" s="1"/>
  <c r="A220" i="19"/>
  <c r="G220" i="19" s="1"/>
  <c r="B220" i="19"/>
  <c r="H220" i="19" s="1"/>
  <c r="C220" i="19"/>
  <c r="I220" i="19" s="1"/>
  <c r="D220" i="19"/>
  <c r="J220" i="19" s="1"/>
  <c r="E220" i="19"/>
  <c r="K220" i="19" s="1"/>
  <c r="A221" i="19"/>
  <c r="G221" i="19" s="1"/>
  <c r="B221" i="19"/>
  <c r="H221" i="19" s="1"/>
  <c r="C221" i="19"/>
  <c r="I221" i="19" s="1"/>
  <c r="D221" i="19"/>
  <c r="J221" i="19" s="1"/>
  <c r="E221" i="19"/>
  <c r="K221" i="19" s="1"/>
  <c r="A222" i="19"/>
  <c r="G222" i="19" s="1"/>
  <c r="B222" i="19"/>
  <c r="H222" i="19" s="1"/>
  <c r="C222" i="19"/>
  <c r="I222" i="19" s="1"/>
  <c r="D222" i="19"/>
  <c r="J222" i="19" s="1"/>
  <c r="E222" i="19"/>
  <c r="K222" i="19" s="1"/>
  <c r="A223" i="19"/>
  <c r="G223" i="19" s="1"/>
  <c r="B223" i="19"/>
  <c r="H223" i="19" s="1"/>
  <c r="C223" i="19"/>
  <c r="I223" i="19" s="1"/>
  <c r="D223" i="19"/>
  <c r="J223" i="19" s="1"/>
  <c r="E223" i="19"/>
  <c r="K223" i="19" s="1"/>
  <c r="A224" i="19"/>
  <c r="G224" i="19" s="1"/>
  <c r="B224" i="19"/>
  <c r="H224" i="19" s="1"/>
  <c r="C224" i="19"/>
  <c r="I224" i="19" s="1"/>
  <c r="D224" i="19"/>
  <c r="J224" i="19" s="1"/>
  <c r="E224" i="19"/>
  <c r="K224" i="19" s="1"/>
  <c r="A225" i="19"/>
  <c r="G225" i="19" s="1"/>
  <c r="B225" i="19"/>
  <c r="H225" i="19" s="1"/>
  <c r="C225" i="19"/>
  <c r="I225" i="19" s="1"/>
  <c r="D225" i="19"/>
  <c r="J225" i="19" s="1"/>
  <c r="E225" i="19"/>
  <c r="K225" i="19" s="1"/>
  <c r="A226" i="19"/>
  <c r="G226" i="19" s="1"/>
  <c r="B226" i="19"/>
  <c r="H226" i="19" s="1"/>
  <c r="C226" i="19"/>
  <c r="I226" i="19" s="1"/>
  <c r="D226" i="19"/>
  <c r="J226" i="19" s="1"/>
  <c r="E226" i="19"/>
  <c r="K226" i="19" s="1"/>
  <c r="A227" i="19"/>
  <c r="G227" i="19" s="1"/>
  <c r="B227" i="19"/>
  <c r="H227" i="19" s="1"/>
  <c r="C227" i="19"/>
  <c r="I227" i="19" s="1"/>
  <c r="D227" i="19"/>
  <c r="J227" i="19" s="1"/>
  <c r="E227" i="19"/>
  <c r="K227" i="19" s="1"/>
  <c r="A228" i="19"/>
  <c r="G228" i="19" s="1"/>
  <c r="B228" i="19"/>
  <c r="H228" i="19" s="1"/>
  <c r="C228" i="19"/>
  <c r="I228" i="19" s="1"/>
  <c r="D228" i="19"/>
  <c r="J228" i="19" s="1"/>
  <c r="E228" i="19"/>
  <c r="K228" i="19" s="1"/>
  <c r="A229" i="19"/>
  <c r="G229" i="19" s="1"/>
  <c r="B229" i="19"/>
  <c r="H229" i="19" s="1"/>
  <c r="C229" i="19"/>
  <c r="I229" i="19" s="1"/>
  <c r="D229" i="19"/>
  <c r="J229" i="19" s="1"/>
  <c r="E229" i="19"/>
  <c r="K229" i="19" s="1"/>
  <c r="A230" i="19"/>
  <c r="G230" i="19" s="1"/>
  <c r="B230" i="19"/>
  <c r="H230" i="19" s="1"/>
  <c r="C230" i="19"/>
  <c r="I230" i="19" s="1"/>
  <c r="D230" i="19"/>
  <c r="J230" i="19" s="1"/>
  <c r="E230" i="19"/>
  <c r="K230" i="19" s="1"/>
  <c r="A231" i="19"/>
  <c r="G231" i="19" s="1"/>
  <c r="B231" i="19"/>
  <c r="H231" i="19" s="1"/>
  <c r="C231" i="19"/>
  <c r="I231" i="19" s="1"/>
  <c r="D231" i="19"/>
  <c r="J231" i="19" s="1"/>
  <c r="E231" i="19"/>
  <c r="K231" i="19" s="1"/>
  <c r="A232" i="19"/>
  <c r="G232" i="19" s="1"/>
  <c r="B232" i="19"/>
  <c r="H232" i="19" s="1"/>
  <c r="C232" i="19"/>
  <c r="I232" i="19" s="1"/>
  <c r="D232" i="19"/>
  <c r="J232" i="19" s="1"/>
  <c r="E232" i="19"/>
  <c r="K232" i="19" s="1"/>
  <c r="A233" i="19"/>
  <c r="G233" i="19" s="1"/>
  <c r="B233" i="19"/>
  <c r="H233" i="19" s="1"/>
  <c r="C233" i="19"/>
  <c r="I233" i="19" s="1"/>
  <c r="D233" i="19"/>
  <c r="J233" i="19" s="1"/>
  <c r="E233" i="19"/>
  <c r="K233" i="19" s="1"/>
  <c r="A234" i="19"/>
  <c r="G234" i="19" s="1"/>
  <c r="B234" i="19"/>
  <c r="H234" i="19" s="1"/>
  <c r="C234" i="19"/>
  <c r="I234" i="19" s="1"/>
  <c r="D234" i="19"/>
  <c r="J234" i="19" s="1"/>
  <c r="E234" i="19"/>
  <c r="K234" i="19" s="1"/>
  <c r="A235" i="19"/>
  <c r="G235" i="19" s="1"/>
  <c r="B235" i="19"/>
  <c r="H235" i="19" s="1"/>
  <c r="C235" i="19"/>
  <c r="I235" i="19" s="1"/>
  <c r="D235" i="19"/>
  <c r="J235" i="19" s="1"/>
  <c r="E235" i="19"/>
  <c r="K235" i="19" s="1"/>
  <c r="A236" i="19"/>
  <c r="G236" i="19" s="1"/>
  <c r="B236" i="19"/>
  <c r="H236" i="19" s="1"/>
  <c r="C236" i="19"/>
  <c r="I236" i="19" s="1"/>
  <c r="D236" i="19"/>
  <c r="J236" i="19" s="1"/>
  <c r="E236" i="19"/>
  <c r="K236" i="19" s="1"/>
  <c r="A237" i="19"/>
  <c r="G237" i="19" s="1"/>
  <c r="B237" i="19"/>
  <c r="H237" i="19" s="1"/>
  <c r="C237" i="19"/>
  <c r="I237" i="19" s="1"/>
  <c r="D237" i="19"/>
  <c r="J237" i="19" s="1"/>
  <c r="E237" i="19"/>
  <c r="K237" i="19" s="1"/>
  <c r="A238" i="19"/>
  <c r="G238" i="19" s="1"/>
  <c r="B238" i="19"/>
  <c r="H238" i="19" s="1"/>
  <c r="C238" i="19"/>
  <c r="I238" i="19" s="1"/>
  <c r="D238" i="19"/>
  <c r="J238" i="19" s="1"/>
  <c r="E238" i="19"/>
  <c r="K238" i="19" s="1"/>
  <c r="A239" i="19"/>
  <c r="G239" i="19" s="1"/>
  <c r="B239" i="19"/>
  <c r="H239" i="19" s="1"/>
  <c r="C239" i="19"/>
  <c r="I239" i="19" s="1"/>
  <c r="D239" i="19"/>
  <c r="J239" i="19" s="1"/>
  <c r="E239" i="19"/>
  <c r="K239" i="19" s="1"/>
  <c r="A240" i="19"/>
  <c r="G240" i="19" s="1"/>
  <c r="B240" i="19"/>
  <c r="H240" i="19" s="1"/>
  <c r="C240" i="19"/>
  <c r="I240" i="19" s="1"/>
  <c r="D240" i="19"/>
  <c r="J240" i="19" s="1"/>
  <c r="E240" i="19"/>
  <c r="K240" i="19" s="1"/>
  <c r="A241" i="19"/>
  <c r="G241" i="19" s="1"/>
  <c r="B241" i="19"/>
  <c r="H241" i="19" s="1"/>
  <c r="C241" i="19"/>
  <c r="I241" i="19" s="1"/>
  <c r="D241" i="19"/>
  <c r="J241" i="19" s="1"/>
  <c r="E241" i="19"/>
  <c r="K241" i="19" s="1"/>
  <c r="A242" i="19"/>
  <c r="G242" i="19" s="1"/>
  <c r="B242" i="19"/>
  <c r="H242" i="19" s="1"/>
  <c r="C242" i="19"/>
  <c r="I242" i="19" s="1"/>
  <c r="D242" i="19"/>
  <c r="J242" i="19" s="1"/>
  <c r="E242" i="19"/>
  <c r="K242" i="19" s="1"/>
  <c r="A243" i="19"/>
  <c r="G243" i="19" s="1"/>
  <c r="B243" i="19"/>
  <c r="H243" i="19" s="1"/>
  <c r="C243" i="19"/>
  <c r="I243" i="19" s="1"/>
  <c r="D243" i="19"/>
  <c r="J243" i="19" s="1"/>
  <c r="E243" i="19"/>
  <c r="K243" i="19" s="1"/>
  <c r="A244" i="19"/>
  <c r="G244" i="19" s="1"/>
  <c r="B244" i="19"/>
  <c r="H244" i="19" s="1"/>
  <c r="C244" i="19"/>
  <c r="I244" i="19" s="1"/>
  <c r="D244" i="19"/>
  <c r="J244" i="19" s="1"/>
  <c r="E244" i="19"/>
  <c r="K244" i="19" s="1"/>
  <c r="A245" i="19"/>
  <c r="G245" i="19" s="1"/>
  <c r="B245" i="19"/>
  <c r="H245" i="19" s="1"/>
  <c r="C245" i="19"/>
  <c r="I245" i="19" s="1"/>
  <c r="D245" i="19"/>
  <c r="J245" i="19" s="1"/>
  <c r="E245" i="19"/>
  <c r="K245" i="19" s="1"/>
  <c r="A246" i="19"/>
  <c r="G246" i="19" s="1"/>
  <c r="B246" i="19"/>
  <c r="H246" i="19" s="1"/>
  <c r="C246" i="19"/>
  <c r="I246" i="19" s="1"/>
  <c r="D246" i="19"/>
  <c r="J246" i="19" s="1"/>
  <c r="E246" i="19"/>
  <c r="K246" i="19" s="1"/>
  <c r="A247" i="19"/>
  <c r="G247" i="19" s="1"/>
  <c r="B247" i="19"/>
  <c r="H247" i="19" s="1"/>
  <c r="C247" i="19"/>
  <c r="I247" i="19" s="1"/>
  <c r="D247" i="19"/>
  <c r="J247" i="19" s="1"/>
  <c r="E247" i="19"/>
  <c r="K247" i="19" s="1"/>
  <c r="A248" i="19"/>
  <c r="G248" i="19" s="1"/>
  <c r="B248" i="19"/>
  <c r="H248" i="19" s="1"/>
  <c r="C248" i="19"/>
  <c r="I248" i="19" s="1"/>
  <c r="D248" i="19"/>
  <c r="J248" i="19" s="1"/>
  <c r="E248" i="19"/>
  <c r="K248" i="19" s="1"/>
  <c r="A249" i="19"/>
  <c r="G249" i="19" s="1"/>
  <c r="B249" i="19"/>
  <c r="H249" i="19" s="1"/>
  <c r="C249" i="19"/>
  <c r="I249" i="19" s="1"/>
  <c r="D249" i="19"/>
  <c r="J249" i="19" s="1"/>
  <c r="E249" i="19"/>
  <c r="K249" i="19" s="1"/>
  <c r="A250" i="19"/>
  <c r="G250" i="19" s="1"/>
  <c r="B250" i="19"/>
  <c r="H250" i="19" s="1"/>
  <c r="C250" i="19"/>
  <c r="I250" i="19" s="1"/>
  <c r="D250" i="19"/>
  <c r="J250" i="19" s="1"/>
  <c r="E250" i="19"/>
  <c r="K250" i="19" s="1"/>
  <c r="A251" i="19"/>
  <c r="G251" i="19" s="1"/>
  <c r="B251" i="19"/>
  <c r="H251" i="19" s="1"/>
  <c r="C251" i="19"/>
  <c r="I251" i="19" s="1"/>
  <c r="D251" i="19"/>
  <c r="J251" i="19" s="1"/>
  <c r="E251" i="19"/>
  <c r="K251" i="19" s="1"/>
  <c r="A252" i="19"/>
  <c r="G252" i="19" s="1"/>
  <c r="B252" i="19"/>
  <c r="H252" i="19" s="1"/>
  <c r="C252" i="19"/>
  <c r="I252" i="19" s="1"/>
  <c r="D252" i="19"/>
  <c r="J252" i="19" s="1"/>
  <c r="E252" i="19"/>
  <c r="K252" i="19" s="1"/>
  <c r="A253" i="19"/>
  <c r="G253" i="19" s="1"/>
  <c r="B253" i="19"/>
  <c r="H253" i="19" s="1"/>
  <c r="C253" i="19"/>
  <c r="I253" i="19" s="1"/>
  <c r="D253" i="19"/>
  <c r="J253" i="19" s="1"/>
  <c r="E253" i="19"/>
  <c r="K253" i="19" s="1"/>
  <c r="A254" i="19"/>
  <c r="G254" i="19" s="1"/>
  <c r="B254" i="19"/>
  <c r="H254" i="19" s="1"/>
  <c r="C254" i="19"/>
  <c r="I254" i="19" s="1"/>
  <c r="D254" i="19"/>
  <c r="J254" i="19" s="1"/>
  <c r="E254" i="19"/>
  <c r="K254" i="19" s="1"/>
  <c r="A255" i="19"/>
  <c r="G255" i="19" s="1"/>
  <c r="B255" i="19"/>
  <c r="H255" i="19" s="1"/>
  <c r="C255" i="19"/>
  <c r="I255" i="19" s="1"/>
  <c r="D255" i="19"/>
  <c r="J255" i="19" s="1"/>
  <c r="E255" i="19"/>
  <c r="K255" i="19" s="1"/>
  <c r="A256" i="19"/>
  <c r="G256" i="19" s="1"/>
  <c r="B256" i="19"/>
  <c r="H256" i="19" s="1"/>
  <c r="C256" i="19"/>
  <c r="I256" i="19" s="1"/>
  <c r="D256" i="19"/>
  <c r="J256" i="19" s="1"/>
  <c r="E256" i="19"/>
  <c r="K256" i="19" s="1"/>
  <c r="A257" i="19"/>
  <c r="G257" i="19" s="1"/>
  <c r="B257" i="19"/>
  <c r="H257" i="19" s="1"/>
  <c r="C257" i="19"/>
  <c r="I257" i="19" s="1"/>
  <c r="D257" i="19"/>
  <c r="J257" i="19" s="1"/>
  <c r="E257" i="19"/>
  <c r="K257" i="19" s="1"/>
  <c r="A258" i="19"/>
  <c r="G258" i="19" s="1"/>
  <c r="B258" i="19"/>
  <c r="H258" i="19" s="1"/>
  <c r="C258" i="19"/>
  <c r="I258" i="19" s="1"/>
  <c r="D258" i="19"/>
  <c r="J258" i="19" s="1"/>
  <c r="E258" i="19"/>
  <c r="K258" i="19" s="1"/>
  <c r="A259" i="19"/>
  <c r="G259" i="19" s="1"/>
  <c r="B259" i="19"/>
  <c r="H259" i="19" s="1"/>
  <c r="C259" i="19"/>
  <c r="I259" i="19" s="1"/>
  <c r="D259" i="19"/>
  <c r="J259" i="19" s="1"/>
  <c r="E259" i="19"/>
  <c r="K259" i="19" s="1"/>
  <c r="A260" i="19"/>
  <c r="G260" i="19" s="1"/>
  <c r="B260" i="19"/>
  <c r="H260" i="19" s="1"/>
  <c r="C260" i="19"/>
  <c r="I260" i="19" s="1"/>
  <c r="D260" i="19"/>
  <c r="J260" i="19" s="1"/>
  <c r="E260" i="19"/>
  <c r="K260" i="19" s="1"/>
  <c r="A261" i="19"/>
  <c r="G261" i="19" s="1"/>
  <c r="B261" i="19"/>
  <c r="H261" i="19" s="1"/>
  <c r="C261" i="19"/>
  <c r="I261" i="19" s="1"/>
  <c r="D261" i="19"/>
  <c r="J261" i="19" s="1"/>
  <c r="E261" i="19"/>
  <c r="K261" i="19" s="1"/>
  <c r="A262" i="19"/>
  <c r="G262" i="19" s="1"/>
  <c r="B262" i="19"/>
  <c r="H262" i="19" s="1"/>
  <c r="C262" i="19"/>
  <c r="I262" i="19" s="1"/>
  <c r="D262" i="19"/>
  <c r="J262" i="19" s="1"/>
  <c r="E262" i="19"/>
  <c r="K262" i="19" s="1"/>
  <c r="A263" i="19"/>
  <c r="G263" i="19" s="1"/>
  <c r="B263" i="19"/>
  <c r="H263" i="19" s="1"/>
  <c r="C263" i="19"/>
  <c r="I263" i="19" s="1"/>
  <c r="D263" i="19"/>
  <c r="J263" i="19" s="1"/>
  <c r="E263" i="19"/>
  <c r="K263" i="19" s="1"/>
  <c r="A264" i="19"/>
  <c r="G264" i="19" s="1"/>
  <c r="B264" i="19"/>
  <c r="H264" i="19" s="1"/>
  <c r="C264" i="19"/>
  <c r="I264" i="19" s="1"/>
  <c r="D264" i="19"/>
  <c r="J264" i="19" s="1"/>
  <c r="E264" i="19"/>
  <c r="K264" i="19" s="1"/>
  <c r="A265" i="19"/>
  <c r="G265" i="19" s="1"/>
  <c r="B265" i="19"/>
  <c r="H265" i="19" s="1"/>
  <c r="C265" i="19"/>
  <c r="I265" i="19" s="1"/>
  <c r="D265" i="19"/>
  <c r="J265" i="19" s="1"/>
  <c r="E265" i="19"/>
  <c r="K265" i="19" s="1"/>
  <c r="A266" i="19"/>
  <c r="G266" i="19" s="1"/>
  <c r="B266" i="19"/>
  <c r="H266" i="19" s="1"/>
  <c r="C266" i="19"/>
  <c r="I266" i="19" s="1"/>
  <c r="D266" i="19"/>
  <c r="J266" i="19" s="1"/>
  <c r="E266" i="19"/>
  <c r="K266" i="19" s="1"/>
  <c r="A267" i="19"/>
  <c r="G267" i="19" s="1"/>
  <c r="B267" i="19"/>
  <c r="H267" i="19" s="1"/>
  <c r="C267" i="19"/>
  <c r="I267" i="19" s="1"/>
  <c r="D267" i="19"/>
  <c r="J267" i="19" s="1"/>
  <c r="E267" i="19"/>
  <c r="K267" i="19" s="1"/>
  <c r="A268" i="19"/>
  <c r="G268" i="19" s="1"/>
  <c r="B268" i="19"/>
  <c r="H268" i="19" s="1"/>
  <c r="C268" i="19"/>
  <c r="I268" i="19" s="1"/>
  <c r="D268" i="19"/>
  <c r="J268" i="19" s="1"/>
  <c r="E268" i="19"/>
  <c r="K268" i="19" s="1"/>
  <c r="A269" i="19"/>
  <c r="G269" i="19" s="1"/>
  <c r="B269" i="19"/>
  <c r="H269" i="19" s="1"/>
  <c r="C269" i="19"/>
  <c r="I269" i="19" s="1"/>
  <c r="D269" i="19"/>
  <c r="J269" i="19" s="1"/>
  <c r="E269" i="19"/>
  <c r="K269" i="19" s="1"/>
  <c r="A270" i="19"/>
  <c r="G270" i="19" s="1"/>
  <c r="B270" i="19"/>
  <c r="H270" i="19" s="1"/>
  <c r="C270" i="19"/>
  <c r="I270" i="19" s="1"/>
  <c r="D270" i="19"/>
  <c r="J270" i="19" s="1"/>
  <c r="E270" i="19"/>
  <c r="K270" i="19" s="1"/>
  <c r="A271" i="19"/>
  <c r="G271" i="19" s="1"/>
  <c r="B271" i="19"/>
  <c r="H271" i="19" s="1"/>
  <c r="C271" i="19"/>
  <c r="I271" i="19" s="1"/>
  <c r="D271" i="19"/>
  <c r="J271" i="19" s="1"/>
  <c r="E271" i="19"/>
  <c r="K271" i="19" s="1"/>
  <c r="A272" i="19"/>
  <c r="G272" i="19" s="1"/>
  <c r="B272" i="19"/>
  <c r="H272" i="19" s="1"/>
  <c r="C272" i="19"/>
  <c r="I272" i="19" s="1"/>
  <c r="D272" i="19"/>
  <c r="J272" i="19" s="1"/>
  <c r="E272" i="19"/>
  <c r="K272" i="19" s="1"/>
  <c r="A273" i="19"/>
  <c r="G273" i="19" s="1"/>
  <c r="B273" i="19"/>
  <c r="H273" i="19" s="1"/>
  <c r="C273" i="19"/>
  <c r="I273" i="19" s="1"/>
  <c r="D273" i="19"/>
  <c r="J273" i="19" s="1"/>
  <c r="E273" i="19"/>
  <c r="K273" i="19" s="1"/>
  <c r="A274" i="19"/>
  <c r="G274" i="19" s="1"/>
  <c r="B274" i="19"/>
  <c r="H274" i="19" s="1"/>
  <c r="C274" i="19"/>
  <c r="I274" i="19" s="1"/>
  <c r="D274" i="19"/>
  <c r="J274" i="19" s="1"/>
  <c r="E274" i="19"/>
  <c r="K274" i="19" s="1"/>
  <c r="A275" i="19"/>
  <c r="G275" i="19" s="1"/>
  <c r="B275" i="19"/>
  <c r="H275" i="19" s="1"/>
  <c r="C275" i="19"/>
  <c r="I275" i="19" s="1"/>
  <c r="D275" i="19"/>
  <c r="J275" i="19" s="1"/>
  <c r="E275" i="19"/>
  <c r="K275" i="19" s="1"/>
  <c r="A276" i="19"/>
  <c r="G276" i="19" s="1"/>
  <c r="B276" i="19"/>
  <c r="H276" i="19" s="1"/>
  <c r="C276" i="19"/>
  <c r="I276" i="19" s="1"/>
  <c r="D276" i="19"/>
  <c r="J276" i="19" s="1"/>
  <c r="E276" i="19"/>
  <c r="K276" i="19" s="1"/>
  <c r="A277" i="19"/>
  <c r="G277" i="19" s="1"/>
  <c r="B277" i="19"/>
  <c r="H277" i="19" s="1"/>
  <c r="C277" i="19"/>
  <c r="I277" i="19" s="1"/>
  <c r="D277" i="19"/>
  <c r="J277" i="19" s="1"/>
  <c r="E277" i="19"/>
  <c r="K277" i="19" s="1"/>
  <c r="A278" i="19"/>
  <c r="G278" i="19" s="1"/>
  <c r="B278" i="19"/>
  <c r="H278" i="19" s="1"/>
  <c r="C278" i="19"/>
  <c r="I278" i="19" s="1"/>
  <c r="D278" i="19"/>
  <c r="J278" i="19" s="1"/>
  <c r="E278" i="19"/>
  <c r="K278" i="19" s="1"/>
  <c r="A279" i="19"/>
  <c r="G279" i="19" s="1"/>
  <c r="B279" i="19"/>
  <c r="H279" i="19" s="1"/>
  <c r="C279" i="19"/>
  <c r="I279" i="19" s="1"/>
  <c r="D279" i="19"/>
  <c r="J279" i="19" s="1"/>
  <c r="E279" i="19"/>
  <c r="K279" i="19" s="1"/>
  <c r="A280" i="19"/>
  <c r="G280" i="19" s="1"/>
  <c r="B280" i="19"/>
  <c r="H280" i="19" s="1"/>
  <c r="C280" i="19"/>
  <c r="I280" i="19" s="1"/>
  <c r="D280" i="19"/>
  <c r="J280" i="19" s="1"/>
  <c r="E280" i="19"/>
  <c r="K280" i="19" s="1"/>
  <c r="A281" i="19"/>
  <c r="G281" i="19" s="1"/>
  <c r="B281" i="19"/>
  <c r="H281" i="19" s="1"/>
  <c r="C281" i="19"/>
  <c r="I281" i="19" s="1"/>
  <c r="D281" i="19"/>
  <c r="J281" i="19" s="1"/>
  <c r="E281" i="19"/>
  <c r="K281" i="19" s="1"/>
  <c r="A282" i="19"/>
  <c r="G282" i="19" s="1"/>
  <c r="B282" i="19"/>
  <c r="H282" i="19" s="1"/>
  <c r="C282" i="19"/>
  <c r="I282" i="19" s="1"/>
  <c r="D282" i="19"/>
  <c r="J282" i="19" s="1"/>
  <c r="E282" i="19"/>
  <c r="K282" i="19" s="1"/>
  <c r="A283" i="19"/>
  <c r="G283" i="19" s="1"/>
  <c r="B283" i="19"/>
  <c r="H283" i="19" s="1"/>
  <c r="C283" i="19"/>
  <c r="I283" i="19" s="1"/>
  <c r="D283" i="19"/>
  <c r="J283" i="19" s="1"/>
  <c r="E283" i="19"/>
  <c r="K283" i="19" s="1"/>
  <c r="A284" i="19"/>
  <c r="G284" i="19" s="1"/>
  <c r="B284" i="19"/>
  <c r="H284" i="19" s="1"/>
  <c r="C284" i="19"/>
  <c r="I284" i="19" s="1"/>
  <c r="D284" i="19"/>
  <c r="J284" i="19" s="1"/>
  <c r="E284" i="19"/>
  <c r="K284" i="19" s="1"/>
  <c r="A285" i="19"/>
  <c r="G285" i="19" s="1"/>
  <c r="B285" i="19"/>
  <c r="H285" i="19" s="1"/>
  <c r="C285" i="19"/>
  <c r="I285" i="19" s="1"/>
  <c r="D285" i="19"/>
  <c r="J285" i="19" s="1"/>
  <c r="E285" i="19"/>
  <c r="K285" i="19" s="1"/>
  <c r="A286" i="19"/>
  <c r="G286" i="19" s="1"/>
  <c r="B286" i="19"/>
  <c r="H286" i="19" s="1"/>
  <c r="C286" i="19"/>
  <c r="I286" i="19" s="1"/>
  <c r="D286" i="19"/>
  <c r="J286" i="19" s="1"/>
  <c r="E286" i="19"/>
  <c r="K286" i="19" s="1"/>
  <c r="A287" i="19"/>
  <c r="G287" i="19" s="1"/>
  <c r="B287" i="19"/>
  <c r="H287" i="19" s="1"/>
  <c r="C287" i="19"/>
  <c r="I287" i="19" s="1"/>
  <c r="D287" i="19"/>
  <c r="J287" i="19" s="1"/>
  <c r="E287" i="19"/>
  <c r="K287" i="19" s="1"/>
  <c r="A288" i="19"/>
  <c r="G288" i="19" s="1"/>
  <c r="B288" i="19"/>
  <c r="H288" i="19" s="1"/>
  <c r="C288" i="19"/>
  <c r="I288" i="19" s="1"/>
  <c r="D288" i="19"/>
  <c r="J288" i="19" s="1"/>
  <c r="E288" i="19"/>
  <c r="K288" i="19" s="1"/>
  <c r="A289" i="19"/>
  <c r="G289" i="19" s="1"/>
  <c r="B289" i="19"/>
  <c r="H289" i="19" s="1"/>
  <c r="C289" i="19"/>
  <c r="I289" i="19" s="1"/>
  <c r="D289" i="19"/>
  <c r="J289" i="19" s="1"/>
  <c r="E289" i="19"/>
  <c r="K289" i="19" s="1"/>
  <c r="A290" i="19"/>
  <c r="G290" i="19" s="1"/>
  <c r="B290" i="19"/>
  <c r="H290" i="19" s="1"/>
  <c r="C290" i="19"/>
  <c r="I290" i="19" s="1"/>
  <c r="D290" i="19"/>
  <c r="J290" i="19" s="1"/>
  <c r="E290" i="19"/>
  <c r="K290" i="19" s="1"/>
  <c r="A291" i="19"/>
  <c r="G291" i="19" s="1"/>
  <c r="B291" i="19"/>
  <c r="H291" i="19" s="1"/>
  <c r="C291" i="19"/>
  <c r="I291" i="19" s="1"/>
  <c r="D291" i="19"/>
  <c r="J291" i="19" s="1"/>
  <c r="E291" i="19"/>
  <c r="K291" i="19" s="1"/>
  <c r="A292" i="19"/>
  <c r="G292" i="19" s="1"/>
  <c r="B292" i="19"/>
  <c r="H292" i="19" s="1"/>
  <c r="C292" i="19"/>
  <c r="I292" i="19" s="1"/>
  <c r="D292" i="19"/>
  <c r="J292" i="19" s="1"/>
  <c r="E292" i="19"/>
  <c r="K292" i="19" s="1"/>
  <c r="A293" i="19"/>
  <c r="G293" i="19" s="1"/>
  <c r="B293" i="19"/>
  <c r="H293" i="19" s="1"/>
  <c r="C293" i="19"/>
  <c r="I293" i="19" s="1"/>
  <c r="D293" i="19"/>
  <c r="J293" i="19" s="1"/>
  <c r="E293" i="19"/>
  <c r="K293" i="19" s="1"/>
  <c r="A294" i="19"/>
  <c r="G294" i="19" s="1"/>
  <c r="B294" i="19"/>
  <c r="H294" i="19" s="1"/>
  <c r="C294" i="19"/>
  <c r="I294" i="19" s="1"/>
  <c r="D294" i="19"/>
  <c r="J294" i="19" s="1"/>
  <c r="E294" i="19"/>
  <c r="K294" i="19" s="1"/>
  <c r="A295" i="19"/>
  <c r="G295" i="19" s="1"/>
  <c r="B295" i="19"/>
  <c r="H295" i="19" s="1"/>
  <c r="C295" i="19"/>
  <c r="I295" i="19" s="1"/>
  <c r="D295" i="19"/>
  <c r="J295" i="19" s="1"/>
  <c r="E295" i="19"/>
  <c r="K295" i="19" s="1"/>
  <c r="A296" i="19"/>
  <c r="G296" i="19" s="1"/>
  <c r="B296" i="19"/>
  <c r="H296" i="19" s="1"/>
  <c r="C296" i="19"/>
  <c r="I296" i="19" s="1"/>
  <c r="D296" i="19"/>
  <c r="J296" i="19" s="1"/>
  <c r="E296" i="19"/>
  <c r="K296" i="19" s="1"/>
  <c r="A297" i="19"/>
  <c r="G297" i="19" s="1"/>
  <c r="B297" i="19"/>
  <c r="H297" i="19" s="1"/>
  <c r="C297" i="19"/>
  <c r="I297" i="19" s="1"/>
  <c r="D297" i="19"/>
  <c r="J297" i="19" s="1"/>
  <c r="E297" i="19"/>
  <c r="K297" i="19" s="1"/>
  <c r="A298" i="19"/>
  <c r="G298" i="19" s="1"/>
  <c r="B298" i="19"/>
  <c r="H298" i="19" s="1"/>
  <c r="C298" i="19"/>
  <c r="I298" i="19" s="1"/>
  <c r="D298" i="19"/>
  <c r="J298" i="19" s="1"/>
  <c r="E298" i="19"/>
  <c r="K298" i="19" s="1"/>
  <c r="A299" i="19"/>
  <c r="G299" i="19" s="1"/>
  <c r="B299" i="19"/>
  <c r="H299" i="19" s="1"/>
  <c r="C299" i="19"/>
  <c r="I299" i="19" s="1"/>
  <c r="D299" i="19"/>
  <c r="J299" i="19" s="1"/>
  <c r="E299" i="19"/>
  <c r="K299" i="19" s="1"/>
  <c r="A300" i="19"/>
  <c r="G300" i="19" s="1"/>
  <c r="B300" i="19"/>
  <c r="H300" i="19" s="1"/>
  <c r="C300" i="19"/>
  <c r="I300" i="19" s="1"/>
  <c r="D300" i="19"/>
  <c r="J300" i="19" s="1"/>
  <c r="E300" i="19"/>
  <c r="K300" i="19" s="1"/>
  <c r="A301" i="19"/>
  <c r="G301" i="19" s="1"/>
  <c r="B301" i="19"/>
  <c r="H301" i="19" s="1"/>
  <c r="C301" i="19"/>
  <c r="I301" i="19" s="1"/>
  <c r="D301" i="19"/>
  <c r="J301" i="19" s="1"/>
  <c r="E301" i="19"/>
  <c r="K301" i="19" s="1"/>
  <c r="A302" i="19"/>
  <c r="G302" i="19" s="1"/>
  <c r="B302" i="19"/>
  <c r="H302" i="19" s="1"/>
  <c r="C302" i="19"/>
  <c r="I302" i="19" s="1"/>
  <c r="D302" i="19"/>
  <c r="J302" i="19" s="1"/>
  <c r="E302" i="19"/>
  <c r="K302" i="19" s="1"/>
  <c r="A303" i="19"/>
  <c r="G303" i="19" s="1"/>
  <c r="B303" i="19"/>
  <c r="H303" i="19" s="1"/>
  <c r="C303" i="19"/>
  <c r="I303" i="19" s="1"/>
  <c r="D303" i="19"/>
  <c r="J303" i="19" s="1"/>
  <c r="E303" i="19"/>
  <c r="K303" i="19" s="1"/>
  <c r="A304" i="19"/>
  <c r="G304" i="19" s="1"/>
  <c r="B304" i="19"/>
  <c r="H304" i="19" s="1"/>
  <c r="C304" i="19"/>
  <c r="I304" i="19" s="1"/>
  <c r="D304" i="19"/>
  <c r="J304" i="19" s="1"/>
  <c r="E304" i="19"/>
  <c r="K304" i="19" s="1"/>
  <c r="A305" i="19"/>
  <c r="G305" i="19" s="1"/>
  <c r="B305" i="19"/>
  <c r="H305" i="19" s="1"/>
  <c r="C305" i="19"/>
  <c r="I305" i="19" s="1"/>
  <c r="D305" i="19"/>
  <c r="J305" i="19" s="1"/>
  <c r="E305" i="19"/>
  <c r="K305" i="19" s="1"/>
  <c r="A306" i="19"/>
  <c r="G306" i="19" s="1"/>
  <c r="B306" i="19"/>
  <c r="H306" i="19" s="1"/>
  <c r="C306" i="19"/>
  <c r="I306" i="19" s="1"/>
  <c r="D306" i="19"/>
  <c r="J306" i="19" s="1"/>
  <c r="E306" i="19"/>
  <c r="K306" i="19" s="1"/>
  <c r="A307" i="19"/>
  <c r="G307" i="19" s="1"/>
  <c r="B307" i="19"/>
  <c r="H307" i="19" s="1"/>
  <c r="C307" i="19"/>
  <c r="I307" i="19" s="1"/>
  <c r="D307" i="19"/>
  <c r="J307" i="19" s="1"/>
  <c r="E307" i="19"/>
  <c r="K307" i="19" s="1"/>
  <c r="A308" i="19"/>
  <c r="G308" i="19" s="1"/>
  <c r="B308" i="19"/>
  <c r="H308" i="19" s="1"/>
  <c r="C308" i="19"/>
  <c r="I308" i="19" s="1"/>
  <c r="D308" i="19"/>
  <c r="J308" i="19" s="1"/>
  <c r="E308" i="19"/>
  <c r="K308" i="19" s="1"/>
  <c r="A309" i="19"/>
  <c r="G309" i="19" s="1"/>
  <c r="B309" i="19"/>
  <c r="H309" i="19" s="1"/>
  <c r="C309" i="19"/>
  <c r="I309" i="19" s="1"/>
  <c r="D309" i="19"/>
  <c r="J309" i="19" s="1"/>
  <c r="E309" i="19"/>
  <c r="K309" i="19" s="1"/>
  <c r="A310" i="19"/>
  <c r="G310" i="19" s="1"/>
  <c r="B310" i="19"/>
  <c r="H310" i="19" s="1"/>
  <c r="C310" i="19"/>
  <c r="I310" i="19" s="1"/>
  <c r="D310" i="19"/>
  <c r="J310" i="19" s="1"/>
  <c r="E310" i="19"/>
  <c r="K310" i="19" s="1"/>
  <c r="A311" i="19"/>
  <c r="G311" i="19" s="1"/>
  <c r="B311" i="19"/>
  <c r="H311" i="19" s="1"/>
  <c r="C311" i="19"/>
  <c r="I311" i="19" s="1"/>
  <c r="D311" i="19"/>
  <c r="J311" i="19" s="1"/>
  <c r="E311" i="19"/>
  <c r="K311" i="19" s="1"/>
  <c r="A312" i="19"/>
  <c r="G312" i="19" s="1"/>
  <c r="B312" i="19"/>
  <c r="H312" i="19" s="1"/>
  <c r="C312" i="19"/>
  <c r="I312" i="19" s="1"/>
  <c r="D312" i="19"/>
  <c r="J312" i="19" s="1"/>
  <c r="E312" i="19"/>
  <c r="K312" i="19" s="1"/>
  <c r="A313" i="19"/>
  <c r="G313" i="19" s="1"/>
  <c r="B313" i="19"/>
  <c r="H313" i="19" s="1"/>
  <c r="C313" i="19"/>
  <c r="I313" i="19" s="1"/>
  <c r="D313" i="19"/>
  <c r="J313" i="19" s="1"/>
  <c r="E313" i="19"/>
  <c r="K313" i="19" s="1"/>
  <c r="A314" i="19"/>
  <c r="G314" i="19" s="1"/>
  <c r="B314" i="19"/>
  <c r="H314" i="19" s="1"/>
  <c r="C314" i="19"/>
  <c r="I314" i="19" s="1"/>
  <c r="D314" i="19"/>
  <c r="J314" i="19" s="1"/>
  <c r="E314" i="19"/>
  <c r="K314" i="19" s="1"/>
  <c r="A315" i="19"/>
  <c r="G315" i="19" s="1"/>
  <c r="B315" i="19"/>
  <c r="H315" i="19" s="1"/>
  <c r="C315" i="19"/>
  <c r="I315" i="19" s="1"/>
  <c r="D315" i="19"/>
  <c r="J315" i="19" s="1"/>
  <c r="E315" i="19"/>
  <c r="K315" i="19" s="1"/>
  <c r="A316" i="19"/>
  <c r="G316" i="19" s="1"/>
  <c r="B316" i="19"/>
  <c r="H316" i="19" s="1"/>
  <c r="C316" i="19"/>
  <c r="I316" i="19" s="1"/>
  <c r="D316" i="19"/>
  <c r="J316" i="19" s="1"/>
  <c r="E316" i="19"/>
  <c r="K316" i="19" s="1"/>
  <c r="A317" i="19"/>
  <c r="G317" i="19" s="1"/>
  <c r="B317" i="19"/>
  <c r="H317" i="19" s="1"/>
  <c r="C317" i="19"/>
  <c r="I317" i="19" s="1"/>
  <c r="D317" i="19"/>
  <c r="J317" i="19" s="1"/>
  <c r="E317" i="19"/>
  <c r="K317" i="19" s="1"/>
  <c r="A318" i="19"/>
  <c r="G318" i="19" s="1"/>
  <c r="B318" i="19"/>
  <c r="H318" i="19" s="1"/>
  <c r="C318" i="19"/>
  <c r="I318" i="19" s="1"/>
  <c r="D318" i="19"/>
  <c r="J318" i="19" s="1"/>
  <c r="E318" i="19"/>
  <c r="K318" i="19" s="1"/>
  <c r="A319" i="19"/>
  <c r="G319" i="19" s="1"/>
  <c r="B319" i="19"/>
  <c r="H319" i="19" s="1"/>
  <c r="C319" i="19"/>
  <c r="I319" i="19" s="1"/>
  <c r="D319" i="19"/>
  <c r="J319" i="19" s="1"/>
  <c r="E319" i="19"/>
  <c r="K319" i="19" s="1"/>
  <c r="A320" i="19"/>
  <c r="G320" i="19" s="1"/>
  <c r="B320" i="19"/>
  <c r="H320" i="19" s="1"/>
  <c r="C320" i="19"/>
  <c r="I320" i="19" s="1"/>
  <c r="D320" i="19"/>
  <c r="J320" i="19" s="1"/>
  <c r="E320" i="19"/>
  <c r="K320" i="19" s="1"/>
  <c r="A321" i="19"/>
  <c r="G321" i="19" s="1"/>
  <c r="B321" i="19"/>
  <c r="H321" i="19" s="1"/>
  <c r="C321" i="19"/>
  <c r="I321" i="19" s="1"/>
  <c r="D321" i="19"/>
  <c r="J321" i="19" s="1"/>
  <c r="E321" i="19"/>
  <c r="K321" i="19" s="1"/>
  <c r="A322" i="19"/>
  <c r="G322" i="19" s="1"/>
  <c r="B322" i="19"/>
  <c r="H322" i="19" s="1"/>
  <c r="C322" i="19"/>
  <c r="I322" i="19" s="1"/>
  <c r="D322" i="19"/>
  <c r="J322" i="19" s="1"/>
  <c r="E322" i="19"/>
  <c r="K322" i="19" s="1"/>
  <c r="A323" i="19"/>
  <c r="G323" i="19" s="1"/>
  <c r="B323" i="19"/>
  <c r="H323" i="19" s="1"/>
  <c r="C323" i="19"/>
  <c r="I323" i="19" s="1"/>
  <c r="D323" i="19"/>
  <c r="J323" i="19" s="1"/>
  <c r="E323" i="19"/>
  <c r="K323" i="19" s="1"/>
  <c r="A324" i="19"/>
  <c r="G324" i="19" s="1"/>
  <c r="B324" i="19"/>
  <c r="H324" i="19" s="1"/>
  <c r="C324" i="19"/>
  <c r="I324" i="19" s="1"/>
  <c r="D324" i="19"/>
  <c r="J324" i="19" s="1"/>
  <c r="E324" i="19"/>
  <c r="K324" i="19" s="1"/>
  <c r="A325" i="19"/>
  <c r="G325" i="19" s="1"/>
  <c r="B325" i="19"/>
  <c r="H325" i="19" s="1"/>
  <c r="C325" i="19"/>
  <c r="I325" i="19" s="1"/>
  <c r="D325" i="19"/>
  <c r="J325" i="19" s="1"/>
  <c r="E325" i="19"/>
  <c r="K325" i="19" s="1"/>
  <c r="A326" i="19"/>
  <c r="G326" i="19" s="1"/>
  <c r="B326" i="19"/>
  <c r="H326" i="19" s="1"/>
  <c r="C326" i="19"/>
  <c r="I326" i="19" s="1"/>
  <c r="D326" i="19"/>
  <c r="J326" i="19" s="1"/>
  <c r="E326" i="19"/>
  <c r="K326" i="19" s="1"/>
  <c r="A327" i="19"/>
  <c r="G327" i="19" s="1"/>
  <c r="B327" i="19"/>
  <c r="H327" i="19" s="1"/>
  <c r="C327" i="19"/>
  <c r="I327" i="19" s="1"/>
  <c r="D327" i="19"/>
  <c r="J327" i="19" s="1"/>
  <c r="E327" i="19"/>
  <c r="K327" i="19" s="1"/>
  <c r="A328" i="19"/>
  <c r="G328" i="19" s="1"/>
  <c r="B328" i="19"/>
  <c r="H328" i="19" s="1"/>
  <c r="C328" i="19"/>
  <c r="I328" i="19" s="1"/>
  <c r="D328" i="19"/>
  <c r="J328" i="19" s="1"/>
  <c r="E328" i="19"/>
  <c r="K328" i="19" s="1"/>
  <c r="A329" i="19"/>
  <c r="G329" i="19" s="1"/>
  <c r="B329" i="19"/>
  <c r="H329" i="19" s="1"/>
  <c r="C329" i="19"/>
  <c r="I329" i="19" s="1"/>
  <c r="D329" i="19"/>
  <c r="J329" i="19" s="1"/>
  <c r="E329" i="19"/>
  <c r="K329" i="19" s="1"/>
  <c r="A330" i="19"/>
  <c r="G330" i="19" s="1"/>
  <c r="B330" i="19"/>
  <c r="H330" i="19" s="1"/>
  <c r="C330" i="19"/>
  <c r="I330" i="19" s="1"/>
  <c r="D330" i="19"/>
  <c r="J330" i="19" s="1"/>
  <c r="E330" i="19"/>
  <c r="K330" i="19" s="1"/>
  <c r="A331" i="19"/>
  <c r="G331" i="19" s="1"/>
  <c r="B331" i="19"/>
  <c r="H331" i="19" s="1"/>
  <c r="C331" i="19"/>
  <c r="I331" i="19" s="1"/>
  <c r="D331" i="19"/>
  <c r="J331" i="19" s="1"/>
  <c r="E331" i="19"/>
  <c r="K331" i="19" s="1"/>
  <c r="A332" i="19"/>
  <c r="G332" i="19" s="1"/>
  <c r="B332" i="19"/>
  <c r="H332" i="19" s="1"/>
  <c r="C332" i="19"/>
  <c r="I332" i="19" s="1"/>
  <c r="D332" i="19"/>
  <c r="J332" i="19" s="1"/>
  <c r="E332" i="19"/>
  <c r="K332" i="19" s="1"/>
  <c r="A333" i="19"/>
  <c r="G333" i="19" s="1"/>
  <c r="B333" i="19"/>
  <c r="H333" i="19" s="1"/>
  <c r="C333" i="19"/>
  <c r="I333" i="19" s="1"/>
  <c r="D333" i="19"/>
  <c r="J333" i="19" s="1"/>
  <c r="E333" i="19"/>
  <c r="K333" i="19" s="1"/>
  <c r="A334" i="19"/>
  <c r="G334" i="19" s="1"/>
  <c r="B334" i="19"/>
  <c r="H334" i="19" s="1"/>
  <c r="C334" i="19"/>
  <c r="I334" i="19" s="1"/>
  <c r="D334" i="19"/>
  <c r="J334" i="19" s="1"/>
  <c r="E334" i="19"/>
  <c r="K334" i="19" s="1"/>
  <c r="A335" i="19"/>
  <c r="G335" i="19" s="1"/>
  <c r="B335" i="19"/>
  <c r="H335" i="19" s="1"/>
  <c r="C335" i="19"/>
  <c r="I335" i="19" s="1"/>
  <c r="D335" i="19"/>
  <c r="J335" i="19" s="1"/>
  <c r="E335" i="19"/>
  <c r="K335" i="19" s="1"/>
  <c r="A336" i="19"/>
  <c r="G336" i="19" s="1"/>
  <c r="B336" i="19"/>
  <c r="H336" i="19" s="1"/>
  <c r="C336" i="19"/>
  <c r="I336" i="19" s="1"/>
  <c r="D336" i="19"/>
  <c r="J336" i="19" s="1"/>
  <c r="E336" i="19"/>
  <c r="K336" i="19" s="1"/>
  <c r="A337" i="19"/>
  <c r="G337" i="19" s="1"/>
  <c r="B337" i="19"/>
  <c r="H337" i="19" s="1"/>
  <c r="C337" i="19"/>
  <c r="I337" i="19" s="1"/>
  <c r="D337" i="19"/>
  <c r="J337" i="19" s="1"/>
  <c r="E337" i="19"/>
  <c r="K337" i="19" s="1"/>
  <c r="A338" i="19"/>
  <c r="G338" i="19" s="1"/>
  <c r="B338" i="19"/>
  <c r="H338" i="19" s="1"/>
  <c r="C338" i="19"/>
  <c r="I338" i="19" s="1"/>
  <c r="D338" i="19"/>
  <c r="J338" i="19" s="1"/>
  <c r="E338" i="19"/>
  <c r="K338" i="19" s="1"/>
  <c r="A339" i="19"/>
  <c r="G339" i="19" s="1"/>
  <c r="B339" i="19"/>
  <c r="H339" i="19" s="1"/>
  <c r="C339" i="19"/>
  <c r="I339" i="19" s="1"/>
  <c r="D339" i="19"/>
  <c r="J339" i="19" s="1"/>
  <c r="E339" i="19"/>
  <c r="K339" i="19" s="1"/>
  <c r="A340" i="19"/>
  <c r="G340" i="19" s="1"/>
  <c r="B340" i="19"/>
  <c r="H340" i="19" s="1"/>
  <c r="C340" i="19"/>
  <c r="I340" i="19" s="1"/>
  <c r="D340" i="19"/>
  <c r="J340" i="19" s="1"/>
  <c r="E340" i="19"/>
  <c r="K340" i="19" s="1"/>
  <c r="A341" i="19"/>
  <c r="G341" i="19" s="1"/>
  <c r="B341" i="19"/>
  <c r="H341" i="19" s="1"/>
  <c r="C341" i="19"/>
  <c r="I341" i="19" s="1"/>
  <c r="D341" i="19"/>
  <c r="J341" i="19" s="1"/>
  <c r="E341" i="19"/>
  <c r="K341" i="19" s="1"/>
  <c r="A342" i="19"/>
  <c r="G342" i="19" s="1"/>
  <c r="B342" i="19"/>
  <c r="H342" i="19" s="1"/>
  <c r="C342" i="19"/>
  <c r="I342" i="19" s="1"/>
  <c r="D342" i="19"/>
  <c r="J342" i="19" s="1"/>
  <c r="E342" i="19"/>
  <c r="K342" i="19" s="1"/>
  <c r="A343" i="19"/>
  <c r="G343" i="19" s="1"/>
  <c r="B343" i="19"/>
  <c r="H343" i="19" s="1"/>
  <c r="C343" i="19"/>
  <c r="I343" i="19" s="1"/>
  <c r="D343" i="19"/>
  <c r="J343" i="19" s="1"/>
  <c r="E343" i="19"/>
  <c r="K343" i="19" s="1"/>
  <c r="A344" i="19"/>
  <c r="G344" i="19" s="1"/>
  <c r="B344" i="19"/>
  <c r="H344" i="19" s="1"/>
  <c r="C344" i="19"/>
  <c r="I344" i="19" s="1"/>
  <c r="D344" i="19"/>
  <c r="J344" i="19" s="1"/>
  <c r="E344" i="19"/>
  <c r="K344" i="19" s="1"/>
  <c r="A345" i="19"/>
  <c r="G345" i="19" s="1"/>
  <c r="B345" i="19"/>
  <c r="H345" i="19" s="1"/>
  <c r="C345" i="19"/>
  <c r="I345" i="19" s="1"/>
  <c r="D345" i="19"/>
  <c r="J345" i="19" s="1"/>
  <c r="E345" i="19"/>
  <c r="K345" i="19" s="1"/>
  <c r="A346" i="19"/>
  <c r="G346" i="19" s="1"/>
  <c r="B346" i="19"/>
  <c r="H346" i="19" s="1"/>
  <c r="C346" i="19"/>
  <c r="I346" i="19" s="1"/>
  <c r="D346" i="19"/>
  <c r="J346" i="19" s="1"/>
  <c r="E346" i="19"/>
  <c r="K346" i="19" s="1"/>
  <c r="A347" i="19"/>
  <c r="G347" i="19" s="1"/>
  <c r="B347" i="19"/>
  <c r="H347" i="19" s="1"/>
  <c r="C347" i="19"/>
  <c r="I347" i="19" s="1"/>
  <c r="D347" i="19"/>
  <c r="J347" i="19" s="1"/>
  <c r="E347" i="19"/>
  <c r="K347" i="19" s="1"/>
  <c r="A348" i="19"/>
  <c r="G348" i="19" s="1"/>
  <c r="B348" i="19"/>
  <c r="H348" i="19" s="1"/>
  <c r="C348" i="19"/>
  <c r="I348" i="19" s="1"/>
  <c r="D348" i="19"/>
  <c r="J348" i="19" s="1"/>
  <c r="E348" i="19"/>
  <c r="K348" i="19" s="1"/>
  <c r="A349" i="19"/>
  <c r="G349" i="19" s="1"/>
  <c r="B349" i="19"/>
  <c r="H349" i="19" s="1"/>
  <c r="C349" i="19"/>
  <c r="I349" i="19" s="1"/>
  <c r="D349" i="19"/>
  <c r="J349" i="19" s="1"/>
  <c r="E349" i="19"/>
  <c r="K349" i="19" s="1"/>
  <c r="A350" i="19"/>
  <c r="G350" i="19" s="1"/>
  <c r="B350" i="19"/>
  <c r="H350" i="19" s="1"/>
  <c r="C350" i="19"/>
  <c r="I350" i="19" s="1"/>
  <c r="D350" i="19"/>
  <c r="J350" i="19" s="1"/>
  <c r="E350" i="19"/>
  <c r="K350" i="19" s="1"/>
  <c r="A351" i="19"/>
  <c r="G351" i="19" s="1"/>
  <c r="B351" i="19"/>
  <c r="H351" i="19" s="1"/>
  <c r="C351" i="19"/>
  <c r="I351" i="19" s="1"/>
  <c r="D351" i="19"/>
  <c r="J351" i="19" s="1"/>
  <c r="E351" i="19"/>
  <c r="K351" i="19" s="1"/>
  <c r="A352" i="19"/>
  <c r="G352" i="19" s="1"/>
  <c r="B352" i="19"/>
  <c r="H352" i="19" s="1"/>
  <c r="C352" i="19"/>
  <c r="I352" i="19" s="1"/>
  <c r="D352" i="19"/>
  <c r="J352" i="19" s="1"/>
  <c r="E352" i="19"/>
  <c r="K352" i="19" s="1"/>
  <c r="A353" i="19"/>
  <c r="G353" i="19" s="1"/>
  <c r="B353" i="19"/>
  <c r="H353" i="19" s="1"/>
  <c r="C353" i="19"/>
  <c r="I353" i="19" s="1"/>
  <c r="D353" i="19"/>
  <c r="J353" i="19" s="1"/>
  <c r="E353" i="19"/>
  <c r="K353" i="19" s="1"/>
  <c r="A354" i="19"/>
  <c r="G354" i="19" s="1"/>
  <c r="B354" i="19"/>
  <c r="H354" i="19" s="1"/>
  <c r="C354" i="19"/>
  <c r="I354" i="19" s="1"/>
  <c r="D354" i="19"/>
  <c r="J354" i="19" s="1"/>
  <c r="E354" i="19"/>
  <c r="K354" i="19" s="1"/>
  <c r="A355" i="19"/>
  <c r="G355" i="19" s="1"/>
  <c r="B355" i="19"/>
  <c r="H355" i="19" s="1"/>
  <c r="C355" i="19"/>
  <c r="I355" i="19" s="1"/>
  <c r="D355" i="19"/>
  <c r="J355" i="19" s="1"/>
  <c r="E355" i="19"/>
  <c r="K355" i="19" s="1"/>
  <c r="A356" i="19"/>
  <c r="G356" i="19" s="1"/>
  <c r="B356" i="19"/>
  <c r="H356" i="19" s="1"/>
  <c r="C356" i="19"/>
  <c r="I356" i="19" s="1"/>
  <c r="D356" i="19"/>
  <c r="J356" i="19" s="1"/>
  <c r="E356" i="19"/>
  <c r="K356" i="19" s="1"/>
  <c r="A357" i="19"/>
  <c r="G357" i="19" s="1"/>
  <c r="B357" i="19"/>
  <c r="H357" i="19" s="1"/>
  <c r="C357" i="19"/>
  <c r="I357" i="19" s="1"/>
  <c r="D357" i="19"/>
  <c r="J357" i="19" s="1"/>
  <c r="E357" i="19"/>
  <c r="K357" i="19" s="1"/>
  <c r="A358" i="19"/>
  <c r="G358" i="19" s="1"/>
  <c r="B358" i="19"/>
  <c r="H358" i="19" s="1"/>
  <c r="C358" i="19"/>
  <c r="I358" i="19" s="1"/>
  <c r="D358" i="19"/>
  <c r="J358" i="19" s="1"/>
  <c r="E358" i="19"/>
  <c r="K358" i="19" s="1"/>
  <c r="A359" i="19"/>
  <c r="G359" i="19" s="1"/>
  <c r="B359" i="19"/>
  <c r="H359" i="19" s="1"/>
  <c r="C359" i="19"/>
  <c r="I359" i="19" s="1"/>
  <c r="D359" i="19"/>
  <c r="J359" i="19" s="1"/>
  <c r="E359" i="19"/>
  <c r="K359" i="19" s="1"/>
  <c r="A360" i="19"/>
  <c r="G360" i="19" s="1"/>
  <c r="B360" i="19"/>
  <c r="H360" i="19" s="1"/>
  <c r="C360" i="19"/>
  <c r="I360" i="19" s="1"/>
  <c r="D360" i="19"/>
  <c r="J360" i="19" s="1"/>
  <c r="E360" i="19"/>
  <c r="K360" i="19" s="1"/>
  <c r="A361" i="19"/>
  <c r="G361" i="19" s="1"/>
  <c r="B361" i="19"/>
  <c r="H361" i="19" s="1"/>
  <c r="C361" i="19"/>
  <c r="I361" i="19" s="1"/>
  <c r="D361" i="19"/>
  <c r="J361" i="19" s="1"/>
  <c r="E361" i="19"/>
  <c r="K361" i="19" s="1"/>
  <c r="A362" i="19"/>
  <c r="G362" i="19" s="1"/>
  <c r="B362" i="19"/>
  <c r="H362" i="19" s="1"/>
  <c r="C362" i="19"/>
  <c r="I362" i="19" s="1"/>
  <c r="D362" i="19"/>
  <c r="J362" i="19" s="1"/>
  <c r="E362" i="19"/>
  <c r="K362" i="19" s="1"/>
  <c r="A363" i="19"/>
  <c r="G363" i="19" s="1"/>
  <c r="B363" i="19"/>
  <c r="H363" i="19" s="1"/>
  <c r="C363" i="19"/>
  <c r="I363" i="19" s="1"/>
  <c r="D363" i="19"/>
  <c r="J363" i="19" s="1"/>
  <c r="E363" i="19"/>
  <c r="K363" i="19" s="1"/>
  <c r="A364" i="19"/>
  <c r="G364" i="19" s="1"/>
  <c r="B364" i="19"/>
  <c r="H364" i="19" s="1"/>
  <c r="C364" i="19"/>
  <c r="I364" i="19" s="1"/>
  <c r="D364" i="19"/>
  <c r="J364" i="19" s="1"/>
  <c r="E364" i="19"/>
  <c r="K364" i="19" s="1"/>
  <c r="A365" i="19"/>
  <c r="G365" i="19" s="1"/>
  <c r="B365" i="19"/>
  <c r="H365" i="19" s="1"/>
  <c r="C365" i="19"/>
  <c r="I365" i="19" s="1"/>
  <c r="D365" i="19"/>
  <c r="J365" i="19" s="1"/>
  <c r="E365" i="19"/>
  <c r="K365" i="19" s="1"/>
  <c r="A366" i="19"/>
  <c r="G366" i="19" s="1"/>
  <c r="B366" i="19"/>
  <c r="H366" i="19" s="1"/>
  <c r="C366" i="19"/>
  <c r="I366" i="19" s="1"/>
  <c r="D366" i="19"/>
  <c r="J366" i="19" s="1"/>
  <c r="E366" i="19"/>
  <c r="K366" i="19" s="1"/>
  <c r="A367" i="19"/>
  <c r="G367" i="19" s="1"/>
  <c r="B367" i="19"/>
  <c r="H367" i="19" s="1"/>
  <c r="C367" i="19"/>
  <c r="I367" i="19" s="1"/>
  <c r="D367" i="19"/>
  <c r="J367" i="19" s="1"/>
  <c r="E367" i="19"/>
  <c r="K367" i="19" s="1"/>
  <c r="A368" i="19"/>
  <c r="G368" i="19" s="1"/>
  <c r="B368" i="19"/>
  <c r="H368" i="19" s="1"/>
  <c r="C368" i="19"/>
  <c r="I368" i="19" s="1"/>
  <c r="D368" i="19"/>
  <c r="J368" i="19" s="1"/>
  <c r="E368" i="19"/>
  <c r="K368" i="19" s="1"/>
  <c r="A369" i="19"/>
  <c r="G369" i="19" s="1"/>
  <c r="B369" i="19"/>
  <c r="H369" i="19" s="1"/>
  <c r="C369" i="19"/>
  <c r="I369" i="19" s="1"/>
  <c r="D369" i="19"/>
  <c r="J369" i="19" s="1"/>
  <c r="E369" i="19"/>
  <c r="K369" i="19" s="1"/>
  <c r="A370" i="19"/>
  <c r="G370" i="19" s="1"/>
  <c r="B370" i="19"/>
  <c r="H370" i="19" s="1"/>
  <c r="C370" i="19"/>
  <c r="I370" i="19" s="1"/>
  <c r="D370" i="19"/>
  <c r="J370" i="19" s="1"/>
  <c r="E370" i="19"/>
  <c r="K370" i="19" s="1"/>
  <c r="A371" i="19"/>
  <c r="G371" i="19" s="1"/>
  <c r="B371" i="19"/>
  <c r="H371" i="19" s="1"/>
  <c r="C371" i="19"/>
  <c r="I371" i="19" s="1"/>
  <c r="D371" i="19"/>
  <c r="J371" i="19" s="1"/>
  <c r="E371" i="19"/>
  <c r="K371" i="19" s="1"/>
  <c r="A372" i="19"/>
  <c r="G372" i="19" s="1"/>
  <c r="B372" i="19"/>
  <c r="H372" i="19" s="1"/>
  <c r="C372" i="19"/>
  <c r="I372" i="19" s="1"/>
  <c r="D372" i="19"/>
  <c r="J372" i="19" s="1"/>
  <c r="E372" i="19"/>
  <c r="K372" i="19" s="1"/>
  <c r="A373" i="19"/>
  <c r="G373" i="19" s="1"/>
  <c r="B373" i="19"/>
  <c r="H373" i="19" s="1"/>
  <c r="C373" i="19"/>
  <c r="I373" i="19" s="1"/>
  <c r="D373" i="19"/>
  <c r="J373" i="19" s="1"/>
  <c r="E373" i="19"/>
  <c r="K373" i="19" s="1"/>
  <c r="A374" i="19"/>
  <c r="G374" i="19" s="1"/>
  <c r="B374" i="19"/>
  <c r="H374" i="19" s="1"/>
  <c r="C374" i="19"/>
  <c r="I374" i="19" s="1"/>
  <c r="D374" i="19"/>
  <c r="J374" i="19" s="1"/>
  <c r="E374" i="19"/>
  <c r="K374" i="19" s="1"/>
  <c r="A375" i="19"/>
  <c r="G375" i="19" s="1"/>
  <c r="B375" i="19"/>
  <c r="H375" i="19" s="1"/>
  <c r="C375" i="19"/>
  <c r="I375" i="19" s="1"/>
  <c r="D375" i="19"/>
  <c r="J375" i="19" s="1"/>
  <c r="E375" i="19"/>
  <c r="K375" i="19" s="1"/>
  <c r="A376" i="19"/>
  <c r="G376" i="19" s="1"/>
  <c r="B376" i="19"/>
  <c r="H376" i="19" s="1"/>
  <c r="C376" i="19"/>
  <c r="I376" i="19" s="1"/>
  <c r="D376" i="19"/>
  <c r="J376" i="19" s="1"/>
  <c r="E376" i="19"/>
  <c r="K376" i="19" s="1"/>
  <c r="A377" i="19"/>
  <c r="G377" i="19" s="1"/>
  <c r="B377" i="19"/>
  <c r="H377" i="19" s="1"/>
  <c r="C377" i="19"/>
  <c r="I377" i="19" s="1"/>
  <c r="D377" i="19"/>
  <c r="J377" i="19" s="1"/>
  <c r="E377" i="19"/>
  <c r="K377" i="19" s="1"/>
  <c r="A378" i="19"/>
  <c r="G378" i="19" s="1"/>
  <c r="B378" i="19"/>
  <c r="H378" i="19" s="1"/>
  <c r="C378" i="19"/>
  <c r="I378" i="19" s="1"/>
  <c r="D378" i="19"/>
  <c r="J378" i="19" s="1"/>
  <c r="E378" i="19"/>
  <c r="K378" i="19" s="1"/>
  <c r="A379" i="19"/>
  <c r="G379" i="19" s="1"/>
  <c r="B379" i="19"/>
  <c r="H379" i="19" s="1"/>
  <c r="C379" i="19"/>
  <c r="I379" i="19" s="1"/>
  <c r="D379" i="19"/>
  <c r="J379" i="19" s="1"/>
  <c r="E379" i="19"/>
  <c r="K379" i="19" s="1"/>
  <c r="A380" i="19"/>
  <c r="G380" i="19" s="1"/>
  <c r="B380" i="19"/>
  <c r="H380" i="19" s="1"/>
  <c r="C380" i="19"/>
  <c r="I380" i="19" s="1"/>
  <c r="D380" i="19"/>
  <c r="J380" i="19" s="1"/>
  <c r="E380" i="19"/>
  <c r="K380" i="19" s="1"/>
  <c r="A381" i="19"/>
  <c r="G381" i="19" s="1"/>
  <c r="B381" i="19"/>
  <c r="H381" i="19" s="1"/>
  <c r="C381" i="19"/>
  <c r="I381" i="19" s="1"/>
  <c r="D381" i="19"/>
  <c r="J381" i="19" s="1"/>
  <c r="E381" i="19"/>
  <c r="K381" i="19" s="1"/>
  <c r="A382" i="19"/>
  <c r="G382" i="19" s="1"/>
  <c r="B382" i="19"/>
  <c r="H382" i="19" s="1"/>
  <c r="C382" i="19"/>
  <c r="I382" i="19" s="1"/>
  <c r="D382" i="19"/>
  <c r="J382" i="19" s="1"/>
  <c r="E382" i="19"/>
  <c r="K382" i="19" s="1"/>
  <c r="A383" i="19"/>
  <c r="G383" i="19" s="1"/>
  <c r="B383" i="19"/>
  <c r="H383" i="19" s="1"/>
  <c r="C383" i="19"/>
  <c r="I383" i="19" s="1"/>
  <c r="D383" i="19"/>
  <c r="J383" i="19" s="1"/>
  <c r="E383" i="19"/>
  <c r="K383" i="19" s="1"/>
  <c r="A384" i="19"/>
  <c r="G384" i="19" s="1"/>
  <c r="B384" i="19"/>
  <c r="H384" i="19" s="1"/>
  <c r="C384" i="19"/>
  <c r="I384" i="19" s="1"/>
  <c r="D384" i="19"/>
  <c r="J384" i="19" s="1"/>
  <c r="E384" i="19"/>
  <c r="K384" i="19" s="1"/>
  <c r="A385" i="19"/>
  <c r="G385" i="19" s="1"/>
  <c r="B385" i="19"/>
  <c r="H385" i="19" s="1"/>
  <c r="C385" i="19"/>
  <c r="I385" i="19" s="1"/>
  <c r="D385" i="19"/>
  <c r="J385" i="19" s="1"/>
  <c r="E385" i="19"/>
  <c r="K385" i="19" s="1"/>
  <c r="A386" i="19"/>
  <c r="G386" i="19" s="1"/>
  <c r="B386" i="19"/>
  <c r="H386" i="19" s="1"/>
  <c r="C386" i="19"/>
  <c r="I386" i="19" s="1"/>
  <c r="D386" i="19"/>
  <c r="J386" i="19" s="1"/>
  <c r="E386" i="19"/>
  <c r="K386" i="19" s="1"/>
  <c r="A387" i="19"/>
  <c r="G387" i="19" s="1"/>
  <c r="B387" i="19"/>
  <c r="H387" i="19" s="1"/>
  <c r="C387" i="19"/>
  <c r="I387" i="19" s="1"/>
  <c r="D387" i="19"/>
  <c r="J387" i="19" s="1"/>
  <c r="E387" i="19"/>
  <c r="K387" i="19" s="1"/>
  <c r="A388" i="19"/>
  <c r="G388" i="19" s="1"/>
  <c r="B388" i="19"/>
  <c r="H388" i="19" s="1"/>
  <c r="C388" i="19"/>
  <c r="I388" i="19" s="1"/>
  <c r="D388" i="19"/>
  <c r="J388" i="19" s="1"/>
  <c r="E388" i="19"/>
  <c r="K388" i="19" s="1"/>
  <c r="A389" i="19"/>
  <c r="G389" i="19" s="1"/>
  <c r="B389" i="19"/>
  <c r="H389" i="19" s="1"/>
  <c r="C389" i="19"/>
  <c r="I389" i="19" s="1"/>
  <c r="D389" i="19"/>
  <c r="J389" i="19" s="1"/>
  <c r="E389" i="19"/>
  <c r="K389" i="19" s="1"/>
  <c r="A390" i="19"/>
  <c r="G390" i="19" s="1"/>
  <c r="B390" i="19"/>
  <c r="H390" i="19" s="1"/>
  <c r="C390" i="19"/>
  <c r="I390" i="19" s="1"/>
  <c r="D390" i="19"/>
  <c r="J390" i="19" s="1"/>
  <c r="E390" i="19"/>
  <c r="K390" i="19" s="1"/>
  <c r="A391" i="19"/>
  <c r="G391" i="19" s="1"/>
  <c r="B391" i="19"/>
  <c r="H391" i="19" s="1"/>
  <c r="C391" i="19"/>
  <c r="I391" i="19" s="1"/>
  <c r="D391" i="19"/>
  <c r="J391" i="19" s="1"/>
  <c r="E391" i="19"/>
  <c r="K391" i="19" s="1"/>
  <c r="A392" i="19"/>
  <c r="G392" i="19" s="1"/>
  <c r="B392" i="19"/>
  <c r="H392" i="19" s="1"/>
  <c r="C392" i="19"/>
  <c r="I392" i="19" s="1"/>
  <c r="D392" i="19"/>
  <c r="J392" i="19" s="1"/>
  <c r="E392" i="19"/>
  <c r="K392" i="19" s="1"/>
  <c r="A393" i="19"/>
  <c r="G393" i="19" s="1"/>
  <c r="B393" i="19"/>
  <c r="H393" i="19" s="1"/>
  <c r="C393" i="19"/>
  <c r="I393" i="19" s="1"/>
  <c r="D393" i="19"/>
  <c r="J393" i="19" s="1"/>
  <c r="E393" i="19"/>
  <c r="K393" i="19" s="1"/>
  <c r="A394" i="19"/>
  <c r="G394" i="19" s="1"/>
  <c r="B394" i="19"/>
  <c r="H394" i="19" s="1"/>
  <c r="C394" i="19"/>
  <c r="I394" i="19" s="1"/>
  <c r="D394" i="19"/>
  <c r="J394" i="19" s="1"/>
  <c r="E394" i="19"/>
  <c r="K394" i="19" s="1"/>
  <c r="A395" i="19"/>
  <c r="G395" i="19" s="1"/>
  <c r="B395" i="19"/>
  <c r="H395" i="19" s="1"/>
  <c r="C395" i="19"/>
  <c r="I395" i="19" s="1"/>
  <c r="D395" i="19"/>
  <c r="J395" i="19" s="1"/>
  <c r="E395" i="19"/>
  <c r="K395" i="19" s="1"/>
  <c r="A396" i="19"/>
  <c r="G396" i="19" s="1"/>
  <c r="B396" i="19"/>
  <c r="H396" i="19" s="1"/>
  <c r="C396" i="19"/>
  <c r="I396" i="19" s="1"/>
  <c r="D396" i="19"/>
  <c r="J396" i="19" s="1"/>
  <c r="E396" i="19"/>
  <c r="K396" i="19" s="1"/>
  <c r="A397" i="19"/>
  <c r="G397" i="19" s="1"/>
  <c r="B397" i="19"/>
  <c r="H397" i="19" s="1"/>
  <c r="C397" i="19"/>
  <c r="I397" i="19" s="1"/>
  <c r="D397" i="19"/>
  <c r="J397" i="19" s="1"/>
  <c r="E397" i="19"/>
  <c r="K397" i="19" s="1"/>
  <c r="A398" i="19"/>
  <c r="G398" i="19" s="1"/>
  <c r="B398" i="19"/>
  <c r="H398" i="19" s="1"/>
  <c r="C398" i="19"/>
  <c r="I398" i="19" s="1"/>
  <c r="D398" i="19"/>
  <c r="J398" i="19" s="1"/>
  <c r="E398" i="19"/>
  <c r="K398" i="19" s="1"/>
  <c r="A399" i="19"/>
  <c r="G399" i="19" s="1"/>
  <c r="B399" i="19"/>
  <c r="H399" i="19" s="1"/>
  <c r="C399" i="19"/>
  <c r="I399" i="19" s="1"/>
  <c r="D399" i="19"/>
  <c r="J399" i="19" s="1"/>
  <c r="E399" i="19"/>
  <c r="K399" i="19" s="1"/>
  <c r="A400" i="19"/>
  <c r="G400" i="19" s="1"/>
  <c r="B400" i="19"/>
  <c r="H400" i="19" s="1"/>
  <c r="C400" i="19"/>
  <c r="I400" i="19" s="1"/>
  <c r="D400" i="19"/>
  <c r="J400" i="19" s="1"/>
  <c r="E400" i="19"/>
  <c r="K400" i="19" s="1"/>
  <c r="A401" i="19"/>
  <c r="G401" i="19" s="1"/>
  <c r="B401" i="19"/>
  <c r="H401" i="19" s="1"/>
  <c r="C401" i="19"/>
  <c r="I401" i="19" s="1"/>
  <c r="D401" i="19"/>
  <c r="J401" i="19" s="1"/>
  <c r="E401" i="19"/>
  <c r="K401" i="19" s="1"/>
  <c r="A402" i="19"/>
  <c r="G402" i="19" s="1"/>
  <c r="B402" i="19"/>
  <c r="H402" i="19" s="1"/>
  <c r="C402" i="19"/>
  <c r="I402" i="19" s="1"/>
  <c r="D402" i="19"/>
  <c r="J402" i="19" s="1"/>
  <c r="E402" i="19"/>
  <c r="K402" i="19" s="1"/>
  <c r="A403" i="19"/>
  <c r="G403" i="19" s="1"/>
  <c r="B403" i="19"/>
  <c r="H403" i="19" s="1"/>
  <c r="C403" i="19"/>
  <c r="I403" i="19" s="1"/>
  <c r="D403" i="19"/>
  <c r="J403" i="19" s="1"/>
  <c r="E403" i="19"/>
  <c r="K403" i="19" s="1"/>
  <c r="A404" i="19"/>
  <c r="G404" i="19" s="1"/>
  <c r="B404" i="19"/>
  <c r="H404" i="19" s="1"/>
  <c r="C404" i="19"/>
  <c r="I404" i="19" s="1"/>
  <c r="D404" i="19"/>
  <c r="J404" i="19" s="1"/>
  <c r="E404" i="19"/>
  <c r="K404" i="19" s="1"/>
  <c r="A405" i="19"/>
  <c r="G405" i="19" s="1"/>
  <c r="B405" i="19"/>
  <c r="H405" i="19" s="1"/>
  <c r="C405" i="19"/>
  <c r="I405" i="19" s="1"/>
  <c r="D405" i="19"/>
  <c r="J405" i="19" s="1"/>
  <c r="E405" i="19"/>
  <c r="K405" i="19" s="1"/>
  <c r="A406" i="19"/>
  <c r="G406" i="19" s="1"/>
  <c r="B406" i="19"/>
  <c r="H406" i="19" s="1"/>
  <c r="C406" i="19"/>
  <c r="I406" i="19" s="1"/>
  <c r="D406" i="19"/>
  <c r="J406" i="19" s="1"/>
  <c r="E406" i="19"/>
  <c r="K406" i="19" s="1"/>
  <c r="A407" i="19"/>
  <c r="G407" i="19" s="1"/>
  <c r="B407" i="19"/>
  <c r="H407" i="19" s="1"/>
  <c r="C407" i="19"/>
  <c r="I407" i="19" s="1"/>
  <c r="D407" i="19"/>
  <c r="J407" i="19" s="1"/>
  <c r="E407" i="19"/>
  <c r="K407" i="19" s="1"/>
  <c r="A408" i="19"/>
  <c r="G408" i="19" s="1"/>
  <c r="B408" i="19"/>
  <c r="H408" i="19" s="1"/>
  <c r="C408" i="19"/>
  <c r="I408" i="19" s="1"/>
  <c r="D408" i="19"/>
  <c r="J408" i="19" s="1"/>
  <c r="E408" i="19"/>
  <c r="K408" i="19" s="1"/>
  <c r="A409" i="19"/>
  <c r="G409" i="19" s="1"/>
  <c r="B409" i="19"/>
  <c r="H409" i="19" s="1"/>
  <c r="C409" i="19"/>
  <c r="I409" i="19" s="1"/>
  <c r="D409" i="19"/>
  <c r="J409" i="19" s="1"/>
  <c r="E409" i="19"/>
  <c r="K409" i="19" s="1"/>
  <c r="A410" i="19"/>
  <c r="G410" i="19" s="1"/>
  <c r="B410" i="19"/>
  <c r="H410" i="19" s="1"/>
  <c r="C410" i="19"/>
  <c r="I410" i="19" s="1"/>
  <c r="D410" i="19"/>
  <c r="J410" i="19" s="1"/>
  <c r="E410" i="19"/>
  <c r="K410" i="19" s="1"/>
  <c r="A411" i="19"/>
  <c r="G411" i="19" s="1"/>
  <c r="B411" i="19"/>
  <c r="H411" i="19" s="1"/>
  <c r="C411" i="19"/>
  <c r="I411" i="19" s="1"/>
  <c r="D411" i="19"/>
  <c r="J411" i="19" s="1"/>
  <c r="E411" i="19"/>
  <c r="K411" i="19" s="1"/>
  <c r="A412" i="19"/>
  <c r="G412" i="19" s="1"/>
  <c r="B412" i="19"/>
  <c r="H412" i="19" s="1"/>
  <c r="C412" i="19"/>
  <c r="I412" i="19" s="1"/>
  <c r="D412" i="19"/>
  <c r="J412" i="19" s="1"/>
  <c r="E412" i="19"/>
  <c r="K412" i="19" s="1"/>
  <c r="A413" i="19"/>
  <c r="G413" i="19" s="1"/>
  <c r="B413" i="19"/>
  <c r="H413" i="19" s="1"/>
  <c r="C413" i="19"/>
  <c r="I413" i="19" s="1"/>
  <c r="D413" i="19"/>
  <c r="J413" i="19" s="1"/>
  <c r="E413" i="19"/>
  <c r="K413" i="19" s="1"/>
  <c r="A414" i="19"/>
  <c r="G414" i="19" s="1"/>
  <c r="B414" i="19"/>
  <c r="H414" i="19" s="1"/>
  <c r="C414" i="19"/>
  <c r="I414" i="19" s="1"/>
  <c r="D414" i="19"/>
  <c r="J414" i="19" s="1"/>
  <c r="E414" i="19"/>
  <c r="K414" i="19" s="1"/>
  <c r="A415" i="19"/>
  <c r="G415" i="19" s="1"/>
  <c r="B415" i="19"/>
  <c r="H415" i="19" s="1"/>
  <c r="C415" i="19"/>
  <c r="I415" i="19" s="1"/>
  <c r="D415" i="19"/>
  <c r="J415" i="19" s="1"/>
  <c r="E415" i="19"/>
  <c r="K415" i="19" s="1"/>
  <c r="A416" i="19"/>
  <c r="G416" i="19" s="1"/>
  <c r="B416" i="19"/>
  <c r="H416" i="19" s="1"/>
  <c r="C416" i="19"/>
  <c r="I416" i="19" s="1"/>
  <c r="D416" i="19"/>
  <c r="J416" i="19" s="1"/>
  <c r="E416" i="19"/>
  <c r="K416" i="19" s="1"/>
  <c r="A417" i="19"/>
  <c r="G417" i="19" s="1"/>
  <c r="B417" i="19"/>
  <c r="H417" i="19" s="1"/>
  <c r="C417" i="19"/>
  <c r="I417" i="19" s="1"/>
  <c r="D417" i="19"/>
  <c r="J417" i="19" s="1"/>
  <c r="E417" i="19"/>
  <c r="K417" i="19" s="1"/>
  <c r="A418" i="19"/>
  <c r="G418" i="19" s="1"/>
  <c r="B418" i="19"/>
  <c r="H418" i="19" s="1"/>
  <c r="C418" i="19"/>
  <c r="I418" i="19" s="1"/>
  <c r="D418" i="19"/>
  <c r="J418" i="19" s="1"/>
  <c r="E418" i="19"/>
  <c r="K418" i="19" s="1"/>
  <c r="A419" i="19"/>
  <c r="G419" i="19" s="1"/>
  <c r="B419" i="19"/>
  <c r="H419" i="19" s="1"/>
  <c r="C419" i="19"/>
  <c r="I419" i="19" s="1"/>
  <c r="D419" i="19"/>
  <c r="J419" i="19" s="1"/>
  <c r="E419" i="19"/>
  <c r="K419" i="19" s="1"/>
  <c r="A420" i="19"/>
  <c r="G420" i="19" s="1"/>
  <c r="B420" i="19"/>
  <c r="H420" i="19" s="1"/>
  <c r="C420" i="19"/>
  <c r="I420" i="19" s="1"/>
  <c r="D420" i="19"/>
  <c r="J420" i="19" s="1"/>
  <c r="E420" i="19"/>
  <c r="K420" i="19" s="1"/>
  <c r="A421" i="19"/>
  <c r="G421" i="19" s="1"/>
  <c r="B421" i="19"/>
  <c r="H421" i="19" s="1"/>
  <c r="C421" i="19"/>
  <c r="I421" i="19" s="1"/>
  <c r="D421" i="19"/>
  <c r="J421" i="19" s="1"/>
  <c r="E421" i="19"/>
  <c r="K421" i="19" s="1"/>
  <c r="A422" i="19"/>
  <c r="G422" i="19" s="1"/>
  <c r="B422" i="19"/>
  <c r="H422" i="19" s="1"/>
  <c r="C422" i="19"/>
  <c r="I422" i="19" s="1"/>
  <c r="D422" i="19"/>
  <c r="J422" i="19" s="1"/>
  <c r="E422" i="19"/>
  <c r="K422" i="19" s="1"/>
  <c r="A423" i="19"/>
  <c r="G423" i="19" s="1"/>
  <c r="B423" i="19"/>
  <c r="H423" i="19" s="1"/>
  <c r="C423" i="19"/>
  <c r="I423" i="19" s="1"/>
  <c r="D423" i="19"/>
  <c r="J423" i="19" s="1"/>
  <c r="E423" i="19"/>
  <c r="K423" i="19" s="1"/>
  <c r="A424" i="19"/>
  <c r="G424" i="19" s="1"/>
  <c r="B424" i="19"/>
  <c r="H424" i="19" s="1"/>
  <c r="C424" i="19"/>
  <c r="I424" i="19" s="1"/>
  <c r="D424" i="19"/>
  <c r="J424" i="19" s="1"/>
  <c r="E424" i="19"/>
  <c r="K424" i="19" s="1"/>
  <c r="A425" i="19"/>
  <c r="G425" i="19" s="1"/>
  <c r="B425" i="19"/>
  <c r="H425" i="19" s="1"/>
  <c r="C425" i="19"/>
  <c r="I425" i="19" s="1"/>
  <c r="D425" i="19"/>
  <c r="J425" i="19" s="1"/>
  <c r="E425" i="19"/>
  <c r="K425" i="19" s="1"/>
  <c r="A426" i="19"/>
  <c r="G426" i="19" s="1"/>
  <c r="B426" i="19"/>
  <c r="H426" i="19" s="1"/>
  <c r="C426" i="19"/>
  <c r="I426" i="19" s="1"/>
  <c r="D426" i="19"/>
  <c r="J426" i="19" s="1"/>
  <c r="E426" i="19"/>
  <c r="K426" i="19" s="1"/>
  <c r="A427" i="19"/>
  <c r="G427" i="19" s="1"/>
  <c r="B427" i="19"/>
  <c r="H427" i="19" s="1"/>
  <c r="C427" i="19"/>
  <c r="I427" i="19" s="1"/>
  <c r="D427" i="19"/>
  <c r="J427" i="19" s="1"/>
  <c r="E427" i="19"/>
  <c r="K427" i="19" s="1"/>
  <c r="A428" i="19"/>
  <c r="G428" i="19" s="1"/>
  <c r="B428" i="19"/>
  <c r="H428" i="19" s="1"/>
  <c r="C428" i="19"/>
  <c r="I428" i="19" s="1"/>
  <c r="D428" i="19"/>
  <c r="J428" i="19" s="1"/>
  <c r="E428" i="19"/>
  <c r="K428" i="19" s="1"/>
  <c r="A429" i="19"/>
  <c r="G429" i="19" s="1"/>
  <c r="B429" i="19"/>
  <c r="H429" i="19" s="1"/>
  <c r="C429" i="19"/>
  <c r="I429" i="19" s="1"/>
  <c r="D429" i="19"/>
  <c r="J429" i="19" s="1"/>
  <c r="E429" i="19"/>
  <c r="K429" i="19" s="1"/>
  <c r="A430" i="19"/>
  <c r="G430" i="19" s="1"/>
  <c r="B430" i="19"/>
  <c r="H430" i="19" s="1"/>
  <c r="C430" i="19"/>
  <c r="I430" i="19" s="1"/>
  <c r="D430" i="19"/>
  <c r="J430" i="19" s="1"/>
  <c r="E430" i="19"/>
  <c r="K430" i="19" s="1"/>
  <c r="A431" i="19"/>
  <c r="G431" i="19" s="1"/>
  <c r="B431" i="19"/>
  <c r="H431" i="19" s="1"/>
  <c r="C431" i="19"/>
  <c r="I431" i="19" s="1"/>
  <c r="D431" i="19"/>
  <c r="J431" i="19" s="1"/>
  <c r="E431" i="19"/>
  <c r="K431" i="19" s="1"/>
  <c r="A432" i="19"/>
  <c r="G432" i="19" s="1"/>
  <c r="B432" i="19"/>
  <c r="H432" i="19" s="1"/>
  <c r="C432" i="19"/>
  <c r="I432" i="19" s="1"/>
  <c r="D432" i="19"/>
  <c r="J432" i="19" s="1"/>
  <c r="E432" i="19"/>
  <c r="K432" i="19" s="1"/>
  <c r="A433" i="19"/>
  <c r="G433" i="19" s="1"/>
  <c r="B433" i="19"/>
  <c r="H433" i="19" s="1"/>
  <c r="C433" i="19"/>
  <c r="I433" i="19" s="1"/>
  <c r="D433" i="19"/>
  <c r="J433" i="19" s="1"/>
  <c r="E433" i="19"/>
  <c r="K433" i="19" s="1"/>
  <c r="A434" i="19"/>
  <c r="G434" i="19" s="1"/>
  <c r="B434" i="19"/>
  <c r="H434" i="19" s="1"/>
  <c r="C434" i="19"/>
  <c r="I434" i="19" s="1"/>
  <c r="D434" i="19"/>
  <c r="J434" i="19" s="1"/>
  <c r="E434" i="19"/>
  <c r="K434" i="19" s="1"/>
  <c r="A435" i="19"/>
  <c r="G435" i="19" s="1"/>
  <c r="B435" i="19"/>
  <c r="H435" i="19" s="1"/>
  <c r="C435" i="19"/>
  <c r="I435" i="19" s="1"/>
  <c r="D435" i="19"/>
  <c r="J435" i="19" s="1"/>
  <c r="E435" i="19"/>
  <c r="K435" i="19" s="1"/>
  <c r="A436" i="19"/>
  <c r="G436" i="19" s="1"/>
  <c r="B436" i="19"/>
  <c r="H436" i="19" s="1"/>
  <c r="C436" i="19"/>
  <c r="I436" i="19" s="1"/>
  <c r="D436" i="19"/>
  <c r="J436" i="19" s="1"/>
  <c r="E436" i="19"/>
  <c r="K436" i="19" s="1"/>
  <c r="A437" i="19"/>
  <c r="G437" i="19" s="1"/>
  <c r="B437" i="19"/>
  <c r="H437" i="19" s="1"/>
  <c r="C437" i="19"/>
  <c r="I437" i="19" s="1"/>
  <c r="D437" i="19"/>
  <c r="J437" i="19" s="1"/>
  <c r="E437" i="19"/>
  <c r="K437" i="19" s="1"/>
  <c r="A438" i="19"/>
  <c r="G438" i="19" s="1"/>
  <c r="B438" i="19"/>
  <c r="H438" i="19" s="1"/>
  <c r="C438" i="19"/>
  <c r="I438" i="19" s="1"/>
  <c r="D438" i="19"/>
  <c r="J438" i="19" s="1"/>
  <c r="E438" i="19"/>
  <c r="K438" i="19" s="1"/>
  <c r="A439" i="19"/>
  <c r="G439" i="19" s="1"/>
  <c r="B439" i="19"/>
  <c r="H439" i="19" s="1"/>
  <c r="C439" i="19"/>
  <c r="I439" i="19" s="1"/>
  <c r="D439" i="19"/>
  <c r="J439" i="19" s="1"/>
  <c r="E439" i="19"/>
  <c r="K439" i="19" s="1"/>
  <c r="A440" i="19"/>
  <c r="G440" i="19" s="1"/>
  <c r="B440" i="19"/>
  <c r="H440" i="19" s="1"/>
  <c r="C440" i="19"/>
  <c r="I440" i="19" s="1"/>
  <c r="D440" i="19"/>
  <c r="J440" i="19" s="1"/>
  <c r="E440" i="19"/>
  <c r="K440" i="19" s="1"/>
  <c r="A441" i="19"/>
  <c r="G441" i="19" s="1"/>
  <c r="B441" i="19"/>
  <c r="H441" i="19" s="1"/>
  <c r="C441" i="19"/>
  <c r="I441" i="19" s="1"/>
  <c r="D441" i="19"/>
  <c r="J441" i="19" s="1"/>
  <c r="E441" i="19"/>
  <c r="K441" i="19" s="1"/>
  <c r="A442" i="19"/>
  <c r="G442" i="19" s="1"/>
  <c r="B442" i="19"/>
  <c r="H442" i="19" s="1"/>
  <c r="C442" i="19"/>
  <c r="I442" i="19" s="1"/>
  <c r="D442" i="19"/>
  <c r="J442" i="19" s="1"/>
  <c r="E442" i="19"/>
  <c r="K442" i="19" s="1"/>
  <c r="A443" i="19"/>
  <c r="G443" i="19" s="1"/>
  <c r="B443" i="19"/>
  <c r="H443" i="19" s="1"/>
  <c r="C443" i="19"/>
  <c r="I443" i="19" s="1"/>
  <c r="D443" i="19"/>
  <c r="J443" i="19" s="1"/>
  <c r="E443" i="19"/>
  <c r="K443" i="19" s="1"/>
  <c r="A444" i="19"/>
  <c r="G444" i="19" s="1"/>
  <c r="B444" i="19"/>
  <c r="H444" i="19" s="1"/>
  <c r="C444" i="19"/>
  <c r="I444" i="19" s="1"/>
  <c r="D444" i="19"/>
  <c r="J444" i="19" s="1"/>
  <c r="E444" i="19"/>
  <c r="K444" i="19" s="1"/>
  <c r="A445" i="19"/>
  <c r="G445" i="19" s="1"/>
  <c r="B445" i="19"/>
  <c r="H445" i="19" s="1"/>
  <c r="C445" i="19"/>
  <c r="I445" i="19" s="1"/>
  <c r="D445" i="19"/>
  <c r="J445" i="19" s="1"/>
  <c r="E445" i="19"/>
  <c r="K445" i="19" s="1"/>
  <c r="A446" i="19"/>
  <c r="G446" i="19" s="1"/>
  <c r="B446" i="19"/>
  <c r="H446" i="19" s="1"/>
  <c r="C446" i="19"/>
  <c r="I446" i="19" s="1"/>
  <c r="D446" i="19"/>
  <c r="J446" i="19" s="1"/>
  <c r="E446" i="19"/>
  <c r="K446" i="19" s="1"/>
  <c r="A447" i="19"/>
  <c r="G447" i="19" s="1"/>
  <c r="B447" i="19"/>
  <c r="H447" i="19" s="1"/>
  <c r="C447" i="19"/>
  <c r="I447" i="19" s="1"/>
  <c r="D447" i="19"/>
  <c r="J447" i="19" s="1"/>
  <c r="E447" i="19"/>
  <c r="K447" i="19" s="1"/>
  <c r="A448" i="19"/>
  <c r="G448" i="19" s="1"/>
  <c r="B448" i="19"/>
  <c r="H448" i="19" s="1"/>
  <c r="C448" i="19"/>
  <c r="I448" i="19" s="1"/>
  <c r="D448" i="19"/>
  <c r="J448" i="19" s="1"/>
  <c r="E448" i="19"/>
  <c r="K448" i="19" s="1"/>
  <c r="A449" i="19"/>
  <c r="G449" i="19" s="1"/>
  <c r="B449" i="19"/>
  <c r="H449" i="19" s="1"/>
  <c r="C449" i="19"/>
  <c r="I449" i="19" s="1"/>
  <c r="D449" i="19"/>
  <c r="J449" i="19" s="1"/>
  <c r="E449" i="19"/>
  <c r="K449" i="19" s="1"/>
  <c r="A450" i="19"/>
  <c r="G450" i="19" s="1"/>
  <c r="B450" i="19"/>
  <c r="H450" i="19" s="1"/>
  <c r="C450" i="19"/>
  <c r="I450" i="19" s="1"/>
  <c r="D450" i="19"/>
  <c r="J450" i="19" s="1"/>
  <c r="E450" i="19"/>
  <c r="K450" i="19" s="1"/>
  <c r="A451" i="19"/>
  <c r="G451" i="19" s="1"/>
  <c r="B451" i="19"/>
  <c r="H451" i="19" s="1"/>
  <c r="C451" i="19"/>
  <c r="I451" i="19" s="1"/>
  <c r="D451" i="19"/>
  <c r="J451" i="19" s="1"/>
  <c r="E451" i="19"/>
  <c r="K451" i="19" s="1"/>
  <c r="A452" i="19"/>
  <c r="G452" i="19" s="1"/>
  <c r="B452" i="19"/>
  <c r="H452" i="19" s="1"/>
  <c r="C452" i="19"/>
  <c r="I452" i="19" s="1"/>
  <c r="D452" i="19"/>
  <c r="J452" i="19" s="1"/>
  <c r="E452" i="19"/>
  <c r="K452" i="19" s="1"/>
  <c r="A453" i="19"/>
  <c r="G453" i="19" s="1"/>
  <c r="B453" i="19"/>
  <c r="H453" i="19" s="1"/>
  <c r="C453" i="19"/>
  <c r="I453" i="19" s="1"/>
  <c r="D453" i="19"/>
  <c r="J453" i="19" s="1"/>
  <c r="E453" i="19"/>
  <c r="K453" i="19" s="1"/>
  <c r="A454" i="19"/>
  <c r="G454" i="19" s="1"/>
  <c r="B454" i="19"/>
  <c r="H454" i="19" s="1"/>
  <c r="C454" i="19"/>
  <c r="I454" i="19" s="1"/>
  <c r="D454" i="19"/>
  <c r="J454" i="19" s="1"/>
  <c r="E454" i="19"/>
  <c r="K454" i="19" s="1"/>
  <c r="A455" i="19"/>
  <c r="G455" i="19" s="1"/>
  <c r="B455" i="19"/>
  <c r="H455" i="19" s="1"/>
  <c r="C455" i="19"/>
  <c r="I455" i="19" s="1"/>
  <c r="D455" i="19"/>
  <c r="J455" i="19" s="1"/>
  <c r="E455" i="19"/>
  <c r="K455" i="19" s="1"/>
  <c r="A456" i="19"/>
  <c r="G456" i="19" s="1"/>
  <c r="B456" i="19"/>
  <c r="H456" i="19" s="1"/>
  <c r="C456" i="19"/>
  <c r="I456" i="19" s="1"/>
  <c r="D456" i="19"/>
  <c r="J456" i="19" s="1"/>
  <c r="E456" i="19"/>
  <c r="K456" i="19" s="1"/>
  <c r="A457" i="19"/>
  <c r="G457" i="19" s="1"/>
  <c r="B457" i="19"/>
  <c r="H457" i="19" s="1"/>
  <c r="C457" i="19"/>
  <c r="I457" i="19" s="1"/>
  <c r="D457" i="19"/>
  <c r="J457" i="19" s="1"/>
  <c r="E457" i="19"/>
  <c r="K457" i="19" s="1"/>
  <c r="A458" i="19"/>
  <c r="G458" i="19" s="1"/>
  <c r="B458" i="19"/>
  <c r="H458" i="19" s="1"/>
  <c r="C458" i="19"/>
  <c r="I458" i="19" s="1"/>
  <c r="D458" i="19"/>
  <c r="J458" i="19" s="1"/>
  <c r="E458" i="19"/>
  <c r="K458" i="19" s="1"/>
  <c r="A459" i="19"/>
  <c r="G459" i="19" s="1"/>
  <c r="B459" i="19"/>
  <c r="H459" i="19" s="1"/>
  <c r="C459" i="19"/>
  <c r="I459" i="19" s="1"/>
  <c r="D459" i="19"/>
  <c r="J459" i="19" s="1"/>
  <c r="E459" i="19"/>
  <c r="K459" i="19" s="1"/>
  <c r="A460" i="19"/>
  <c r="G460" i="19" s="1"/>
  <c r="B460" i="19"/>
  <c r="H460" i="19" s="1"/>
  <c r="C460" i="19"/>
  <c r="I460" i="19" s="1"/>
  <c r="D460" i="19"/>
  <c r="J460" i="19" s="1"/>
  <c r="E460" i="19"/>
  <c r="K460" i="19" s="1"/>
  <c r="A461" i="19"/>
  <c r="G461" i="19" s="1"/>
  <c r="B461" i="19"/>
  <c r="H461" i="19" s="1"/>
  <c r="C461" i="19"/>
  <c r="I461" i="19" s="1"/>
  <c r="D461" i="19"/>
  <c r="J461" i="19" s="1"/>
  <c r="E461" i="19"/>
  <c r="K461" i="19" s="1"/>
  <c r="A462" i="19"/>
  <c r="G462" i="19" s="1"/>
  <c r="B462" i="19"/>
  <c r="H462" i="19" s="1"/>
  <c r="C462" i="19"/>
  <c r="I462" i="19" s="1"/>
  <c r="D462" i="19"/>
  <c r="J462" i="19" s="1"/>
  <c r="E462" i="19"/>
  <c r="K462" i="19" s="1"/>
  <c r="A463" i="19"/>
  <c r="G463" i="19" s="1"/>
  <c r="B463" i="19"/>
  <c r="H463" i="19" s="1"/>
  <c r="C463" i="19"/>
  <c r="I463" i="19" s="1"/>
  <c r="D463" i="19"/>
  <c r="J463" i="19" s="1"/>
  <c r="E463" i="19"/>
  <c r="K463" i="19" s="1"/>
  <c r="A464" i="19"/>
  <c r="G464" i="19" s="1"/>
  <c r="B464" i="19"/>
  <c r="H464" i="19" s="1"/>
  <c r="C464" i="19"/>
  <c r="I464" i="19" s="1"/>
  <c r="D464" i="19"/>
  <c r="J464" i="19" s="1"/>
  <c r="E464" i="19"/>
  <c r="K464" i="19" s="1"/>
  <c r="A465" i="19"/>
  <c r="G465" i="19" s="1"/>
  <c r="B465" i="19"/>
  <c r="H465" i="19" s="1"/>
  <c r="C465" i="19"/>
  <c r="I465" i="19" s="1"/>
  <c r="D465" i="19"/>
  <c r="J465" i="19" s="1"/>
  <c r="E465" i="19"/>
  <c r="K465" i="19" s="1"/>
  <c r="A466" i="19"/>
  <c r="G466" i="19" s="1"/>
  <c r="B466" i="19"/>
  <c r="H466" i="19" s="1"/>
  <c r="C466" i="19"/>
  <c r="I466" i="19" s="1"/>
  <c r="D466" i="19"/>
  <c r="J466" i="19" s="1"/>
  <c r="E466" i="19"/>
  <c r="K466" i="19" s="1"/>
  <c r="A467" i="19"/>
  <c r="G467" i="19" s="1"/>
  <c r="B467" i="19"/>
  <c r="H467" i="19" s="1"/>
  <c r="C467" i="19"/>
  <c r="I467" i="19" s="1"/>
  <c r="D467" i="19"/>
  <c r="J467" i="19" s="1"/>
  <c r="E467" i="19"/>
  <c r="K467" i="19" s="1"/>
  <c r="A468" i="19"/>
  <c r="G468" i="19" s="1"/>
  <c r="B468" i="19"/>
  <c r="H468" i="19" s="1"/>
  <c r="C468" i="19"/>
  <c r="I468" i="19" s="1"/>
  <c r="D468" i="19"/>
  <c r="J468" i="19" s="1"/>
  <c r="E468" i="19"/>
  <c r="K468" i="19" s="1"/>
  <c r="A469" i="19"/>
  <c r="G469" i="19" s="1"/>
  <c r="B469" i="19"/>
  <c r="H469" i="19" s="1"/>
  <c r="C469" i="19"/>
  <c r="I469" i="19" s="1"/>
  <c r="D469" i="19"/>
  <c r="J469" i="19" s="1"/>
  <c r="E469" i="19"/>
  <c r="K469" i="19" s="1"/>
  <c r="A470" i="19"/>
  <c r="G470" i="19" s="1"/>
  <c r="B470" i="19"/>
  <c r="H470" i="19" s="1"/>
  <c r="C470" i="19"/>
  <c r="I470" i="19" s="1"/>
  <c r="D470" i="19"/>
  <c r="J470" i="19" s="1"/>
  <c r="E470" i="19"/>
  <c r="K470" i="19" s="1"/>
  <c r="A471" i="19"/>
  <c r="G471" i="19" s="1"/>
  <c r="B471" i="19"/>
  <c r="H471" i="19" s="1"/>
  <c r="C471" i="19"/>
  <c r="I471" i="19" s="1"/>
  <c r="D471" i="19"/>
  <c r="J471" i="19" s="1"/>
  <c r="E471" i="19"/>
  <c r="K471" i="19" s="1"/>
  <c r="A472" i="19"/>
  <c r="G472" i="19" s="1"/>
  <c r="B472" i="19"/>
  <c r="H472" i="19" s="1"/>
  <c r="C472" i="19"/>
  <c r="I472" i="19" s="1"/>
  <c r="D472" i="19"/>
  <c r="J472" i="19" s="1"/>
  <c r="E472" i="19"/>
  <c r="K472" i="19" s="1"/>
  <c r="A473" i="19"/>
  <c r="G473" i="19" s="1"/>
  <c r="B473" i="19"/>
  <c r="H473" i="19" s="1"/>
  <c r="C473" i="19"/>
  <c r="I473" i="19" s="1"/>
  <c r="D473" i="19"/>
  <c r="J473" i="19" s="1"/>
  <c r="E473" i="19"/>
  <c r="K473" i="19" s="1"/>
  <c r="A474" i="19"/>
  <c r="G474" i="19" s="1"/>
  <c r="B474" i="19"/>
  <c r="H474" i="19" s="1"/>
  <c r="C474" i="19"/>
  <c r="I474" i="19" s="1"/>
  <c r="D474" i="19"/>
  <c r="J474" i="19" s="1"/>
  <c r="E474" i="19"/>
  <c r="K474" i="19" s="1"/>
  <c r="A475" i="19"/>
  <c r="G475" i="19" s="1"/>
  <c r="B475" i="19"/>
  <c r="H475" i="19" s="1"/>
  <c r="C475" i="19"/>
  <c r="I475" i="19" s="1"/>
  <c r="D475" i="19"/>
  <c r="J475" i="19" s="1"/>
  <c r="E475" i="19"/>
  <c r="K475" i="19" s="1"/>
  <c r="A476" i="19"/>
  <c r="G476" i="19" s="1"/>
  <c r="B476" i="19"/>
  <c r="H476" i="19" s="1"/>
  <c r="C476" i="19"/>
  <c r="I476" i="19" s="1"/>
  <c r="D476" i="19"/>
  <c r="J476" i="19" s="1"/>
  <c r="E476" i="19"/>
  <c r="K476" i="19" s="1"/>
  <c r="A477" i="19"/>
  <c r="G477" i="19" s="1"/>
  <c r="B477" i="19"/>
  <c r="H477" i="19" s="1"/>
  <c r="C477" i="19"/>
  <c r="I477" i="19" s="1"/>
  <c r="D477" i="19"/>
  <c r="J477" i="19" s="1"/>
  <c r="E477" i="19"/>
  <c r="K477" i="19" s="1"/>
  <c r="A478" i="19"/>
  <c r="G478" i="19" s="1"/>
  <c r="B478" i="19"/>
  <c r="H478" i="19" s="1"/>
  <c r="C478" i="19"/>
  <c r="I478" i="19" s="1"/>
  <c r="D478" i="19"/>
  <c r="J478" i="19" s="1"/>
  <c r="E478" i="19"/>
  <c r="K478" i="19" s="1"/>
  <c r="A479" i="19"/>
  <c r="G479" i="19" s="1"/>
  <c r="B479" i="19"/>
  <c r="H479" i="19" s="1"/>
  <c r="C479" i="19"/>
  <c r="I479" i="19" s="1"/>
  <c r="D479" i="19"/>
  <c r="J479" i="19" s="1"/>
  <c r="E479" i="19"/>
  <c r="K479" i="19" s="1"/>
  <c r="A480" i="19"/>
  <c r="G480" i="19" s="1"/>
  <c r="B480" i="19"/>
  <c r="H480" i="19" s="1"/>
  <c r="C480" i="19"/>
  <c r="I480" i="19" s="1"/>
  <c r="D480" i="19"/>
  <c r="J480" i="19" s="1"/>
  <c r="E480" i="19"/>
  <c r="K480" i="19" s="1"/>
  <c r="A481" i="19"/>
  <c r="G481" i="19" s="1"/>
  <c r="B481" i="19"/>
  <c r="H481" i="19" s="1"/>
  <c r="C481" i="19"/>
  <c r="I481" i="19" s="1"/>
  <c r="D481" i="19"/>
  <c r="J481" i="19" s="1"/>
  <c r="E481" i="19"/>
  <c r="K481" i="19" s="1"/>
  <c r="A482" i="19"/>
  <c r="G482" i="19" s="1"/>
  <c r="B482" i="19"/>
  <c r="H482" i="19" s="1"/>
  <c r="C482" i="19"/>
  <c r="I482" i="19" s="1"/>
  <c r="D482" i="19"/>
  <c r="J482" i="19" s="1"/>
  <c r="E482" i="19"/>
  <c r="K482" i="19" s="1"/>
  <c r="A483" i="19"/>
  <c r="G483" i="19" s="1"/>
  <c r="B483" i="19"/>
  <c r="H483" i="19" s="1"/>
  <c r="C483" i="19"/>
  <c r="I483" i="19" s="1"/>
  <c r="D483" i="19"/>
  <c r="J483" i="19" s="1"/>
  <c r="E483" i="19"/>
  <c r="K483" i="19" s="1"/>
  <c r="A484" i="19"/>
  <c r="G484" i="19" s="1"/>
  <c r="B484" i="19"/>
  <c r="H484" i="19" s="1"/>
  <c r="C484" i="19"/>
  <c r="I484" i="19" s="1"/>
  <c r="D484" i="19"/>
  <c r="J484" i="19" s="1"/>
  <c r="E484" i="19"/>
  <c r="K484" i="19" s="1"/>
  <c r="A485" i="19"/>
  <c r="G485" i="19" s="1"/>
  <c r="B485" i="19"/>
  <c r="H485" i="19" s="1"/>
  <c r="C485" i="19"/>
  <c r="I485" i="19" s="1"/>
  <c r="D485" i="19"/>
  <c r="J485" i="19" s="1"/>
  <c r="E485" i="19"/>
  <c r="K485" i="19" s="1"/>
  <c r="A486" i="19"/>
  <c r="G486" i="19" s="1"/>
  <c r="B486" i="19"/>
  <c r="H486" i="19" s="1"/>
  <c r="C486" i="19"/>
  <c r="I486" i="19" s="1"/>
  <c r="D486" i="19"/>
  <c r="J486" i="19" s="1"/>
  <c r="E486" i="19"/>
  <c r="K486" i="19" s="1"/>
  <c r="A487" i="19"/>
  <c r="G487" i="19" s="1"/>
  <c r="B487" i="19"/>
  <c r="H487" i="19" s="1"/>
  <c r="C487" i="19"/>
  <c r="I487" i="19" s="1"/>
  <c r="D487" i="19"/>
  <c r="J487" i="19" s="1"/>
  <c r="E487" i="19"/>
  <c r="K487" i="19" s="1"/>
  <c r="A488" i="19"/>
  <c r="G488" i="19" s="1"/>
  <c r="B488" i="19"/>
  <c r="H488" i="19" s="1"/>
  <c r="C488" i="19"/>
  <c r="I488" i="19" s="1"/>
  <c r="D488" i="19"/>
  <c r="J488" i="19" s="1"/>
  <c r="E488" i="19"/>
  <c r="K488" i="19" s="1"/>
  <c r="A489" i="19"/>
  <c r="G489" i="19" s="1"/>
  <c r="B489" i="19"/>
  <c r="H489" i="19" s="1"/>
  <c r="C489" i="19"/>
  <c r="I489" i="19" s="1"/>
  <c r="D489" i="19"/>
  <c r="J489" i="19" s="1"/>
  <c r="E489" i="19"/>
  <c r="K489" i="19" s="1"/>
  <c r="A490" i="19"/>
  <c r="G490" i="19" s="1"/>
  <c r="B490" i="19"/>
  <c r="H490" i="19" s="1"/>
  <c r="C490" i="19"/>
  <c r="I490" i="19" s="1"/>
  <c r="D490" i="19"/>
  <c r="J490" i="19" s="1"/>
  <c r="E490" i="19"/>
  <c r="K490" i="19" s="1"/>
  <c r="A491" i="19"/>
  <c r="G491" i="19" s="1"/>
  <c r="B491" i="19"/>
  <c r="H491" i="19" s="1"/>
  <c r="C491" i="19"/>
  <c r="I491" i="19" s="1"/>
  <c r="D491" i="19"/>
  <c r="J491" i="19" s="1"/>
  <c r="E491" i="19"/>
  <c r="K491" i="19" s="1"/>
  <c r="A492" i="19"/>
  <c r="G492" i="19" s="1"/>
  <c r="B492" i="19"/>
  <c r="H492" i="19" s="1"/>
  <c r="C492" i="19"/>
  <c r="I492" i="19" s="1"/>
  <c r="D492" i="19"/>
  <c r="J492" i="19" s="1"/>
  <c r="E492" i="19"/>
  <c r="K492" i="19" s="1"/>
  <c r="A493" i="19"/>
  <c r="G493" i="19" s="1"/>
  <c r="B493" i="19"/>
  <c r="H493" i="19" s="1"/>
  <c r="C493" i="19"/>
  <c r="I493" i="19" s="1"/>
  <c r="D493" i="19"/>
  <c r="J493" i="19" s="1"/>
  <c r="E493" i="19"/>
  <c r="K493" i="19" s="1"/>
  <c r="A494" i="19"/>
  <c r="G494" i="19" s="1"/>
  <c r="B494" i="19"/>
  <c r="H494" i="19" s="1"/>
  <c r="C494" i="19"/>
  <c r="I494" i="19" s="1"/>
  <c r="D494" i="19"/>
  <c r="J494" i="19" s="1"/>
  <c r="E494" i="19"/>
  <c r="K494" i="19" s="1"/>
  <c r="A495" i="19"/>
  <c r="G495" i="19" s="1"/>
  <c r="B495" i="19"/>
  <c r="H495" i="19" s="1"/>
  <c r="C495" i="19"/>
  <c r="I495" i="19" s="1"/>
  <c r="D495" i="19"/>
  <c r="J495" i="19" s="1"/>
  <c r="E495" i="19"/>
  <c r="K495" i="19" s="1"/>
  <c r="A496" i="19"/>
  <c r="G496" i="19" s="1"/>
  <c r="B496" i="19"/>
  <c r="H496" i="19" s="1"/>
  <c r="C496" i="19"/>
  <c r="I496" i="19" s="1"/>
  <c r="D496" i="19"/>
  <c r="J496" i="19" s="1"/>
  <c r="E496" i="19"/>
  <c r="K496" i="19" s="1"/>
  <c r="A497" i="19"/>
  <c r="G497" i="19" s="1"/>
  <c r="B497" i="19"/>
  <c r="H497" i="19" s="1"/>
  <c r="C497" i="19"/>
  <c r="I497" i="19" s="1"/>
  <c r="D497" i="19"/>
  <c r="J497" i="19" s="1"/>
  <c r="E497" i="19"/>
  <c r="K497" i="19" s="1"/>
  <c r="A498" i="19"/>
  <c r="G498" i="19" s="1"/>
  <c r="B498" i="19"/>
  <c r="H498" i="19" s="1"/>
  <c r="C498" i="19"/>
  <c r="I498" i="19" s="1"/>
  <c r="D498" i="19"/>
  <c r="J498" i="19" s="1"/>
  <c r="E498" i="19"/>
  <c r="K498" i="19" s="1"/>
  <c r="A499" i="19"/>
  <c r="G499" i="19" s="1"/>
  <c r="B499" i="19"/>
  <c r="H499" i="19" s="1"/>
  <c r="C499" i="19"/>
  <c r="I499" i="19" s="1"/>
  <c r="D499" i="19"/>
  <c r="J499" i="19" s="1"/>
  <c r="E499" i="19"/>
  <c r="K499" i="19" s="1"/>
  <c r="A500" i="19"/>
  <c r="G500" i="19" s="1"/>
  <c r="B500" i="19"/>
  <c r="H500" i="19" s="1"/>
  <c r="C500" i="19"/>
  <c r="I500" i="19" s="1"/>
  <c r="D500" i="19"/>
  <c r="J500" i="19" s="1"/>
  <c r="E500" i="19"/>
  <c r="K500" i="19" s="1"/>
  <c r="A501" i="19"/>
  <c r="G501" i="19" s="1"/>
  <c r="B501" i="19"/>
  <c r="H501" i="19" s="1"/>
  <c r="C501" i="19"/>
  <c r="I501" i="19" s="1"/>
  <c r="D501" i="19"/>
  <c r="J501" i="19" s="1"/>
  <c r="E501" i="19"/>
  <c r="K501" i="19" s="1"/>
  <c r="A502" i="19"/>
  <c r="G502" i="19" s="1"/>
  <c r="B502" i="19"/>
  <c r="H502" i="19" s="1"/>
  <c r="C502" i="19"/>
  <c r="I502" i="19" s="1"/>
  <c r="D502" i="19"/>
  <c r="J502" i="19" s="1"/>
  <c r="E502" i="19"/>
  <c r="K502" i="19" s="1"/>
  <c r="A503" i="19"/>
  <c r="G503" i="19" s="1"/>
  <c r="B503" i="19"/>
  <c r="H503" i="19" s="1"/>
  <c r="C503" i="19"/>
  <c r="I503" i="19" s="1"/>
  <c r="D503" i="19"/>
  <c r="J503" i="19" s="1"/>
  <c r="E503" i="19"/>
  <c r="K503" i="19" s="1"/>
  <c r="A504" i="19"/>
  <c r="G504" i="19" s="1"/>
  <c r="B504" i="19"/>
  <c r="H504" i="19" s="1"/>
  <c r="C504" i="19"/>
  <c r="I504" i="19" s="1"/>
  <c r="D504" i="19"/>
  <c r="J504" i="19" s="1"/>
  <c r="E504" i="19"/>
  <c r="K504" i="19" s="1"/>
  <c r="A505" i="19"/>
  <c r="G505" i="19" s="1"/>
  <c r="B505" i="19"/>
  <c r="H505" i="19" s="1"/>
  <c r="C505" i="19"/>
  <c r="I505" i="19" s="1"/>
  <c r="D505" i="19"/>
  <c r="J505" i="19" s="1"/>
  <c r="E505" i="19"/>
  <c r="K505" i="19" s="1"/>
  <c r="A506" i="19"/>
  <c r="G506" i="19" s="1"/>
  <c r="B506" i="19"/>
  <c r="H506" i="19" s="1"/>
  <c r="C506" i="19"/>
  <c r="I506" i="19" s="1"/>
  <c r="D506" i="19"/>
  <c r="J506" i="19" s="1"/>
  <c r="E506" i="19"/>
  <c r="K506" i="19" s="1"/>
  <c r="A507" i="19"/>
  <c r="G507" i="19" s="1"/>
  <c r="B507" i="19"/>
  <c r="H507" i="19" s="1"/>
  <c r="C507" i="19"/>
  <c r="I507" i="19" s="1"/>
  <c r="D507" i="19"/>
  <c r="J507" i="19" s="1"/>
  <c r="E507" i="19"/>
  <c r="K507" i="19" s="1"/>
  <c r="A508" i="19"/>
  <c r="G508" i="19" s="1"/>
  <c r="B508" i="19"/>
  <c r="H508" i="19" s="1"/>
  <c r="C508" i="19"/>
  <c r="I508" i="19" s="1"/>
  <c r="D508" i="19"/>
  <c r="J508" i="19" s="1"/>
  <c r="E508" i="19"/>
  <c r="K508" i="19" s="1"/>
  <c r="A509" i="19"/>
  <c r="G509" i="19" s="1"/>
  <c r="B509" i="19"/>
  <c r="H509" i="19" s="1"/>
  <c r="C509" i="19"/>
  <c r="I509" i="19" s="1"/>
  <c r="D509" i="19"/>
  <c r="J509" i="19" s="1"/>
  <c r="E509" i="19"/>
  <c r="K509" i="19" s="1"/>
  <c r="A510" i="19"/>
  <c r="G510" i="19" s="1"/>
  <c r="B510" i="19"/>
  <c r="H510" i="19" s="1"/>
  <c r="C510" i="19"/>
  <c r="I510" i="19" s="1"/>
  <c r="D510" i="19"/>
  <c r="J510" i="19" s="1"/>
  <c r="E510" i="19"/>
  <c r="K510" i="19" s="1"/>
  <c r="A511" i="19"/>
  <c r="G511" i="19" s="1"/>
  <c r="B511" i="19"/>
  <c r="H511" i="19" s="1"/>
  <c r="C511" i="19"/>
  <c r="I511" i="19" s="1"/>
  <c r="D511" i="19"/>
  <c r="J511" i="19" s="1"/>
  <c r="E511" i="19"/>
  <c r="K511" i="19" s="1"/>
  <c r="A512" i="19"/>
  <c r="G512" i="19" s="1"/>
  <c r="B512" i="19"/>
  <c r="H512" i="19" s="1"/>
  <c r="C512" i="19"/>
  <c r="I512" i="19" s="1"/>
  <c r="D512" i="19"/>
  <c r="J512" i="19" s="1"/>
  <c r="E512" i="19"/>
  <c r="K512" i="19" s="1"/>
  <c r="A513" i="19"/>
  <c r="G513" i="19" s="1"/>
  <c r="B513" i="19"/>
  <c r="H513" i="19" s="1"/>
  <c r="C513" i="19"/>
  <c r="I513" i="19" s="1"/>
  <c r="D513" i="19"/>
  <c r="J513" i="19" s="1"/>
  <c r="E513" i="19"/>
  <c r="K513" i="19" s="1"/>
  <c r="A514" i="19"/>
  <c r="G514" i="19" s="1"/>
  <c r="B514" i="19"/>
  <c r="H514" i="19" s="1"/>
  <c r="C514" i="19"/>
  <c r="I514" i="19" s="1"/>
  <c r="D514" i="19"/>
  <c r="J514" i="19" s="1"/>
  <c r="E514" i="19"/>
  <c r="K514" i="19" s="1"/>
  <c r="A515" i="19"/>
  <c r="G515" i="19" s="1"/>
  <c r="B515" i="19"/>
  <c r="H515" i="19" s="1"/>
  <c r="C515" i="19"/>
  <c r="I515" i="19" s="1"/>
  <c r="D515" i="19"/>
  <c r="J515" i="19" s="1"/>
  <c r="E515" i="19"/>
  <c r="K515" i="19" s="1"/>
  <c r="A516" i="19"/>
  <c r="G516" i="19" s="1"/>
  <c r="B516" i="19"/>
  <c r="H516" i="19" s="1"/>
  <c r="C516" i="19"/>
  <c r="I516" i="19" s="1"/>
  <c r="D516" i="19"/>
  <c r="J516" i="19" s="1"/>
  <c r="E516" i="19"/>
  <c r="K516" i="19" s="1"/>
  <c r="A517" i="19"/>
  <c r="G517" i="19" s="1"/>
  <c r="B517" i="19"/>
  <c r="H517" i="19" s="1"/>
  <c r="C517" i="19"/>
  <c r="I517" i="19" s="1"/>
  <c r="D517" i="19"/>
  <c r="J517" i="19" s="1"/>
  <c r="E517" i="19"/>
  <c r="K517" i="19" s="1"/>
  <c r="A518" i="19"/>
  <c r="G518" i="19" s="1"/>
  <c r="B518" i="19"/>
  <c r="H518" i="19" s="1"/>
  <c r="C518" i="19"/>
  <c r="I518" i="19" s="1"/>
  <c r="D518" i="19"/>
  <c r="J518" i="19" s="1"/>
  <c r="E518" i="19"/>
  <c r="K518" i="19" s="1"/>
  <c r="A519" i="19"/>
  <c r="G519" i="19" s="1"/>
  <c r="B519" i="19"/>
  <c r="H519" i="19" s="1"/>
  <c r="C519" i="19"/>
  <c r="I519" i="19" s="1"/>
  <c r="D519" i="19"/>
  <c r="J519" i="19" s="1"/>
  <c r="E519" i="19"/>
  <c r="K519" i="19" s="1"/>
  <c r="A520" i="19"/>
  <c r="G520" i="19" s="1"/>
  <c r="B520" i="19"/>
  <c r="H520" i="19" s="1"/>
  <c r="C520" i="19"/>
  <c r="I520" i="19" s="1"/>
  <c r="D520" i="19"/>
  <c r="J520" i="19" s="1"/>
  <c r="E520" i="19"/>
  <c r="K520" i="19" s="1"/>
  <c r="A521" i="19"/>
  <c r="G521" i="19" s="1"/>
  <c r="B521" i="19"/>
  <c r="H521" i="19" s="1"/>
  <c r="C521" i="19"/>
  <c r="I521" i="19" s="1"/>
  <c r="D521" i="19"/>
  <c r="J521" i="19" s="1"/>
  <c r="E521" i="19"/>
  <c r="K521" i="19" s="1"/>
  <c r="A522" i="19"/>
  <c r="G522" i="19" s="1"/>
  <c r="B522" i="19"/>
  <c r="H522" i="19" s="1"/>
  <c r="C522" i="19"/>
  <c r="I522" i="19" s="1"/>
  <c r="D522" i="19"/>
  <c r="J522" i="19" s="1"/>
  <c r="E522" i="19"/>
  <c r="K522" i="19" s="1"/>
  <c r="A523" i="19"/>
  <c r="G523" i="19" s="1"/>
  <c r="B523" i="19"/>
  <c r="H523" i="19" s="1"/>
  <c r="C523" i="19"/>
  <c r="I523" i="19" s="1"/>
  <c r="D523" i="19"/>
  <c r="J523" i="19" s="1"/>
  <c r="E523" i="19"/>
  <c r="K523" i="19" s="1"/>
  <c r="A524" i="19"/>
  <c r="G524" i="19" s="1"/>
  <c r="B524" i="19"/>
  <c r="H524" i="19" s="1"/>
  <c r="C524" i="19"/>
  <c r="I524" i="19" s="1"/>
  <c r="D524" i="19"/>
  <c r="J524" i="19" s="1"/>
  <c r="E524" i="19"/>
  <c r="K524" i="19" s="1"/>
  <c r="A525" i="19"/>
  <c r="G525" i="19" s="1"/>
  <c r="B525" i="19"/>
  <c r="H525" i="19" s="1"/>
  <c r="C525" i="19"/>
  <c r="I525" i="19" s="1"/>
  <c r="D525" i="19"/>
  <c r="J525" i="19" s="1"/>
  <c r="E525" i="19"/>
  <c r="K525" i="19" s="1"/>
  <c r="A526" i="19"/>
  <c r="G526" i="19" s="1"/>
  <c r="B526" i="19"/>
  <c r="H526" i="19" s="1"/>
  <c r="C526" i="19"/>
  <c r="I526" i="19" s="1"/>
  <c r="D526" i="19"/>
  <c r="J526" i="19" s="1"/>
  <c r="E526" i="19"/>
  <c r="K526" i="19" s="1"/>
  <c r="A527" i="19"/>
  <c r="G527" i="19" s="1"/>
  <c r="B527" i="19"/>
  <c r="H527" i="19" s="1"/>
  <c r="C527" i="19"/>
  <c r="I527" i="19" s="1"/>
  <c r="D527" i="19"/>
  <c r="J527" i="19" s="1"/>
  <c r="E527" i="19"/>
  <c r="K527" i="19" s="1"/>
  <c r="A528" i="19"/>
  <c r="G528" i="19" s="1"/>
  <c r="B528" i="19"/>
  <c r="H528" i="19" s="1"/>
  <c r="C528" i="19"/>
  <c r="I528" i="19" s="1"/>
  <c r="D528" i="19"/>
  <c r="J528" i="19" s="1"/>
  <c r="E528" i="19"/>
  <c r="K528" i="19" s="1"/>
  <c r="A529" i="19"/>
  <c r="G529" i="19" s="1"/>
  <c r="B529" i="19"/>
  <c r="H529" i="19" s="1"/>
  <c r="C529" i="19"/>
  <c r="I529" i="19" s="1"/>
  <c r="D529" i="19"/>
  <c r="J529" i="19" s="1"/>
  <c r="E529" i="19"/>
  <c r="K529" i="19" s="1"/>
  <c r="A530" i="19"/>
  <c r="G530" i="19" s="1"/>
  <c r="B530" i="19"/>
  <c r="H530" i="19" s="1"/>
  <c r="C530" i="19"/>
  <c r="I530" i="19" s="1"/>
  <c r="D530" i="19"/>
  <c r="J530" i="19" s="1"/>
  <c r="E530" i="19"/>
  <c r="K530" i="19" s="1"/>
  <c r="A531" i="19"/>
  <c r="G531" i="19" s="1"/>
  <c r="B531" i="19"/>
  <c r="H531" i="19" s="1"/>
  <c r="C531" i="19"/>
  <c r="I531" i="19" s="1"/>
  <c r="D531" i="19"/>
  <c r="J531" i="19" s="1"/>
  <c r="E531" i="19"/>
  <c r="K531" i="19" s="1"/>
  <c r="A532" i="19"/>
  <c r="G532" i="19" s="1"/>
  <c r="B532" i="19"/>
  <c r="H532" i="19" s="1"/>
  <c r="C532" i="19"/>
  <c r="I532" i="19" s="1"/>
  <c r="D532" i="19"/>
  <c r="J532" i="19" s="1"/>
  <c r="E532" i="19"/>
  <c r="K532" i="19" s="1"/>
  <c r="A533" i="19"/>
  <c r="G533" i="19" s="1"/>
  <c r="B533" i="19"/>
  <c r="H533" i="19" s="1"/>
  <c r="C533" i="19"/>
  <c r="I533" i="19" s="1"/>
  <c r="D533" i="19"/>
  <c r="J533" i="19" s="1"/>
  <c r="E533" i="19"/>
  <c r="K533" i="19" s="1"/>
  <c r="A534" i="19"/>
  <c r="G534" i="19" s="1"/>
  <c r="B534" i="19"/>
  <c r="H534" i="19" s="1"/>
  <c r="C534" i="19"/>
  <c r="I534" i="19" s="1"/>
  <c r="D534" i="19"/>
  <c r="J534" i="19" s="1"/>
  <c r="E534" i="19"/>
  <c r="K534" i="19" s="1"/>
  <c r="A535" i="19"/>
  <c r="G535" i="19" s="1"/>
  <c r="B535" i="19"/>
  <c r="H535" i="19" s="1"/>
  <c r="C535" i="19"/>
  <c r="I535" i="19" s="1"/>
  <c r="D535" i="19"/>
  <c r="J535" i="19" s="1"/>
  <c r="E535" i="19"/>
  <c r="K535" i="19" s="1"/>
  <c r="A536" i="19"/>
  <c r="G536" i="19" s="1"/>
  <c r="B536" i="19"/>
  <c r="H536" i="19" s="1"/>
  <c r="C536" i="19"/>
  <c r="I536" i="19" s="1"/>
  <c r="D536" i="19"/>
  <c r="J536" i="19" s="1"/>
  <c r="E536" i="19"/>
  <c r="K536" i="19" s="1"/>
  <c r="A537" i="19"/>
  <c r="G537" i="19" s="1"/>
  <c r="B537" i="19"/>
  <c r="H537" i="19" s="1"/>
  <c r="C537" i="19"/>
  <c r="I537" i="19" s="1"/>
  <c r="D537" i="19"/>
  <c r="J537" i="19" s="1"/>
  <c r="E537" i="19"/>
  <c r="K537" i="19" s="1"/>
  <c r="A538" i="19"/>
  <c r="G538" i="19" s="1"/>
  <c r="B538" i="19"/>
  <c r="H538" i="19" s="1"/>
  <c r="C538" i="19"/>
  <c r="I538" i="19" s="1"/>
  <c r="D538" i="19"/>
  <c r="J538" i="19" s="1"/>
  <c r="E538" i="19"/>
  <c r="K538" i="19" s="1"/>
  <c r="A539" i="19"/>
  <c r="G539" i="19" s="1"/>
  <c r="B539" i="19"/>
  <c r="H539" i="19" s="1"/>
  <c r="C539" i="19"/>
  <c r="I539" i="19" s="1"/>
  <c r="D539" i="19"/>
  <c r="J539" i="19" s="1"/>
  <c r="E539" i="19"/>
  <c r="K539" i="19" s="1"/>
  <c r="A540" i="19"/>
  <c r="G540" i="19" s="1"/>
  <c r="B540" i="19"/>
  <c r="H540" i="19" s="1"/>
  <c r="C540" i="19"/>
  <c r="I540" i="19" s="1"/>
  <c r="D540" i="19"/>
  <c r="J540" i="19" s="1"/>
  <c r="E540" i="19"/>
  <c r="K540" i="19" s="1"/>
  <c r="A541" i="19"/>
  <c r="G541" i="19" s="1"/>
  <c r="B541" i="19"/>
  <c r="H541" i="19" s="1"/>
  <c r="C541" i="19"/>
  <c r="I541" i="19" s="1"/>
  <c r="D541" i="19"/>
  <c r="J541" i="19" s="1"/>
  <c r="E541" i="19"/>
  <c r="K541" i="19" s="1"/>
  <c r="A542" i="19"/>
  <c r="G542" i="19" s="1"/>
  <c r="B542" i="19"/>
  <c r="H542" i="19" s="1"/>
  <c r="C542" i="19"/>
  <c r="I542" i="19" s="1"/>
  <c r="D542" i="19"/>
  <c r="J542" i="19" s="1"/>
  <c r="E542" i="19"/>
  <c r="K542" i="19" s="1"/>
  <c r="A543" i="19"/>
  <c r="G543" i="19" s="1"/>
  <c r="B543" i="19"/>
  <c r="H543" i="19" s="1"/>
  <c r="C543" i="19"/>
  <c r="I543" i="19" s="1"/>
  <c r="D543" i="19"/>
  <c r="J543" i="19" s="1"/>
  <c r="E543" i="19"/>
  <c r="K543" i="19" s="1"/>
  <c r="A544" i="19"/>
  <c r="G544" i="19" s="1"/>
  <c r="B544" i="19"/>
  <c r="H544" i="19" s="1"/>
  <c r="C544" i="19"/>
  <c r="I544" i="19" s="1"/>
  <c r="D544" i="19"/>
  <c r="J544" i="19" s="1"/>
  <c r="E544" i="19"/>
  <c r="K544" i="19" s="1"/>
  <c r="A545" i="19"/>
  <c r="G545" i="19" s="1"/>
  <c r="B545" i="19"/>
  <c r="H545" i="19" s="1"/>
  <c r="C545" i="19"/>
  <c r="I545" i="19" s="1"/>
  <c r="D545" i="19"/>
  <c r="J545" i="19" s="1"/>
  <c r="E545" i="19"/>
  <c r="K545" i="19" s="1"/>
  <c r="A546" i="19"/>
  <c r="G546" i="19" s="1"/>
  <c r="B546" i="19"/>
  <c r="H546" i="19" s="1"/>
  <c r="C546" i="19"/>
  <c r="I546" i="19" s="1"/>
  <c r="D546" i="19"/>
  <c r="J546" i="19" s="1"/>
  <c r="E546" i="19"/>
  <c r="K546" i="19" s="1"/>
  <c r="A547" i="19"/>
  <c r="G547" i="19" s="1"/>
  <c r="B547" i="19"/>
  <c r="H547" i="19" s="1"/>
  <c r="C547" i="19"/>
  <c r="I547" i="19" s="1"/>
  <c r="D547" i="19"/>
  <c r="J547" i="19" s="1"/>
  <c r="E547" i="19"/>
  <c r="K547" i="19" s="1"/>
  <c r="A548" i="19"/>
  <c r="G548" i="19" s="1"/>
  <c r="B548" i="19"/>
  <c r="H548" i="19" s="1"/>
  <c r="C548" i="19"/>
  <c r="I548" i="19" s="1"/>
  <c r="D548" i="19"/>
  <c r="J548" i="19" s="1"/>
  <c r="E548" i="19"/>
  <c r="K548" i="19" s="1"/>
  <c r="A549" i="19"/>
  <c r="G549" i="19" s="1"/>
  <c r="B549" i="19"/>
  <c r="H549" i="19" s="1"/>
  <c r="C549" i="19"/>
  <c r="I549" i="19" s="1"/>
  <c r="D549" i="19"/>
  <c r="J549" i="19" s="1"/>
  <c r="E549" i="19"/>
  <c r="K549" i="19" s="1"/>
  <c r="A550" i="19"/>
  <c r="G550" i="19" s="1"/>
  <c r="B550" i="19"/>
  <c r="H550" i="19" s="1"/>
  <c r="C550" i="19"/>
  <c r="I550" i="19" s="1"/>
  <c r="D550" i="19"/>
  <c r="J550" i="19" s="1"/>
  <c r="E550" i="19"/>
  <c r="K550" i="19" s="1"/>
  <c r="A551" i="19"/>
  <c r="G551" i="19" s="1"/>
  <c r="B551" i="19"/>
  <c r="H551" i="19" s="1"/>
  <c r="C551" i="19"/>
  <c r="I551" i="19" s="1"/>
  <c r="D551" i="19"/>
  <c r="J551" i="19" s="1"/>
  <c r="E551" i="19"/>
  <c r="K551" i="19" s="1"/>
  <c r="A552" i="19"/>
  <c r="G552" i="19" s="1"/>
  <c r="B552" i="19"/>
  <c r="H552" i="19" s="1"/>
  <c r="C552" i="19"/>
  <c r="I552" i="19" s="1"/>
  <c r="D552" i="19"/>
  <c r="J552" i="19" s="1"/>
  <c r="E552" i="19"/>
  <c r="K552" i="19" s="1"/>
  <c r="A553" i="19"/>
  <c r="G553" i="19" s="1"/>
  <c r="B553" i="19"/>
  <c r="H553" i="19" s="1"/>
  <c r="C553" i="19"/>
  <c r="I553" i="19" s="1"/>
  <c r="D553" i="19"/>
  <c r="J553" i="19" s="1"/>
  <c r="E553" i="19"/>
  <c r="K553" i="19" s="1"/>
  <c r="A554" i="19"/>
  <c r="G554" i="19" s="1"/>
  <c r="B554" i="19"/>
  <c r="H554" i="19" s="1"/>
  <c r="C554" i="19"/>
  <c r="I554" i="19" s="1"/>
  <c r="D554" i="19"/>
  <c r="J554" i="19" s="1"/>
  <c r="E554" i="19"/>
  <c r="K554" i="19" s="1"/>
  <c r="A555" i="19"/>
  <c r="G555" i="19" s="1"/>
  <c r="B555" i="19"/>
  <c r="H555" i="19" s="1"/>
  <c r="C555" i="19"/>
  <c r="I555" i="19" s="1"/>
  <c r="D555" i="19"/>
  <c r="J555" i="19" s="1"/>
  <c r="E555" i="19"/>
  <c r="K555" i="19" s="1"/>
  <c r="A556" i="19"/>
  <c r="G556" i="19" s="1"/>
  <c r="B556" i="19"/>
  <c r="H556" i="19" s="1"/>
  <c r="C556" i="19"/>
  <c r="I556" i="19" s="1"/>
  <c r="D556" i="19"/>
  <c r="J556" i="19" s="1"/>
  <c r="E556" i="19"/>
  <c r="K556" i="19" s="1"/>
  <c r="A557" i="19"/>
  <c r="G557" i="19" s="1"/>
  <c r="B557" i="19"/>
  <c r="H557" i="19" s="1"/>
  <c r="C557" i="19"/>
  <c r="I557" i="19" s="1"/>
  <c r="D557" i="19"/>
  <c r="J557" i="19" s="1"/>
  <c r="E557" i="19"/>
  <c r="K557" i="19" s="1"/>
  <c r="A558" i="19"/>
  <c r="G558" i="19" s="1"/>
  <c r="B558" i="19"/>
  <c r="H558" i="19" s="1"/>
  <c r="C558" i="19"/>
  <c r="I558" i="19" s="1"/>
  <c r="D558" i="19"/>
  <c r="J558" i="19" s="1"/>
  <c r="E558" i="19"/>
  <c r="K558" i="19" s="1"/>
  <c r="A559" i="19"/>
  <c r="G559" i="19" s="1"/>
  <c r="B559" i="19"/>
  <c r="H559" i="19" s="1"/>
  <c r="C559" i="19"/>
  <c r="I559" i="19" s="1"/>
  <c r="D559" i="19"/>
  <c r="J559" i="19" s="1"/>
  <c r="E559" i="19"/>
  <c r="K559" i="19" s="1"/>
  <c r="A560" i="19"/>
  <c r="G560" i="19" s="1"/>
  <c r="B560" i="19"/>
  <c r="H560" i="19" s="1"/>
  <c r="C560" i="19"/>
  <c r="I560" i="19" s="1"/>
  <c r="D560" i="19"/>
  <c r="J560" i="19" s="1"/>
  <c r="E560" i="19"/>
  <c r="K560" i="19" s="1"/>
  <c r="A561" i="19"/>
  <c r="G561" i="19" s="1"/>
  <c r="B561" i="19"/>
  <c r="H561" i="19" s="1"/>
  <c r="C561" i="19"/>
  <c r="I561" i="19" s="1"/>
  <c r="D561" i="19"/>
  <c r="J561" i="19" s="1"/>
  <c r="E561" i="19"/>
  <c r="K561" i="19" s="1"/>
  <c r="A562" i="19"/>
  <c r="G562" i="19" s="1"/>
  <c r="B562" i="19"/>
  <c r="H562" i="19" s="1"/>
  <c r="C562" i="19"/>
  <c r="I562" i="19" s="1"/>
  <c r="D562" i="19"/>
  <c r="J562" i="19" s="1"/>
  <c r="E562" i="19"/>
  <c r="K562" i="19" s="1"/>
  <c r="A563" i="19"/>
  <c r="G563" i="19" s="1"/>
  <c r="B563" i="19"/>
  <c r="H563" i="19" s="1"/>
  <c r="C563" i="19"/>
  <c r="I563" i="19" s="1"/>
  <c r="D563" i="19"/>
  <c r="J563" i="19" s="1"/>
  <c r="E563" i="19"/>
  <c r="K563" i="19" s="1"/>
  <c r="A564" i="19"/>
  <c r="G564" i="19" s="1"/>
  <c r="B564" i="19"/>
  <c r="H564" i="19" s="1"/>
  <c r="C564" i="19"/>
  <c r="I564" i="19" s="1"/>
  <c r="D564" i="19"/>
  <c r="J564" i="19" s="1"/>
  <c r="E564" i="19"/>
  <c r="K564" i="19" s="1"/>
  <c r="A565" i="19"/>
  <c r="G565" i="19" s="1"/>
  <c r="B565" i="19"/>
  <c r="H565" i="19" s="1"/>
  <c r="C565" i="19"/>
  <c r="I565" i="19" s="1"/>
  <c r="D565" i="19"/>
  <c r="J565" i="19" s="1"/>
  <c r="E565" i="19"/>
  <c r="K565" i="19" s="1"/>
  <c r="A566" i="19"/>
  <c r="G566" i="19" s="1"/>
  <c r="B566" i="19"/>
  <c r="H566" i="19" s="1"/>
  <c r="C566" i="19"/>
  <c r="I566" i="19" s="1"/>
  <c r="D566" i="19"/>
  <c r="J566" i="19" s="1"/>
  <c r="E566" i="19"/>
  <c r="K566" i="19" s="1"/>
  <c r="A567" i="19"/>
  <c r="G567" i="19" s="1"/>
  <c r="B567" i="19"/>
  <c r="H567" i="19" s="1"/>
  <c r="C567" i="19"/>
  <c r="I567" i="19" s="1"/>
  <c r="D567" i="19"/>
  <c r="J567" i="19" s="1"/>
  <c r="E567" i="19"/>
  <c r="K567" i="19" s="1"/>
  <c r="A568" i="19"/>
  <c r="G568" i="19" s="1"/>
  <c r="B568" i="19"/>
  <c r="H568" i="19" s="1"/>
  <c r="C568" i="19"/>
  <c r="I568" i="19" s="1"/>
  <c r="D568" i="19"/>
  <c r="J568" i="19" s="1"/>
  <c r="E568" i="19"/>
  <c r="K568" i="19" s="1"/>
  <c r="A569" i="19"/>
  <c r="G569" i="19" s="1"/>
  <c r="B569" i="19"/>
  <c r="H569" i="19" s="1"/>
  <c r="C569" i="19"/>
  <c r="I569" i="19" s="1"/>
  <c r="D569" i="19"/>
  <c r="J569" i="19" s="1"/>
  <c r="E569" i="19"/>
  <c r="K569" i="19" s="1"/>
  <c r="A570" i="19"/>
  <c r="G570" i="19" s="1"/>
  <c r="B570" i="19"/>
  <c r="H570" i="19" s="1"/>
  <c r="C570" i="19"/>
  <c r="I570" i="19" s="1"/>
  <c r="D570" i="19"/>
  <c r="J570" i="19" s="1"/>
  <c r="E570" i="19"/>
  <c r="K570" i="19" s="1"/>
  <c r="A571" i="19"/>
  <c r="G571" i="19" s="1"/>
  <c r="B571" i="19"/>
  <c r="H571" i="19" s="1"/>
  <c r="C571" i="19"/>
  <c r="I571" i="19" s="1"/>
  <c r="D571" i="19"/>
  <c r="J571" i="19" s="1"/>
  <c r="E571" i="19"/>
  <c r="K571" i="19" s="1"/>
  <c r="A572" i="19"/>
  <c r="G572" i="19" s="1"/>
  <c r="B572" i="19"/>
  <c r="H572" i="19" s="1"/>
  <c r="C572" i="19"/>
  <c r="I572" i="19" s="1"/>
  <c r="D572" i="19"/>
  <c r="J572" i="19" s="1"/>
  <c r="E572" i="19"/>
  <c r="K572" i="19" s="1"/>
  <c r="A573" i="19"/>
  <c r="G573" i="19" s="1"/>
  <c r="B573" i="19"/>
  <c r="H573" i="19" s="1"/>
  <c r="C573" i="19"/>
  <c r="I573" i="19" s="1"/>
  <c r="D573" i="19"/>
  <c r="J573" i="19" s="1"/>
  <c r="E573" i="19"/>
  <c r="K573" i="19" s="1"/>
  <c r="A574" i="19"/>
  <c r="G574" i="19" s="1"/>
  <c r="B574" i="19"/>
  <c r="H574" i="19" s="1"/>
  <c r="C574" i="19"/>
  <c r="I574" i="19" s="1"/>
  <c r="D574" i="19"/>
  <c r="J574" i="19" s="1"/>
  <c r="E574" i="19"/>
  <c r="K574" i="19" s="1"/>
  <c r="A575" i="19"/>
  <c r="G575" i="19" s="1"/>
  <c r="B575" i="19"/>
  <c r="H575" i="19" s="1"/>
  <c r="C575" i="19"/>
  <c r="I575" i="19" s="1"/>
  <c r="D575" i="19"/>
  <c r="J575" i="19" s="1"/>
  <c r="E575" i="19"/>
  <c r="K575" i="19" s="1"/>
  <c r="A576" i="19"/>
  <c r="G576" i="19" s="1"/>
  <c r="B576" i="19"/>
  <c r="H576" i="19" s="1"/>
  <c r="C576" i="19"/>
  <c r="I576" i="19" s="1"/>
  <c r="D576" i="19"/>
  <c r="J576" i="19" s="1"/>
  <c r="E576" i="19"/>
  <c r="K576" i="19" s="1"/>
  <c r="A577" i="19"/>
  <c r="G577" i="19" s="1"/>
  <c r="B577" i="19"/>
  <c r="H577" i="19" s="1"/>
  <c r="C577" i="19"/>
  <c r="I577" i="19" s="1"/>
  <c r="D577" i="19"/>
  <c r="J577" i="19" s="1"/>
  <c r="E577" i="19"/>
  <c r="K577" i="19" s="1"/>
  <c r="A578" i="19"/>
  <c r="G578" i="19" s="1"/>
  <c r="B578" i="19"/>
  <c r="H578" i="19" s="1"/>
  <c r="C578" i="19"/>
  <c r="I578" i="19" s="1"/>
  <c r="D578" i="19"/>
  <c r="J578" i="19" s="1"/>
  <c r="E578" i="19"/>
  <c r="K578" i="19" s="1"/>
  <c r="A579" i="19"/>
  <c r="G579" i="19" s="1"/>
  <c r="B579" i="19"/>
  <c r="H579" i="19" s="1"/>
  <c r="C579" i="19"/>
  <c r="I579" i="19" s="1"/>
  <c r="D579" i="19"/>
  <c r="J579" i="19" s="1"/>
  <c r="E579" i="19"/>
  <c r="K579" i="19" s="1"/>
  <c r="A580" i="19"/>
  <c r="G580" i="19" s="1"/>
  <c r="B580" i="19"/>
  <c r="H580" i="19" s="1"/>
  <c r="C580" i="19"/>
  <c r="I580" i="19" s="1"/>
  <c r="D580" i="19"/>
  <c r="J580" i="19" s="1"/>
  <c r="E580" i="19"/>
  <c r="K580" i="19" s="1"/>
  <c r="A581" i="19"/>
  <c r="G581" i="19" s="1"/>
  <c r="B581" i="19"/>
  <c r="H581" i="19" s="1"/>
  <c r="C581" i="19"/>
  <c r="I581" i="19" s="1"/>
  <c r="D581" i="19"/>
  <c r="J581" i="19" s="1"/>
  <c r="E581" i="19"/>
  <c r="K581" i="19" s="1"/>
  <c r="A582" i="19"/>
  <c r="G582" i="19" s="1"/>
  <c r="B582" i="19"/>
  <c r="H582" i="19" s="1"/>
  <c r="C582" i="19"/>
  <c r="I582" i="19" s="1"/>
  <c r="D582" i="19"/>
  <c r="J582" i="19" s="1"/>
  <c r="E582" i="19"/>
  <c r="K582" i="19" s="1"/>
  <c r="A583" i="19"/>
  <c r="G583" i="19" s="1"/>
  <c r="B583" i="19"/>
  <c r="H583" i="19" s="1"/>
  <c r="C583" i="19"/>
  <c r="I583" i="19" s="1"/>
  <c r="D583" i="19"/>
  <c r="J583" i="19" s="1"/>
  <c r="E583" i="19"/>
  <c r="K583" i="19" s="1"/>
  <c r="A584" i="19"/>
  <c r="G584" i="19" s="1"/>
  <c r="B584" i="19"/>
  <c r="H584" i="19" s="1"/>
  <c r="C584" i="19"/>
  <c r="I584" i="19" s="1"/>
  <c r="D584" i="19"/>
  <c r="J584" i="19" s="1"/>
  <c r="E584" i="19"/>
  <c r="K584" i="19" s="1"/>
  <c r="A585" i="19"/>
  <c r="G585" i="19" s="1"/>
  <c r="B585" i="19"/>
  <c r="H585" i="19" s="1"/>
  <c r="C585" i="19"/>
  <c r="I585" i="19" s="1"/>
  <c r="D585" i="19"/>
  <c r="J585" i="19" s="1"/>
  <c r="E585" i="19"/>
  <c r="K585" i="19" s="1"/>
  <c r="A586" i="19"/>
  <c r="G586" i="19" s="1"/>
  <c r="B586" i="19"/>
  <c r="H586" i="19" s="1"/>
  <c r="C586" i="19"/>
  <c r="I586" i="19" s="1"/>
  <c r="D586" i="19"/>
  <c r="J586" i="19" s="1"/>
  <c r="E586" i="19"/>
  <c r="K586" i="19" s="1"/>
  <c r="A587" i="19"/>
  <c r="G587" i="19" s="1"/>
  <c r="B587" i="19"/>
  <c r="H587" i="19" s="1"/>
  <c r="C587" i="19"/>
  <c r="I587" i="19" s="1"/>
  <c r="D587" i="19"/>
  <c r="J587" i="19" s="1"/>
  <c r="E587" i="19"/>
  <c r="K587" i="19" s="1"/>
  <c r="A588" i="19"/>
  <c r="G588" i="19" s="1"/>
  <c r="B588" i="19"/>
  <c r="H588" i="19" s="1"/>
  <c r="C588" i="19"/>
  <c r="I588" i="19" s="1"/>
  <c r="D588" i="19"/>
  <c r="J588" i="19" s="1"/>
  <c r="E588" i="19"/>
  <c r="K588" i="19" s="1"/>
  <c r="A589" i="19"/>
  <c r="G589" i="19" s="1"/>
  <c r="B589" i="19"/>
  <c r="H589" i="19" s="1"/>
  <c r="C589" i="19"/>
  <c r="I589" i="19" s="1"/>
  <c r="D589" i="19"/>
  <c r="J589" i="19" s="1"/>
  <c r="E589" i="19"/>
  <c r="K589" i="19" s="1"/>
  <c r="A590" i="19"/>
  <c r="G590" i="19" s="1"/>
  <c r="B590" i="19"/>
  <c r="H590" i="19" s="1"/>
  <c r="C590" i="19"/>
  <c r="I590" i="19" s="1"/>
  <c r="D590" i="19"/>
  <c r="J590" i="19" s="1"/>
  <c r="E590" i="19"/>
  <c r="K590" i="19" s="1"/>
  <c r="A591" i="19"/>
  <c r="G591" i="19" s="1"/>
  <c r="B591" i="19"/>
  <c r="H591" i="19" s="1"/>
  <c r="C591" i="19"/>
  <c r="I591" i="19" s="1"/>
  <c r="D591" i="19"/>
  <c r="J591" i="19" s="1"/>
  <c r="E591" i="19"/>
  <c r="K591" i="19" s="1"/>
  <c r="A592" i="19"/>
  <c r="G592" i="19" s="1"/>
  <c r="B592" i="19"/>
  <c r="H592" i="19" s="1"/>
  <c r="C592" i="19"/>
  <c r="I592" i="19" s="1"/>
  <c r="D592" i="19"/>
  <c r="J592" i="19" s="1"/>
  <c r="E592" i="19"/>
  <c r="K592" i="19" s="1"/>
  <c r="A593" i="19"/>
  <c r="G593" i="19" s="1"/>
  <c r="B593" i="19"/>
  <c r="H593" i="19" s="1"/>
  <c r="C593" i="19"/>
  <c r="I593" i="19" s="1"/>
  <c r="D593" i="19"/>
  <c r="J593" i="19" s="1"/>
  <c r="E593" i="19"/>
  <c r="K593" i="19" s="1"/>
  <c r="A594" i="19"/>
  <c r="G594" i="19" s="1"/>
  <c r="B594" i="19"/>
  <c r="H594" i="19" s="1"/>
  <c r="C594" i="19"/>
  <c r="I594" i="19" s="1"/>
  <c r="D594" i="19"/>
  <c r="J594" i="19" s="1"/>
  <c r="E594" i="19"/>
  <c r="K594" i="19" s="1"/>
  <c r="A595" i="19"/>
  <c r="G595" i="19" s="1"/>
  <c r="B595" i="19"/>
  <c r="H595" i="19" s="1"/>
  <c r="C595" i="19"/>
  <c r="I595" i="19" s="1"/>
  <c r="D595" i="19"/>
  <c r="J595" i="19" s="1"/>
  <c r="E595" i="19"/>
  <c r="K595" i="19" s="1"/>
  <c r="A596" i="19"/>
  <c r="G596" i="19" s="1"/>
  <c r="B596" i="19"/>
  <c r="H596" i="19" s="1"/>
  <c r="C596" i="19"/>
  <c r="I596" i="19" s="1"/>
  <c r="D596" i="19"/>
  <c r="J596" i="19" s="1"/>
  <c r="E596" i="19"/>
  <c r="K596" i="19" s="1"/>
  <c r="A597" i="19"/>
  <c r="G597" i="19" s="1"/>
  <c r="B597" i="19"/>
  <c r="H597" i="19" s="1"/>
  <c r="C597" i="19"/>
  <c r="I597" i="19" s="1"/>
  <c r="D597" i="19"/>
  <c r="J597" i="19" s="1"/>
  <c r="E597" i="19"/>
  <c r="K597" i="19" s="1"/>
  <c r="A598" i="19"/>
  <c r="G598" i="19" s="1"/>
  <c r="B598" i="19"/>
  <c r="H598" i="19" s="1"/>
  <c r="C598" i="19"/>
  <c r="I598" i="19" s="1"/>
  <c r="D598" i="19"/>
  <c r="J598" i="19" s="1"/>
  <c r="E598" i="19"/>
  <c r="K598" i="19" s="1"/>
  <c r="A599" i="19"/>
  <c r="G599" i="19" s="1"/>
  <c r="B599" i="19"/>
  <c r="H599" i="19" s="1"/>
  <c r="C599" i="19"/>
  <c r="I599" i="19" s="1"/>
  <c r="D599" i="19"/>
  <c r="J599" i="19" s="1"/>
  <c r="E599" i="19"/>
  <c r="K599" i="19" s="1"/>
  <c r="A600" i="19"/>
  <c r="G600" i="19" s="1"/>
  <c r="B600" i="19"/>
  <c r="H600" i="19" s="1"/>
  <c r="C600" i="19"/>
  <c r="I600" i="19" s="1"/>
  <c r="D600" i="19"/>
  <c r="J600" i="19" s="1"/>
  <c r="E600" i="19"/>
  <c r="K600" i="19" s="1"/>
  <c r="A601" i="19"/>
  <c r="G601" i="19" s="1"/>
  <c r="B601" i="19"/>
  <c r="H601" i="19" s="1"/>
  <c r="C601" i="19"/>
  <c r="I601" i="19" s="1"/>
  <c r="D601" i="19"/>
  <c r="J601" i="19" s="1"/>
  <c r="E601" i="19"/>
  <c r="K601" i="19" s="1"/>
  <c r="A602" i="19"/>
  <c r="G602" i="19" s="1"/>
  <c r="B602" i="19"/>
  <c r="H602" i="19" s="1"/>
  <c r="C602" i="19"/>
  <c r="I602" i="19" s="1"/>
  <c r="D602" i="19"/>
  <c r="J602" i="19" s="1"/>
  <c r="E602" i="19"/>
  <c r="K602" i="19" s="1"/>
  <c r="A603" i="19"/>
  <c r="G603" i="19" s="1"/>
  <c r="B603" i="19"/>
  <c r="H603" i="19" s="1"/>
  <c r="C603" i="19"/>
  <c r="I603" i="19" s="1"/>
  <c r="D603" i="19"/>
  <c r="J603" i="19" s="1"/>
  <c r="E603" i="19"/>
  <c r="K603" i="19" s="1"/>
  <c r="A604" i="19"/>
  <c r="G604" i="19" s="1"/>
  <c r="B604" i="19"/>
  <c r="H604" i="19" s="1"/>
  <c r="C604" i="19"/>
  <c r="I604" i="19" s="1"/>
  <c r="D604" i="19"/>
  <c r="J604" i="19" s="1"/>
  <c r="E604" i="19"/>
  <c r="K604" i="19" s="1"/>
  <c r="A605" i="19"/>
  <c r="G605" i="19" s="1"/>
  <c r="B605" i="19"/>
  <c r="H605" i="19" s="1"/>
  <c r="C605" i="19"/>
  <c r="I605" i="19" s="1"/>
  <c r="D605" i="19"/>
  <c r="J605" i="19" s="1"/>
  <c r="E605" i="19"/>
  <c r="K605" i="19" s="1"/>
  <c r="A606" i="19"/>
  <c r="G606" i="19" s="1"/>
  <c r="B606" i="19"/>
  <c r="H606" i="19" s="1"/>
  <c r="C606" i="19"/>
  <c r="I606" i="19" s="1"/>
  <c r="D606" i="19"/>
  <c r="J606" i="19" s="1"/>
  <c r="E606" i="19"/>
  <c r="K606" i="19" s="1"/>
  <c r="A607" i="19"/>
  <c r="G607" i="19" s="1"/>
  <c r="B607" i="19"/>
  <c r="H607" i="19" s="1"/>
  <c r="C607" i="19"/>
  <c r="I607" i="19" s="1"/>
  <c r="D607" i="19"/>
  <c r="J607" i="19" s="1"/>
  <c r="E607" i="19"/>
  <c r="K607" i="19" s="1"/>
  <c r="A608" i="19"/>
  <c r="G608" i="19" s="1"/>
  <c r="B608" i="19"/>
  <c r="H608" i="19" s="1"/>
  <c r="C608" i="19"/>
  <c r="I608" i="19" s="1"/>
  <c r="D608" i="19"/>
  <c r="J608" i="19" s="1"/>
  <c r="E608" i="19"/>
  <c r="K608" i="19" s="1"/>
  <c r="A609" i="19"/>
  <c r="G609" i="19" s="1"/>
  <c r="B609" i="19"/>
  <c r="H609" i="19" s="1"/>
  <c r="C609" i="19"/>
  <c r="I609" i="19" s="1"/>
  <c r="D609" i="19"/>
  <c r="J609" i="19" s="1"/>
  <c r="E609" i="19"/>
  <c r="K609" i="19" s="1"/>
  <c r="A610" i="19"/>
  <c r="G610" i="19" s="1"/>
  <c r="B610" i="19"/>
  <c r="H610" i="19" s="1"/>
  <c r="C610" i="19"/>
  <c r="I610" i="19" s="1"/>
  <c r="D610" i="19"/>
  <c r="J610" i="19" s="1"/>
  <c r="E610" i="19"/>
  <c r="K610" i="19" s="1"/>
  <c r="A611" i="19"/>
  <c r="G611" i="19" s="1"/>
  <c r="B611" i="19"/>
  <c r="H611" i="19" s="1"/>
  <c r="C611" i="19"/>
  <c r="I611" i="19" s="1"/>
  <c r="D611" i="19"/>
  <c r="J611" i="19" s="1"/>
  <c r="E611" i="19"/>
  <c r="K611" i="19" s="1"/>
  <c r="A612" i="19"/>
  <c r="G612" i="19" s="1"/>
  <c r="B612" i="19"/>
  <c r="H612" i="19" s="1"/>
  <c r="C612" i="19"/>
  <c r="I612" i="19" s="1"/>
  <c r="D612" i="19"/>
  <c r="J612" i="19" s="1"/>
  <c r="E612" i="19"/>
  <c r="K612" i="19" s="1"/>
  <c r="A613" i="19"/>
  <c r="G613" i="19" s="1"/>
  <c r="B613" i="19"/>
  <c r="H613" i="19" s="1"/>
  <c r="C613" i="19"/>
  <c r="I613" i="19" s="1"/>
  <c r="D613" i="19"/>
  <c r="J613" i="19" s="1"/>
  <c r="E613" i="19"/>
  <c r="K613" i="19" s="1"/>
  <c r="A614" i="19"/>
  <c r="G614" i="19" s="1"/>
  <c r="B614" i="19"/>
  <c r="H614" i="19" s="1"/>
  <c r="C614" i="19"/>
  <c r="I614" i="19" s="1"/>
  <c r="D614" i="19"/>
  <c r="J614" i="19" s="1"/>
  <c r="E614" i="19"/>
  <c r="K614" i="19" s="1"/>
  <c r="A615" i="19"/>
  <c r="G615" i="19" s="1"/>
  <c r="B615" i="19"/>
  <c r="H615" i="19" s="1"/>
  <c r="C615" i="19"/>
  <c r="I615" i="19" s="1"/>
  <c r="D615" i="19"/>
  <c r="J615" i="19" s="1"/>
  <c r="E615" i="19"/>
  <c r="K615" i="19" s="1"/>
  <c r="A616" i="19"/>
  <c r="G616" i="19" s="1"/>
  <c r="B616" i="19"/>
  <c r="H616" i="19" s="1"/>
  <c r="C616" i="19"/>
  <c r="I616" i="19" s="1"/>
  <c r="D616" i="19"/>
  <c r="J616" i="19" s="1"/>
  <c r="E616" i="19"/>
  <c r="K616" i="19" s="1"/>
  <c r="A617" i="19"/>
  <c r="G617" i="19" s="1"/>
  <c r="B617" i="19"/>
  <c r="H617" i="19" s="1"/>
  <c r="C617" i="19"/>
  <c r="I617" i="19" s="1"/>
  <c r="D617" i="19"/>
  <c r="J617" i="19" s="1"/>
  <c r="E617" i="19"/>
  <c r="K617" i="19" s="1"/>
  <c r="A618" i="19"/>
  <c r="G618" i="19" s="1"/>
  <c r="B618" i="19"/>
  <c r="H618" i="19" s="1"/>
  <c r="C618" i="19"/>
  <c r="I618" i="19" s="1"/>
  <c r="D618" i="19"/>
  <c r="J618" i="19" s="1"/>
  <c r="E618" i="19"/>
  <c r="K618" i="19" s="1"/>
  <c r="A619" i="19"/>
  <c r="G619" i="19" s="1"/>
  <c r="B619" i="19"/>
  <c r="H619" i="19" s="1"/>
  <c r="C619" i="19"/>
  <c r="I619" i="19" s="1"/>
  <c r="D619" i="19"/>
  <c r="J619" i="19" s="1"/>
  <c r="E619" i="19"/>
  <c r="K619" i="19" s="1"/>
  <c r="A620" i="19"/>
  <c r="G620" i="19" s="1"/>
  <c r="B620" i="19"/>
  <c r="H620" i="19" s="1"/>
  <c r="C620" i="19"/>
  <c r="I620" i="19" s="1"/>
  <c r="D620" i="19"/>
  <c r="J620" i="19" s="1"/>
  <c r="E620" i="19"/>
  <c r="K620" i="19" s="1"/>
  <c r="A621" i="19"/>
  <c r="G621" i="19" s="1"/>
  <c r="B621" i="19"/>
  <c r="H621" i="19" s="1"/>
  <c r="C621" i="19"/>
  <c r="I621" i="19" s="1"/>
  <c r="D621" i="19"/>
  <c r="J621" i="19" s="1"/>
  <c r="E621" i="19"/>
  <c r="K621" i="19" s="1"/>
  <c r="A622" i="19"/>
  <c r="G622" i="19" s="1"/>
  <c r="B622" i="19"/>
  <c r="H622" i="19" s="1"/>
  <c r="C622" i="19"/>
  <c r="I622" i="19" s="1"/>
  <c r="D622" i="19"/>
  <c r="J622" i="19" s="1"/>
  <c r="E622" i="19"/>
  <c r="K622" i="19" s="1"/>
  <c r="A623" i="19"/>
  <c r="G623" i="19" s="1"/>
  <c r="B623" i="19"/>
  <c r="H623" i="19" s="1"/>
  <c r="C623" i="19"/>
  <c r="I623" i="19" s="1"/>
  <c r="D623" i="19"/>
  <c r="J623" i="19" s="1"/>
  <c r="E623" i="19"/>
  <c r="K623" i="19" s="1"/>
  <c r="A624" i="19"/>
  <c r="G624" i="19" s="1"/>
  <c r="B624" i="19"/>
  <c r="H624" i="19" s="1"/>
  <c r="C624" i="19"/>
  <c r="I624" i="19" s="1"/>
  <c r="D624" i="19"/>
  <c r="J624" i="19" s="1"/>
  <c r="E624" i="19"/>
  <c r="K624" i="19" s="1"/>
  <c r="A625" i="19"/>
  <c r="G625" i="19" s="1"/>
  <c r="B625" i="19"/>
  <c r="H625" i="19" s="1"/>
  <c r="C625" i="19"/>
  <c r="I625" i="19" s="1"/>
  <c r="D625" i="19"/>
  <c r="J625" i="19" s="1"/>
  <c r="E625" i="19"/>
  <c r="K625" i="19" s="1"/>
  <c r="A626" i="19"/>
  <c r="G626" i="19" s="1"/>
  <c r="B626" i="19"/>
  <c r="H626" i="19" s="1"/>
  <c r="C626" i="19"/>
  <c r="I626" i="19" s="1"/>
  <c r="D626" i="19"/>
  <c r="J626" i="19" s="1"/>
  <c r="E626" i="19"/>
  <c r="K626" i="19" s="1"/>
  <c r="A627" i="19"/>
  <c r="G627" i="19" s="1"/>
  <c r="B627" i="19"/>
  <c r="H627" i="19" s="1"/>
  <c r="C627" i="19"/>
  <c r="I627" i="19" s="1"/>
  <c r="D627" i="19"/>
  <c r="J627" i="19" s="1"/>
  <c r="E627" i="19"/>
  <c r="K627" i="19" s="1"/>
  <c r="A628" i="19"/>
  <c r="G628" i="19" s="1"/>
  <c r="B628" i="19"/>
  <c r="H628" i="19" s="1"/>
  <c r="C628" i="19"/>
  <c r="I628" i="19" s="1"/>
  <c r="D628" i="19"/>
  <c r="J628" i="19" s="1"/>
  <c r="E628" i="19"/>
  <c r="K628" i="19" s="1"/>
  <c r="A629" i="19"/>
  <c r="G629" i="19" s="1"/>
  <c r="B629" i="19"/>
  <c r="H629" i="19" s="1"/>
  <c r="C629" i="19"/>
  <c r="I629" i="19" s="1"/>
  <c r="D629" i="19"/>
  <c r="J629" i="19" s="1"/>
  <c r="E629" i="19"/>
  <c r="K629" i="19" s="1"/>
  <c r="A630" i="19"/>
  <c r="G630" i="19" s="1"/>
  <c r="B630" i="19"/>
  <c r="H630" i="19" s="1"/>
  <c r="C630" i="19"/>
  <c r="I630" i="19" s="1"/>
  <c r="D630" i="19"/>
  <c r="J630" i="19" s="1"/>
  <c r="E630" i="19"/>
  <c r="K630" i="19" s="1"/>
  <c r="A631" i="19"/>
  <c r="G631" i="19" s="1"/>
  <c r="B631" i="19"/>
  <c r="H631" i="19" s="1"/>
  <c r="C631" i="19"/>
  <c r="I631" i="19" s="1"/>
  <c r="D631" i="19"/>
  <c r="J631" i="19" s="1"/>
  <c r="E631" i="19"/>
  <c r="K631" i="19" s="1"/>
  <c r="A632" i="19"/>
  <c r="G632" i="19" s="1"/>
  <c r="B632" i="19"/>
  <c r="H632" i="19" s="1"/>
  <c r="C632" i="19"/>
  <c r="I632" i="19" s="1"/>
  <c r="D632" i="19"/>
  <c r="J632" i="19" s="1"/>
  <c r="E632" i="19"/>
  <c r="K632" i="19" s="1"/>
  <c r="A633" i="19"/>
  <c r="G633" i="19" s="1"/>
  <c r="B633" i="19"/>
  <c r="H633" i="19" s="1"/>
  <c r="C633" i="19"/>
  <c r="I633" i="19" s="1"/>
  <c r="D633" i="19"/>
  <c r="J633" i="19" s="1"/>
  <c r="E633" i="19"/>
  <c r="K633" i="19" s="1"/>
  <c r="A634" i="19"/>
  <c r="G634" i="19" s="1"/>
  <c r="B634" i="19"/>
  <c r="H634" i="19" s="1"/>
  <c r="C634" i="19"/>
  <c r="I634" i="19" s="1"/>
  <c r="D634" i="19"/>
  <c r="J634" i="19" s="1"/>
  <c r="E634" i="19"/>
  <c r="K634" i="19" s="1"/>
  <c r="A635" i="19"/>
  <c r="G635" i="19" s="1"/>
  <c r="B635" i="19"/>
  <c r="H635" i="19" s="1"/>
  <c r="C635" i="19"/>
  <c r="I635" i="19" s="1"/>
  <c r="D635" i="19"/>
  <c r="J635" i="19" s="1"/>
  <c r="E635" i="19"/>
  <c r="K635" i="19" s="1"/>
  <c r="A636" i="19"/>
  <c r="G636" i="19" s="1"/>
  <c r="B636" i="19"/>
  <c r="H636" i="19" s="1"/>
  <c r="C636" i="19"/>
  <c r="I636" i="19" s="1"/>
  <c r="D636" i="19"/>
  <c r="J636" i="19" s="1"/>
  <c r="E636" i="19"/>
  <c r="K636" i="19" s="1"/>
  <c r="A637" i="19"/>
  <c r="G637" i="19" s="1"/>
  <c r="B637" i="19"/>
  <c r="H637" i="19" s="1"/>
  <c r="C637" i="19"/>
  <c r="I637" i="19" s="1"/>
  <c r="D637" i="19"/>
  <c r="J637" i="19" s="1"/>
  <c r="E637" i="19"/>
  <c r="K637" i="19" s="1"/>
  <c r="A638" i="19"/>
  <c r="G638" i="19" s="1"/>
  <c r="B638" i="19"/>
  <c r="H638" i="19" s="1"/>
  <c r="C638" i="19"/>
  <c r="I638" i="19" s="1"/>
  <c r="D638" i="19"/>
  <c r="J638" i="19" s="1"/>
  <c r="E638" i="19"/>
  <c r="K638" i="19" s="1"/>
  <c r="A639" i="19"/>
  <c r="G639" i="19" s="1"/>
  <c r="B639" i="19"/>
  <c r="H639" i="19" s="1"/>
  <c r="C639" i="19"/>
  <c r="I639" i="19" s="1"/>
  <c r="D639" i="19"/>
  <c r="J639" i="19" s="1"/>
  <c r="E639" i="19"/>
  <c r="K639" i="19" s="1"/>
  <c r="A640" i="19"/>
  <c r="G640" i="19" s="1"/>
  <c r="B640" i="19"/>
  <c r="H640" i="19" s="1"/>
  <c r="C640" i="19"/>
  <c r="I640" i="19" s="1"/>
  <c r="D640" i="19"/>
  <c r="J640" i="19" s="1"/>
  <c r="E640" i="19"/>
  <c r="K640" i="19" s="1"/>
  <c r="A641" i="19"/>
  <c r="G641" i="19" s="1"/>
  <c r="B641" i="19"/>
  <c r="H641" i="19" s="1"/>
  <c r="C641" i="19"/>
  <c r="I641" i="19" s="1"/>
  <c r="D641" i="19"/>
  <c r="J641" i="19" s="1"/>
  <c r="E641" i="19"/>
  <c r="K641" i="19" s="1"/>
  <c r="A642" i="19"/>
  <c r="G642" i="19" s="1"/>
  <c r="B642" i="19"/>
  <c r="H642" i="19" s="1"/>
  <c r="C642" i="19"/>
  <c r="I642" i="19" s="1"/>
  <c r="D642" i="19"/>
  <c r="J642" i="19" s="1"/>
  <c r="E642" i="19"/>
  <c r="K642" i="19" s="1"/>
  <c r="A643" i="19"/>
  <c r="G643" i="19" s="1"/>
  <c r="B643" i="19"/>
  <c r="H643" i="19" s="1"/>
  <c r="C643" i="19"/>
  <c r="I643" i="19" s="1"/>
  <c r="D643" i="19"/>
  <c r="J643" i="19" s="1"/>
  <c r="E643" i="19"/>
  <c r="K643" i="19" s="1"/>
  <c r="A644" i="19"/>
  <c r="G644" i="19" s="1"/>
  <c r="B644" i="19"/>
  <c r="H644" i="19" s="1"/>
  <c r="C644" i="19"/>
  <c r="I644" i="19" s="1"/>
  <c r="D644" i="19"/>
  <c r="J644" i="19" s="1"/>
  <c r="E644" i="19"/>
  <c r="K644" i="19" s="1"/>
  <c r="A645" i="19"/>
  <c r="G645" i="19" s="1"/>
  <c r="B645" i="19"/>
  <c r="H645" i="19" s="1"/>
  <c r="C645" i="19"/>
  <c r="I645" i="19" s="1"/>
  <c r="D645" i="19"/>
  <c r="J645" i="19" s="1"/>
  <c r="E645" i="19"/>
  <c r="K645" i="19" s="1"/>
  <c r="A646" i="19"/>
  <c r="G646" i="19" s="1"/>
  <c r="B646" i="19"/>
  <c r="H646" i="19" s="1"/>
  <c r="C646" i="19"/>
  <c r="I646" i="19" s="1"/>
  <c r="D646" i="19"/>
  <c r="J646" i="19" s="1"/>
  <c r="E646" i="19"/>
  <c r="K646" i="19" s="1"/>
  <c r="A647" i="19"/>
  <c r="G647" i="19" s="1"/>
  <c r="B647" i="19"/>
  <c r="H647" i="19" s="1"/>
  <c r="C647" i="19"/>
  <c r="I647" i="19" s="1"/>
  <c r="D647" i="19"/>
  <c r="J647" i="19" s="1"/>
  <c r="E647" i="19"/>
  <c r="K647" i="19" s="1"/>
  <c r="A648" i="19"/>
  <c r="G648" i="19" s="1"/>
  <c r="B648" i="19"/>
  <c r="H648" i="19" s="1"/>
  <c r="C648" i="19"/>
  <c r="I648" i="19" s="1"/>
  <c r="D648" i="19"/>
  <c r="J648" i="19" s="1"/>
  <c r="E648" i="19"/>
  <c r="K648" i="19" s="1"/>
  <c r="A649" i="19"/>
  <c r="G649" i="19" s="1"/>
  <c r="B649" i="19"/>
  <c r="H649" i="19" s="1"/>
  <c r="C649" i="19"/>
  <c r="I649" i="19" s="1"/>
  <c r="D649" i="19"/>
  <c r="J649" i="19" s="1"/>
  <c r="E649" i="19"/>
  <c r="K649" i="19" s="1"/>
  <c r="A650" i="19"/>
  <c r="G650" i="19" s="1"/>
  <c r="B650" i="19"/>
  <c r="H650" i="19" s="1"/>
  <c r="C650" i="19"/>
  <c r="I650" i="19" s="1"/>
  <c r="D650" i="19"/>
  <c r="J650" i="19" s="1"/>
  <c r="E650" i="19"/>
  <c r="K650" i="19" s="1"/>
  <c r="A651" i="19"/>
  <c r="G651" i="19" s="1"/>
  <c r="B651" i="19"/>
  <c r="H651" i="19" s="1"/>
  <c r="C651" i="19"/>
  <c r="I651" i="19" s="1"/>
  <c r="D651" i="19"/>
  <c r="J651" i="19" s="1"/>
  <c r="E651" i="19"/>
  <c r="K651" i="19" s="1"/>
  <c r="A652" i="19"/>
  <c r="G652" i="19" s="1"/>
  <c r="B652" i="19"/>
  <c r="H652" i="19" s="1"/>
  <c r="C652" i="19"/>
  <c r="I652" i="19" s="1"/>
  <c r="D652" i="19"/>
  <c r="J652" i="19" s="1"/>
  <c r="E652" i="19"/>
  <c r="K652" i="19" s="1"/>
  <c r="A653" i="19"/>
  <c r="G653" i="19" s="1"/>
  <c r="B653" i="19"/>
  <c r="H653" i="19" s="1"/>
  <c r="C653" i="19"/>
  <c r="I653" i="19" s="1"/>
  <c r="D653" i="19"/>
  <c r="J653" i="19" s="1"/>
  <c r="E653" i="19"/>
  <c r="K653" i="19" s="1"/>
  <c r="A654" i="19"/>
  <c r="G654" i="19" s="1"/>
  <c r="B654" i="19"/>
  <c r="H654" i="19" s="1"/>
  <c r="C654" i="19"/>
  <c r="I654" i="19" s="1"/>
  <c r="D654" i="19"/>
  <c r="J654" i="19" s="1"/>
  <c r="E654" i="19"/>
  <c r="K654" i="19" s="1"/>
  <c r="A655" i="19"/>
  <c r="G655" i="19" s="1"/>
  <c r="B655" i="19"/>
  <c r="H655" i="19" s="1"/>
  <c r="C655" i="19"/>
  <c r="I655" i="19" s="1"/>
  <c r="D655" i="19"/>
  <c r="J655" i="19" s="1"/>
  <c r="E655" i="19"/>
  <c r="K655" i="19" s="1"/>
  <c r="A656" i="19"/>
  <c r="G656" i="19" s="1"/>
  <c r="B656" i="19"/>
  <c r="H656" i="19" s="1"/>
  <c r="C656" i="19"/>
  <c r="I656" i="19" s="1"/>
  <c r="D656" i="19"/>
  <c r="J656" i="19" s="1"/>
  <c r="E656" i="19"/>
  <c r="K656" i="19" s="1"/>
  <c r="A657" i="19"/>
  <c r="G657" i="19" s="1"/>
  <c r="B657" i="19"/>
  <c r="H657" i="19" s="1"/>
  <c r="C657" i="19"/>
  <c r="I657" i="19" s="1"/>
  <c r="D657" i="19"/>
  <c r="J657" i="19" s="1"/>
  <c r="E657" i="19"/>
  <c r="K657" i="19" s="1"/>
  <c r="A658" i="19"/>
  <c r="G658" i="19" s="1"/>
  <c r="B658" i="19"/>
  <c r="H658" i="19" s="1"/>
  <c r="C658" i="19"/>
  <c r="I658" i="19" s="1"/>
  <c r="D658" i="19"/>
  <c r="J658" i="19" s="1"/>
  <c r="E658" i="19"/>
  <c r="K658" i="19" s="1"/>
  <c r="A659" i="19"/>
  <c r="G659" i="19" s="1"/>
  <c r="B659" i="19"/>
  <c r="H659" i="19" s="1"/>
  <c r="C659" i="19"/>
  <c r="I659" i="19" s="1"/>
  <c r="D659" i="19"/>
  <c r="J659" i="19" s="1"/>
  <c r="E659" i="19"/>
  <c r="K659" i="19" s="1"/>
  <c r="A660" i="19"/>
  <c r="G660" i="19" s="1"/>
  <c r="B660" i="19"/>
  <c r="H660" i="19" s="1"/>
  <c r="C660" i="19"/>
  <c r="I660" i="19" s="1"/>
  <c r="D660" i="19"/>
  <c r="J660" i="19" s="1"/>
  <c r="E660" i="19"/>
  <c r="K660" i="19" s="1"/>
  <c r="A661" i="19"/>
  <c r="G661" i="19" s="1"/>
  <c r="B661" i="19"/>
  <c r="H661" i="19" s="1"/>
  <c r="C661" i="19"/>
  <c r="I661" i="19" s="1"/>
  <c r="D661" i="19"/>
  <c r="J661" i="19" s="1"/>
  <c r="E661" i="19"/>
  <c r="K661" i="19" s="1"/>
  <c r="A662" i="19"/>
  <c r="G662" i="19" s="1"/>
  <c r="B662" i="19"/>
  <c r="H662" i="19" s="1"/>
  <c r="C662" i="19"/>
  <c r="I662" i="19" s="1"/>
  <c r="D662" i="19"/>
  <c r="J662" i="19" s="1"/>
  <c r="E662" i="19"/>
  <c r="K662" i="19" s="1"/>
  <c r="A663" i="19"/>
  <c r="G663" i="19" s="1"/>
  <c r="B663" i="19"/>
  <c r="H663" i="19" s="1"/>
  <c r="C663" i="19"/>
  <c r="I663" i="19" s="1"/>
  <c r="D663" i="19"/>
  <c r="J663" i="19" s="1"/>
  <c r="E663" i="19"/>
  <c r="K663" i="19" s="1"/>
  <c r="A664" i="19"/>
  <c r="G664" i="19" s="1"/>
  <c r="B664" i="19"/>
  <c r="H664" i="19" s="1"/>
  <c r="C664" i="19"/>
  <c r="I664" i="19" s="1"/>
  <c r="D664" i="19"/>
  <c r="J664" i="19" s="1"/>
  <c r="E664" i="19"/>
  <c r="K664" i="19" s="1"/>
  <c r="A665" i="19"/>
  <c r="G665" i="19" s="1"/>
  <c r="B665" i="19"/>
  <c r="H665" i="19" s="1"/>
  <c r="C665" i="19"/>
  <c r="I665" i="19" s="1"/>
  <c r="D665" i="19"/>
  <c r="J665" i="19" s="1"/>
  <c r="E665" i="19"/>
  <c r="K665" i="19" s="1"/>
  <c r="A666" i="19"/>
  <c r="G666" i="19" s="1"/>
  <c r="B666" i="19"/>
  <c r="H666" i="19" s="1"/>
  <c r="C666" i="19"/>
  <c r="I666" i="19" s="1"/>
  <c r="D666" i="19"/>
  <c r="J666" i="19" s="1"/>
  <c r="E666" i="19"/>
  <c r="K666" i="19" s="1"/>
  <c r="A667" i="19"/>
  <c r="G667" i="19" s="1"/>
  <c r="B667" i="19"/>
  <c r="H667" i="19" s="1"/>
  <c r="C667" i="19"/>
  <c r="I667" i="19" s="1"/>
  <c r="D667" i="19"/>
  <c r="J667" i="19" s="1"/>
  <c r="E667" i="19"/>
  <c r="K667" i="19" s="1"/>
  <c r="A668" i="19"/>
  <c r="G668" i="19" s="1"/>
  <c r="B668" i="19"/>
  <c r="H668" i="19" s="1"/>
  <c r="C668" i="19"/>
  <c r="I668" i="19" s="1"/>
  <c r="D668" i="19"/>
  <c r="J668" i="19" s="1"/>
  <c r="E668" i="19"/>
  <c r="K668" i="19" s="1"/>
  <c r="A669" i="19"/>
  <c r="G669" i="19" s="1"/>
  <c r="B669" i="19"/>
  <c r="H669" i="19" s="1"/>
  <c r="C669" i="19"/>
  <c r="I669" i="19" s="1"/>
  <c r="D669" i="19"/>
  <c r="J669" i="19" s="1"/>
  <c r="E669" i="19"/>
  <c r="K669" i="19" s="1"/>
  <c r="A670" i="19"/>
  <c r="G670" i="19" s="1"/>
  <c r="B670" i="19"/>
  <c r="H670" i="19" s="1"/>
  <c r="C670" i="19"/>
  <c r="I670" i="19" s="1"/>
  <c r="D670" i="19"/>
  <c r="J670" i="19" s="1"/>
  <c r="E670" i="19"/>
  <c r="K670" i="19" s="1"/>
  <c r="A671" i="19"/>
  <c r="G671" i="19" s="1"/>
  <c r="B671" i="19"/>
  <c r="H671" i="19" s="1"/>
  <c r="C671" i="19"/>
  <c r="I671" i="19" s="1"/>
  <c r="D671" i="19"/>
  <c r="J671" i="19" s="1"/>
  <c r="E671" i="19"/>
  <c r="K671" i="19" s="1"/>
  <c r="A672" i="19"/>
  <c r="G672" i="19" s="1"/>
  <c r="B672" i="19"/>
  <c r="H672" i="19" s="1"/>
  <c r="C672" i="19"/>
  <c r="I672" i="19" s="1"/>
  <c r="D672" i="19"/>
  <c r="J672" i="19" s="1"/>
  <c r="E672" i="19"/>
  <c r="K672" i="19" s="1"/>
  <c r="A673" i="19"/>
  <c r="G673" i="19" s="1"/>
  <c r="B673" i="19"/>
  <c r="H673" i="19" s="1"/>
  <c r="C673" i="19"/>
  <c r="I673" i="19" s="1"/>
  <c r="D673" i="19"/>
  <c r="J673" i="19" s="1"/>
  <c r="E673" i="19"/>
  <c r="K673" i="19" s="1"/>
  <c r="A674" i="19"/>
  <c r="G674" i="19" s="1"/>
  <c r="B674" i="19"/>
  <c r="H674" i="19" s="1"/>
  <c r="C674" i="19"/>
  <c r="I674" i="19" s="1"/>
  <c r="D674" i="19"/>
  <c r="J674" i="19" s="1"/>
  <c r="E674" i="19"/>
  <c r="K674" i="19" s="1"/>
  <c r="A675" i="19"/>
  <c r="G675" i="19" s="1"/>
  <c r="B675" i="19"/>
  <c r="H675" i="19" s="1"/>
  <c r="C675" i="19"/>
  <c r="I675" i="19" s="1"/>
  <c r="D675" i="19"/>
  <c r="J675" i="19" s="1"/>
  <c r="E675" i="19"/>
  <c r="K675" i="19" s="1"/>
  <c r="A676" i="19"/>
  <c r="G676" i="19" s="1"/>
  <c r="B676" i="19"/>
  <c r="H676" i="19" s="1"/>
  <c r="C676" i="19"/>
  <c r="I676" i="19" s="1"/>
  <c r="D676" i="19"/>
  <c r="J676" i="19" s="1"/>
  <c r="E676" i="19"/>
  <c r="K676" i="19" s="1"/>
  <c r="A677" i="19"/>
  <c r="G677" i="19" s="1"/>
  <c r="B677" i="19"/>
  <c r="H677" i="19" s="1"/>
  <c r="C677" i="19"/>
  <c r="I677" i="19" s="1"/>
  <c r="D677" i="19"/>
  <c r="J677" i="19" s="1"/>
  <c r="E677" i="19"/>
  <c r="K677" i="19" s="1"/>
  <c r="A678" i="19"/>
  <c r="G678" i="19" s="1"/>
  <c r="B678" i="19"/>
  <c r="H678" i="19" s="1"/>
  <c r="C678" i="19"/>
  <c r="I678" i="19" s="1"/>
  <c r="D678" i="19"/>
  <c r="J678" i="19" s="1"/>
  <c r="E678" i="19"/>
  <c r="K678" i="19" s="1"/>
  <c r="A679" i="19"/>
  <c r="G679" i="19" s="1"/>
  <c r="B679" i="19"/>
  <c r="H679" i="19" s="1"/>
  <c r="C679" i="19"/>
  <c r="I679" i="19" s="1"/>
  <c r="D679" i="19"/>
  <c r="J679" i="19" s="1"/>
  <c r="E679" i="19"/>
  <c r="K679" i="19" s="1"/>
  <c r="A680" i="19"/>
  <c r="G680" i="19" s="1"/>
  <c r="B680" i="19"/>
  <c r="H680" i="19" s="1"/>
  <c r="C680" i="19"/>
  <c r="I680" i="19" s="1"/>
  <c r="D680" i="19"/>
  <c r="J680" i="19" s="1"/>
  <c r="E680" i="19"/>
  <c r="K680" i="19" s="1"/>
  <c r="A681" i="19"/>
  <c r="G681" i="19" s="1"/>
  <c r="B681" i="19"/>
  <c r="H681" i="19" s="1"/>
  <c r="C681" i="19"/>
  <c r="I681" i="19" s="1"/>
  <c r="D681" i="19"/>
  <c r="J681" i="19" s="1"/>
  <c r="E681" i="19"/>
  <c r="K681" i="19" s="1"/>
  <c r="A682" i="19"/>
  <c r="G682" i="19" s="1"/>
  <c r="B682" i="19"/>
  <c r="H682" i="19" s="1"/>
  <c r="C682" i="19"/>
  <c r="I682" i="19" s="1"/>
  <c r="D682" i="19"/>
  <c r="J682" i="19" s="1"/>
  <c r="E682" i="19"/>
  <c r="K682" i="19" s="1"/>
  <c r="A683" i="19"/>
  <c r="G683" i="19" s="1"/>
  <c r="B683" i="19"/>
  <c r="H683" i="19" s="1"/>
  <c r="C683" i="19"/>
  <c r="I683" i="19" s="1"/>
  <c r="D683" i="19"/>
  <c r="J683" i="19" s="1"/>
  <c r="E683" i="19"/>
  <c r="K683" i="19" s="1"/>
  <c r="A684" i="19"/>
  <c r="G684" i="19" s="1"/>
  <c r="B684" i="19"/>
  <c r="H684" i="19" s="1"/>
  <c r="C684" i="19"/>
  <c r="I684" i="19" s="1"/>
  <c r="D684" i="19"/>
  <c r="J684" i="19" s="1"/>
  <c r="E684" i="19"/>
  <c r="K684" i="19" s="1"/>
  <c r="A685" i="19"/>
  <c r="G685" i="19" s="1"/>
  <c r="B685" i="19"/>
  <c r="H685" i="19" s="1"/>
  <c r="C685" i="19"/>
  <c r="I685" i="19" s="1"/>
  <c r="D685" i="19"/>
  <c r="J685" i="19" s="1"/>
  <c r="E685" i="19"/>
  <c r="K685" i="19" s="1"/>
  <c r="A686" i="19"/>
  <c r="G686" i="19" s="1"/>
  <c r="B686" i="19"/>
  <c r="H686" i="19" s="1"/>
  <c r="C686" i="19"/>
  <c r="I686" i="19" s="1"/>
  <c r="D686" i="19"/>
  <c r="J686" i="19" s="1"/>
  <c r="E686" i="19"/>
  <c r="K686" i="19" s="1"/>
  <c r="A687" i="19"/>
  <c r="G687" i="19" s="1"/>
  <c r="B687" i="19"/>
  <c r="H687" i="19" s="1"/>
  <c r="C687" i="19"/>
  <c r="I687" i="19" s="1"/>
  <c r="D687" i="19"/>
  <c r="J687" i="19" s="1"/>
  <c r="E687" i="19"/>
  <c r="K687" i="19" s="1"/>
  <c r="A688" i="19"/>
  <c r="G688" i="19" s="1"/>
  <c r="B688" i="19"/>
  <c r="H688" i="19" s="1"/>
  <c r="C688" i="19"/>
  <c r="I688" i="19" s="1"/>
  <c r="D688" i="19"/>
  <c r="J688" i="19" s="1"/>
  <c r="E688" i="19"/>
  <c r="K688" i="19" s="1"/>
  <c r="A689" i="19"/>
  <c r="G689" i="19" s="1"/>
  <c r="B689" i="19"/>
  <c r="H689" i="19" s="1"/>
  <c r="C689" i="19"/>
  <c r="I689" i="19" s="1"/>
  <c r="D689" i="19"/>
  <c r="J689" i="19" s="1"/>
  <c r="E689" i="19"/>
  <c r="K689" i="19" s="1"/>
  <c r="A690" i="19"/>
  <c r="G690" i="19" s="1"/>
  <c r="B690" i="19"/>
  <c r="H690" i="19" s="1"/>
  <c r="C690" i="19"/>
  <c r="I690" i="19" s="1"/>
  <c r="D690" i="19"/>
  <c r="J690" i="19" s="1"/>
  <c r="E690" i="19"/>
  <c r="K690" i="19" s="1"/>
  <c r="A691" i="19"/>
  <c r="G691" i="19" s="1"/>
  <c r="B691" i="19"/>
  <c r="H691" i="19" s="1"/>
  <c r="C691" i="19"/>
  <c r="I691" i="19" s="1"/>
  <c r="D691" i="19"/>
  <c r="J691" i="19" s="1"/>
  <c r="E691" i="19"/>
  <c r="K691" i="19" s="1"/>
  <c r="A692" i="19"/>
  <c r="G692" i="19" s="1"/>
  <c r="B692" i="19"/>
  <c r="H692" i="19" s="1"/>
  <c r="C692" i="19"/>
  <c r="I692" i="19" s="1"/>
  <c r="D692" i="19"/>
  <c r="J692" i="19" s="1"/>
  <c r="E692" i="19"/>
  <c r="K692" i="19" s="1"/>
  <c r="A693" i="19"/>
  <c r="G693" i="19" s="1"/>
  <c r="B693" i="19"/>
  <c r="H693" i="19" s="1"/>
  <c r="C693" i="19"/>
  <c r="I693" i="19" s="1"/>
  <c r="D693" i="19"/>
  <c r="J693" i="19" s="1"/>
  <c r="E693" i="19"/>
  <c r="K693" i="19" s="1"/>
  <c r="A694" i="19"/>
  <c r="G694" i="19" s="1"/>
  <c r="B694" i="19"/>
  <c r="H694" i="19" s="1"/>
  <c r="C694" i="19"/>
  <c r="I694" i="19" s="1"/>
  <c r="D694" i="19"/>
  <c r="J694" i="19" s="1"/>
  <c r="E694" i="19"/>
  <c r="K694" i="19" s="1"/>
  <c r="A695" i="19"/>
  <c r="G695" i="19" s="1"/>
  <c r="B695" i="19"/>
  <c r="H695" i="19" s="1"/>
  <c r="C695" i="19"/>
  <c r="I695" i="19" s="1"/>
  <c r="D695" i="19"/>
  <c r="J695" i="19" s="1"/>
  <c r="E695" i="19"/>
  <c r="K695" i="19" s="1"/>
  <c r="A696" i="19"/>
  <c r="G696" i="19" s="1"/>
  <c r="B696" i="19"/>
  <c r="H696" i="19" s="1"/>
  <c r="C696" i="19"/>
  <c r="I696" i="19" s="1"/>
  <c r="D696" i="19"/>
  <c r="J696" i="19" s="1"/>
  <c r="E696" i="19"/>
  <c r="K696" i="19" s="1"/>
  <c r="A697" i="19"/>
  <c r="G697" i="19" s="1"/>
  <c r="B697" i="19"/>
  <c r="H697" i="19" s="1"/>
  <c r="C697" i="19"/>
  <c r="I697" i="19" s="1"/>
  <c r="D697" i="19"/>
  <c r="J697" i="19" s="1"/>
  <c r="E697" i="19"/>
  <c r="K697" i="19" s="1"/>
  <c r="A698" i="19"/>
  <c r="G698" i="19" s="1"/>
  <c r="B698" i="19"/>
  <c r="H698" i="19" s="1"/>
  <c r="C698" i="19"/>
  <c r="I698" i="19" s="1"/>
  <c r="D698" i="19"/>
  <c r="J698" i="19" s="1"/>
  <c r="E698" i="19"/>
  <c r="K698" i="19" s="1"/>
  <c r="A699" i="19"/>
  <c r="G699" i="19" s="1"/>
  <c r="B699" i="19"/>
  <c r="H699" i="19" s="1"/>
  <c r="C699" i="19"/>
  <c r="I699" i="19" s="1"/>
  <c r="D699" i="19"/>
  <c r="J699" i="19" s="1"/>
  <c r="E699" i="19"/>
  <c r="K699" i="19" s="1"/>
  <c r="A700" i="19"/>
  <c r="G700" i="19" s="1"/>
  <c r="B700" i="19"/>
  <c r="H700" i="19" s="1"/>
  <c r="C700" i="19"/>
  <c r="I700" i="19" s="1"/>
  <c r="D700" i="19"/>
  <c r="J700" i="19" s="1"/>
  <c r="E700" i="19"/>
  <c r="K700" i="19" s="1"/>
  <c r="A701" i="19"/>
  <c r="G701" i="19" s="1"/>
  <c r="B701" i="19"/>
  <c r="H701" i="19" s="1"/>
  <c r="C701" i="19"/>
  <c r="I701" i="19" s="1"/>
  <c r="D701" i="19"/>
  <c r="J701" i="19" s="1"/>
  <c r="E701" i="19"/>
  <c r="K701" i="19" s="1"/>
  <c r="A702" i="19"/>
  <c r="G702" i="19" s="1"/>
  <c r="B702" i="19"/>
  <c r="H702" i="19" s="1"/>
  <c r="C702" i="19"/>
  <c r="I702" i="19" s="1"/>
  <c r="D702" i="19"/>
  <c r="J702" i="19" s="1"/>
  <c r="E702" i="19"/>
  <c r="K702" i="19" s="1"/>
  <c r="A703" i="19"/>
  <c r="G703" i="19" s="1"/>
  <c r="B703" i="19"/>
  <c r="H703" i="19" s="1"/>
  <c r="C703" i="19"/>
  <c r="I703" i="19" s="1"/>
  <c r="D703" i="19"/>
  <c r="J703" i="19" s="1"/>
  <c r="E703" i="19"/>
  <c r="K703" i="19" s="1"/>
  <c r="A704" i="19"/>
  <c r="G704" i="19" s="1"/>
  <c r="B704" i="19"/>
  <c r="H704" i="19" s="1"/>
  <c r="C704" i="19"/>
  <c r="I704" i="19" s="1"/>
  <c r="D704" i="19"/>
  <c r="J704" i="19" s="1"/>
  <c r="E704" i="19"/>
  <c r="K704" i="19" s="1"/>
  <c r="A705" i="19"/>
  <c r="G705" i="19" s="1"/>
  <c r="B705" i="19"/>
  <c r="H705" i="19" s="1"/>
  <c r="C705" i="19"/>
  <c r="I705" i="19" s="1"/>
  <c r="D705" i="19"/>
  <c r="J705" i="19" s="1"/>
  <c r="E705" i="19"/>
  <c r="K705" i="19" s="1"/>
  <c r="A706" i="19"/>
  <c r="G706" i="19" s="1"/>
  <c r="B706" i="19"/>
  <c r="H706" i="19" s="1"/>
  <c r="C706" i="19"/>
  <c r="I706" i="19" s="1"/>
  <c r="D706" i="19"/>
  <c r="J706" i="19" s="1"/>
  <c r="E706" i="19"/>
  <c r="K706" i="19" s="1"/>
  <c r="A707" i="19"/>
  <c r="G707" i="19" s="1"/>
  <c r="B707" i="19"/>
  <c r="H707" i="19" s="1"/>
  <c r="C707" i="19"/>
  <c r="I707" i="19" s="1"/>
  <c r="D707" i="19"/>
  <c r="J707" i="19" s="1"/>
  <c r="E707" i="19"/>
  <c r="K707" i="19" s="1"/>
  <c r="A708" i="19"/>
  <c r="G708" i="19" s="1"/>
  <c r="B708" i="19"/>
  <c r="H708" i="19" s="1"/>
  <c r="C708" i="19"/>
  <c r="I708" i="19" s="1"/>
  <c r="D708" i="19"/>
  <c r="J708" i="19" s="1"/>
  <c r="E708" i="19"/>
  <c r="K708" i="19" s="1"/>
  <c r="A709" i="19"/>
  <c r="G709" i="19" s="1"/>
  <c r="B709" i="19"/>
  <c r="H709" i="19" s="1"/>
  <c r="C709" i="19"/>
  <c r="I709" i="19" s="1"/>
  <c r="D709" i="19"/>
  <c r="J709" i="19" s="1"/>
  <c r="E709" i="19"/>
  <c r="K709" i="19" s="1"/>
  <c r="A710" i="19"/>
  <c r="G710" i="19" s="1"/>
  <c r="B710" i="19"/>
  <c r="H710" i="19" s="1"/>
  <c r="C710" i="19"/>
  <c r="I710" i="19" s="1"/>
  <c r="D710" i="19"/>
  <c r="J710" i="19" s="1"/>
  <c r="E710" i="19"/>
  <c r="K710" i="19" s="1"/>
  <c r="A711" i="19"/>
  <c r="G711" i="19" s="1"/>
  <c r="B711" i="19"/>
  <c r="H711" i="19" s="1"/>
  <c r="C711" i="19"/>
  <c r="I711" i="19" s="1"/>
  <c r="D711" i="19"/>
  <c r="J711" i="19" s="1"/>
  <c r="E711" i="19"/>
  <c r="K711" i="19" s="1"/>
  <c r="A712" i="19"/>
  <c r="G712" i="19" s="1"/>
  <c r="B712" i="19"/>
  <c r="H712" i="19" s="1"/>
  <c r="C712" i="19"/>
  <c r="I712" i="19" s="1"/>
  <c r="D712" i="19"/>
  <c r="J712" i="19" s="1"/>
  <c r="E712" i="19"/>
  <c r="K712" i="19" s="1"/>
  <c r="A713" i="19"/>
  <c r="G713" i="19" s="1"/>
  <c r="B713" i="19"/>
  <c r="H713" i="19" s="1"/>
  <c r="C713" i="19"/>
  <c r="I713" i="19" s="1"/>
  <c r="D713" i="19"/>
  <c r="J713" i="19" s="1"/>
  <c r="E713" i="19"/>
  <c r="K713" i="19" s="1"/>
  <c r="A714" i="19"/>
  <c r="G714" i="19" s="1"/>
  <c r="B714" i="19"/>
  <c r="H714" i="19" s="1"/>
  <c r="C714" i="19"/>
  <c r="I714" i="19" s="1"/>
  <c r="D714" i="19"/>
  <c r="J714" i="19" s="1"/>
  <c r="E714" i="19"/>
  <c r="K714" i="19" s="1"/>
  <c r="A715" i="19"/>
  <c r="G715" i="19" s="1"/>
  <c r="B715" i="19"/>
  <c r="H715" i="19" s="1"/>
  <c r="C715" i="19"/>
  <c r="I715" i="19" s="1"/>
  <c r="D715" i="19"/>
  <c r="J715" i="19" s="1"/>
  <c r="E715" i="19"/>
  <c r="K715" i="19" s="1"/>
  <c r="A716" i="19"/>
  <c r="G716" i="19" s="1"/>
  <c r="B716" i="19"/>
  <c r="H716" i="19" s="1"/>
  <c r="C716" i="19"/>
  <c r="I716" i="19" s="1"/>
  <c r="D716" i="19"/>
  <c r="J716" i="19" s="1"/>
  <c r="E716" i="19"/>
  <c r="K716" i="19" s="1"/>
  <c r="A717" i="19"/>
  <c r="G717" i="19" s="1"/>
  <c r="B717" i="19"/>
  <c r="H717" i="19" s="1"/>
  <c r="C717" i="19"/>
  <c r="I717" i="19" s="1"/>
  <c r="D717" i="19"/>
  <c r="J717" i="19" s="1"/>
  <c r="E717" i="19"/>
  <c r="K717" i="19" s="1"/>
  <c r="A718" i="19"/>
  <c r="G718" i="19" s="1"/>
  <c r="B718" i="19"/>
  <c r="H718" i="19" s="1"/>
  <c r="C718" i="19"/>
  <c r="I718" i="19" s="1"/>
  <c r="D718" i="19"/>
  <c r="J718" i="19" s="1"/>
  <c r="E718" i="19"/>
  <c r="K718" i="19" s="1"/>
  <c r="A719" i="19"/>
  <c r="G719" i="19" s="1"/>
  <c r="B719" i="19"/>
  <c r="H719" i="19" s="1"/>
  <c r="C719" i="19"/>
  <c r="I719" i="19" s="1"/>
  <c r="D719" i="19"/>
  <c r="J719" i="19" s="1"/>
  <c r="E719" i="19"/>
  <c r="K719" i="19" s="1"/>
  <c r="A720" i="19"/>
  <c r="G720" i="19" s="1"/>
  <c r="B720" i="19"/>
  <c r="H720" i="19" s="1"/>
  <c r="C720" i="19"/>
  <c r="I720" i="19" s="1"/>
  <c r="D720" i="19"/>
  <c r="J720" i="19" s="1"/>
  <c r="E720" i="19"/>
  <c r="K720" i="19" s="1"/>
  <c r="A721" i="19"/>
  <c r="G721" i="19" s="1"/>
  <c r="B721" i="19"/>
  <c r="H721" i="19" s="1"/>
  <c r="C721" i="19"/>
  <c r="I721" i="19" s="1"/>
  <c r="D721" i="19"/>
  <c r="J721" i="19" s="1"/>
  <c r="E721" i="19"/>
  <c r="K721" i="19" s="1"/>
  <c r="A722" i="19"/>
  <c r="G722" i="19" s="1"/>
  <c r="B722" i="19"/>
  <c r="H722" i="19" s="1"/>
  <c r="C722" i="19"/>
  <c r="I722" i="19" s="1"/>
  <c r="D722" i="19"/>
  <c r="J722" i="19" s="1"/>
  <c r="E722" i="19"/>
  <c r="K722" i="19" s="1"/>
  <c r="A723" i="19"/>
  <c r="G723" i="19" s="1"/>
  <c r="B723" i="19"/>
  <c r="H723" i="19" s="1"/>
  <c r="C723" i="19"/>
  <c r="I723" i="19" s="1"/>
  <c r="D723" i="19"/>
  <c r="J723" i="19" s="1"/>
  <c r="E723" i="19"/>
  <c r="K723" i="19" s="1"/>
  <c r="A724" i="19"/>
  <c r="G724" i="19" s="1"/>
  <c r="B724" i="19"/>
  <c r="H724" i="19" s="1"/>
  <c r="C724" i="19"/>
  <c r="I724" i="19" s="1"/>
  <c r="D724" i="19"/>
  <c r="J724" i="19" s="1"/>
  <c r="E724" i="19"/>
  <c r="K724" i="19" s="1"/>
  <c r="A725" i="19"/>
  <c r="G725" i="19" s="1"/>
  <c r="B725" i="19"/>
  <c r="H725" i="19" s="1"/>
  <c r="C725" i="19"/>
  <c r="I725" i="19" s="1"/>
  <c r="D725" i="19"/>
  <c r="J725" i="19" s="1"/>
  <c r="E725" i="19"/>
  <c r="K725" i="19" s="1"/>
  <c r="A726" i="19"/>
  <c r="G726" i="19" s="1"/>
  <c r="B726" i="19"/>
  <c r="H726" i="19" s="1"/>
  <c r="C726" i="19"/>
  <c r="I726" i="19" s="1"/>
  <c r="D726" i="19"/>
  <c r="J726" i="19" s="1"/>
  <c r="E726" i="19"/>
  <c r="K726" i="19" s="1"/>
  <c r="A727" i="19"/>
  <c r="G727" i="19" s="1"/>
  <c r="B727" i="19"/>
  <c r="H727" i="19" s="1"/>
  <c r="C727" i="19"/>
  <c r="I727" i="19" s="1"/>
  <c r="D727" i="19"/>
  <c r="J727" i="19" s="1"/>
  <c r="E727" i="19"/>
  <c r="K727" i="19" s="1"/>
  <c r="A728" i="19"/>
  <c r="G728" i="19" s="1"/>
  <c r="B728" i="19"/>
  <c r="H728" i="19" s="1"/>
  <c r="C728" i="19"/>
  <c r="I728" i="19" s="1"/>
  <c r="D728" i="19"/>
  <c r="J728" i="19" s="1"/>
  <c r="E728" i="19"/>
  <c r="K728" i="19" s="1"/>
  <c r="A729" i="19"/>
  <c r="G729" i="19" s="1"/>
  <c r="B729" i="19"/>
  <c r="H729" i="19" s="1"/>
  <c r="C729" i="19"/>
  <c r="I729" i="19" s="1"/>
  <c r="D729" i="19"/>
  <c r="J729" i="19" s="1"/>
  <c r="E729" i="19"/>
  <c r="K729" i="19" s="1"/>
  <c r="A730" i="19"/>
  <c r="G730" i="19" s="1"/>
  <c r="B730" i="19"/>
  <c r="H730" i="19" s="1"/>
  <c r="C730" i="19"/>
  <c r="I730" i="19" s="1"/>
  <c r="D730" i="19"/>
  <c r="J730" i="19" s="1"/>
  <c r="E730" i="19"/>
  <c r="K730" i="19" s="1"/>
  <c r="A731" i="19"/>
  <c r="G731" i="19" s="1"/>
  <c r="B731" i="19"/>
  <c r="H731" i="19" s="1"/>
  <c r="C731" i="19"/>
  <c r="I731" i="19" s="1"/>
  <c r="D731" i="19"/>
  <c r="J731" i="19" s="1"/>
  <c r="E731" i="19"/>
  <c r="K731" i="19" s="1"/>
  <c r="A732" i="19"/>
  <c r="G732" i="19" s="1"/>
  <c r="B732" i="19"/>
  <c r="H732" i="19" s="1"/>
  <c r="C732" i="19"/>
  <c r="I732" i="19" s="1"/>
  <c r="D732" i="19"/>
  <c r="J732" i="19" s="1"/>
  <c r="E732" i="19"/>
  <c r="K732" i="19" s="1"/>
  <c r="A733" i="19"/>
  <c r="G733" i="19" s="1"/>
  <c r="B733" i="19"/>
  <c r="H733" i="19" s="1"/>
  <c r="C733" i="19"/>
  <c r="I733" i="19" s="1"/>
  <c r="D733" i="19"/>
  <c r="J733" i="19" s="1"/>
  <c r="E733" i="19"/>
  <c r="K733" i="19" s="1"/>
  <c r="A734" i="19"/>
  <c r="G734" i="19" s="1"/>
  <c r="B734" i="19"/>
  <c r="H734" i="19" s="1"/>
  <c r="C734" i="19"/>
  <c r="I734" i="19" s="1"/>
  <c r="D734" i="19"/>
  <c r="J734" i="19" s="1"/>
  <c r="E734" i="19"/>
  <c r="K734" i="19" s="1"/>
  <c r="A735" i="19"/>
  <c r="G735" i="19" s="1"/>
  <c r="B735" i="19"/>
  <c r="H735" i="19" s="1"/>
  <c r="C735" i="19"/>
  <c r="I735" i="19" s="1"/>
  <c r="D735" i="19"/>
  <c r="J735" i="19" s="1"/>
  <c r="E735" i="19"/>
  <c r="K735" i="19" s="1"/>
  <c r="A736" i="19"/>
  <c r="G736" i="19" s="1"/>
  <c r="B736" i="19"/>
  <c r="H736" i="19" s="1"/>
  <c r="C736" i="19"/>
  <c r="I736" i="19" s="1"/>
  <c r="D736" i="19"/>
  <c r="J736" i="19" s="1"/>
  <c r="E736" i="19"/>
  <c r="K736" i="19" s="1"/>
  <c r="A737" i="19"/>
  <c r="G737" i="19" s="1"/>
  <c r="B737" i="19"/>
  <c r="H737" i="19" s="1"/>
  <c r="C737" i="19"/>
  <c r="I737" i="19" s="1"/>
  <c r="D737" i="19"/>
  <c r="J737" i="19" s="1"/>
  <c r="E737" i="19"/>
  <c r="K737" i="19" s="1"/>
  <c r="A738" i="19"/>
  <c r="G738" i="19" s="1"/>
  <c r="B738" i="19"/>
  <c r="H738" i="19" s="1"/>
  <c r="C738" i="19"/>
  <c r="I738" i="19" s="1"/>
  <c r="D738" i="19"/>
  <c r="J738" i="19" s="1"/>
  <c r="E738" i="19"/>
  <c r="K738" i="19" s="1"/>
  <c r="A739" i="19"/>
  <c r="G739" i="19" s="1"/>
  <c r="B739" i="19"/>
  <c r="H739" i="19" s="1"/>
  <c r="C739" i="19"/>
  <c r="I739" i="19" s="1"/>
  <c r="D739" i="19"/>
  <c r="J739" i="19" s="1"/>
  <c r="E739" i="19"/>
  <c r="K739" i="19" s="1"/>
  <c r="A740" i="19"/>
  <c r="G740" i="19" s="1"/>
  <c r="B740" i="19"/>
  <c r="H740" i="19" s="1"/>
  <c r="C740" i="19"/>
  <c r="I740" i="19" s="1"/>
  <c r="D740" i="19"/>
  <c r="J740" i="19" s="1"/>
  <c r="E740" i="19"/>
  <c r="K740" i="19" s="1"/>
  <c r="A741" i="19"/>
  <c r="G741" i="19" s="1"/>
  <c r="B741" i="19"/>
  <c r="H741" i="19" s="1"/>
  <c r="C741" i="19"/>
  <c r="I741" i="19" s="1"/>
  <c r="D741" i="19"/>
  <c r="J741" i="19" s="1"/>
  <c r="E741" i="19"/>
  <c r="K741" i="19" s="1"/>
  <c r="A742" i="19"/>
  <c r="G742" i="19" s="1"/>
  <c r="B742" i="19"/>
  <c r="H742" i="19" s="1"/>
  <c r="C742" i="19"/>
  <c r="I742" i="19" s="1"/>
  <c r="D742" i="19"/>
  <c r="J742" i="19" s="1"/>
  <c r="E742" i="19"/>
  <c r="K742" i="19" s="1"/>
  <c r="A743" i="19"/>
  <c r="G743" i="19" s="1"/>
  <c r="B743" i="19"/>
  <c r="H743" i="19" s="1"/>
  <c r="C743" i="19"/>
  <c r="I743" i="19" s="1"/>
  <c r="D743" i="19"/>
  <c r="J743" i="19" s="1"/>
  <c r="E743" i="19"/>
  <c r="K743" i="19" s="1"/>
  <c r="A744" i="19"/>
  <c r="G744" i="19" s="1"/>
  <c r="B744" i="19"/>
  <c r="H744" i="19" s="1"/>
  <c r="C744" i="19"/>
  <c r="I744" i="19" s="1"/>
  <c r="D744" i="19"/>
  <c r="J744" i="19" s="1"/>
  <c r="E744" i="19"/>
  <c r="K744" i="19" s="1"/>
  <c r="A745" i="19"/>
  <c r="G745" i="19" s="1"/>
  <c r="B745" i="19"/>
  <c r="H745" i="19" s="1"/>
  <c r="C745" i="19"/>
  <c r="I745" i="19" s="1"/>
  <c r="D745" i="19"/>
  <c r="J745" i="19" s="1"/>
  <c r="E745" i="19"/>
  <c r="K745" i="19" s="1"/>
  <c r="A746" i="19"/>
  <c r="G746" i="19" s="1"/>
  <c r="B746" i="19"/>
  <c r="H746" i="19" s="1"/>
  <c r="C746" i="19"/>
  <c r="I746" i="19" s="1"/>
  <c r="D746" i="19"/>
  <c r="J746" i="19" s="1"/>
  <c r="E746" i="19"/>
  <c r="K746" i="19" s="1"/>
  <c r="A747" i="19"/>
  <c r="G747" i="19" s="1"/>
  <c r="B747" i="19"/>
  <c r="H747" i="19" s="1"/>
  <c r="C747" i="19"/>
  <c r="I747" i="19" s="1"/>
  <c r="D747" i="19"/>
  <c r="J747" i="19" s="1"/>
  <c r="E747" i="19"/>
  <c r="K747" i="19" s="1"/>
  <c r="A748" i="19"/>
  <c r="G748" i="19" s="1"/>
  <c r="B748" i="19"/>
  <c r="H748" i="19" s="1"/>
  <c r="C748" i="19"/>
  <c r="I748" i="19" s="1"/>
  <c r="D748" i="19"/>
  <c r="J748" i="19" s="1"/>
  <c r="E748" i="19"/>
  <c r="K748" i="19" s="1"/>
  <c r="A749" i="19"/>
  <c r="G749" i="19" s="1"/>
  <c r="B749" i="19"/>
  <c r="H749" i="19" s="1"/>
  <c r="C749" i="19"/>
  <c r="I749" i="19" s="1"/>
  <c r="D749" i="19"/>
  <c r="J749" i="19" s="1"/>
  <c r="E749" i="19"/>
  <c r="K749" i="19" s="1"/>
  <c r="A750" i="19"/>
  <c r="G750" i="19" s="1"/>
  <c r="B750" i="19"/>
  <c r="H750" i="19" s="1"/>
  <c r="C750" i="19"/>
  <c r="I750" i="19" s="1"/>
  <c r="D750" i="19"/>
  <c r="J750" i="19" s="1"/>
  <c r="E750" i="19"/>
  <c r="K750" i="19" s="1"/>
  <c r="A751" i="19"/>
  <c r="G751" i="19" s="1"/>
  <c r="B751" i="19"/>
  <c r="H751" i="19" s="1"/>
  <c r="C751" i="19"/>
  <c r="I751" i="19" s="1"/>
  <c r="D751" i="19"/>
  <c r="J751" i="19" s="1"/>
  <c r="E751" i="19"/>
  <c r="K751" i="19" s="1"/>
  <c r="A752" i="19"/>
  <c r="G752" i="19" s="1"/>
  <c r="B752" i="19"/>
  <c r="H752" i="19" s="1"/>
  <c r="C752" i="19"/>
  <c r="I752" i="19" s="1"/>
  <c r="D752" i="19"/>
  <c r="J752" i="19" s="1"/>
  <c r="E752" i="19"/>
  <c r="K752" i="19" s="1"/>
  <c r="A753" i="19"/>
  <c r="G753" i="19" s="1"/>
  <c r="B753" i="19"/>
  <c r="H753" i="19" s="1"/>
  <c r="C753" i="19"/>
  <c r="I753" i="19" s="1"/>
  <c r="D753" i="19"/>
  <c r="J753" i="19" s="1"/>
  <c r="E753" i="19"/>
  <c r="K753" i="19" s="1"/>
  <c r="A754" i="19"/>
  <c r="G754" i="19" s="1"/>
  <c r="B754" i="19"/>
  <c r="H754" i="19" s="1"/>
  <c r="C754" i="19"/>
  <c r="I754" i="19" s="1"/>
  <c r="D754" i="19"/>
  <c r="J754" i="19" s="1"/>
  <c r="E754" i="19"/>
  <c r="K754" i="19" s="1"/>
  <c r="A755" i="19"/>
  <c r="G755" i="19" s="1"/>
  <c r="B755" i="19"/>
  <c r="H755" i="19" s="1"/>
  <c r="C755" i="19"/>
  <c r="I755" i="19" s="1"/>
  <c r="D755" i="19"/>
  <c r="J755" i="19" s="1"/>
  <c r="E755" i="19"/>
  <c r="K755" i="19" s="1"/>
  <c r="A756" i="19"/>
  <c r="G756" i="19" s="1"/>
  <c r="B756" i="19"/>
  <c r="H756" i="19" s="1"/>
  <c r="C756" i="19"/>
  <c r="I756" i="19" s="1"/>
  <c r="D756" i="19"/>
  <c r="J756" i="19" s="1"/>
  <c r="E756" i="19"/>
  <c r="K756" i="19" s="1"/>
  <c r="A757" i="19"/>
  <c r="G757" i="19" s="1"/>
  <c r="B757" i="19"/>
  <c r="H757" i="19" s="1"/>
  <c r="C757" i="19"/>
  <c r="I757" i="19" s="1"/>
  <c r="D757" i="19"/>
  <c r="J757" i="19" s="1"/>
  <c r="E757" i="19"/>
  <c r="K757" i="19" s="1"/>
  <c r="A758" i="19"/>
  <c r="G758" i="19" s="1"/>
  <c r="B758" i="19"/>
  <c r="H758" i="19" s="1"/>
  <c r="C758" i="19"/>
  <c r="I758" i="19" s="1"/>
  <c r="D758" i="19"/>
  <c r="J758" i="19" s="1"/>
  <c r="E758" i="19"/>
  <c r="K758" i="19" s="1"/>
  <c r="A759" i="19"/>
  <c r="G759" i="19" s="1"/>
  <c r="B759" i="19"/>
  <c r="H759" i="19" s="1"/>
  <c r="C759" i="19"/>
  <c r="I759" i="19" s="1"/>
  <c r="D759" i="19"/>
  <c r="J759" i="19" s="1"/>
  <c r="E759" i="19"/>
  <c r="K759" i="19" s="1"/>
  <c r="A760" i="19"/>
  <c r="G760" i="19" s="1"/>
  <c r="B760" i="19"/>
  <c r="H760" i="19" s="1"/>
  <c r="C760" i="19"/>
  <c r="I760" i="19" s="1"/>
  <c r="D760" i="19"/>
  <c r="J760" i="19" s="1"/>
  <c r="E760" i="19"/>
  <c r="K760" i="19" s="1"/>
  <c r="A761" i="19"/>
  <c r="G761" i="19" s="1"/>
  <c r="B761" i="19"/>
  <c r="H761" i="19" s="1"/>
  <c r="C761" i="19"/>
  <c r="I761" i="19" s="1"/>
  <c r="D761" i="19"/>
  <c r="J761" i="19" s="1"/>
  <c r="E761" i="19"/>
  <c r="K761" i="19" s="1"/>
  <c r="A762" i="19"/>
  <c r="G762" i="19" s="1"/>
  <c r="B762" i="19"/>
  <c r="H762" i="19" s="1"/>
  <c r="C762" i="19"/>
  <c r="I762" i="19" s="1"/>
  <c r="D762" i="19"/>
  <c r="J762" i="19" s="1"/>
  <c r="E762" i="19"/>
  <c r="K762" i="19" s="1"/>
  <c r="A763" i="19"/>
  <c r="G763" i="19" s="1"/>
  <c r="B763" i="19"/>
  <c r="H763" i="19" s="1"/>
  <c r="C763" i="19"/>
  <c r="I763" i="19" s="1"/>
  <c r="D763" i="19"/>
  <c r="J763" i="19" s="1"/>
  <c r="E763" i="19"/>
  <c r="K763" i="19" s="1"/>
  <c r="A764" i="19"/>
  <c r="G764" i="19" s="1"/>
  <c r="B764" i="19"/>
  <c r="H764" i="19" s="1"/>
  <c r="C764" i="19"/>
  <c r="I764" i="19" s="1"/>
  <c r="D764" i="19"/>
  <c r="J764" i="19" s="1"/>
  <c r="E764" i="19"/>
  <c r="K764" i="19" s="1"/>
  <c r="A765" i="19"/>
  <c r="G765" i="19" s="1"/>
  <c r="B765" i="19"/>
  <c r="H765" i="19" s="1"/>
  <c r="C765" i="19"/>
  <c r="I765" i="19" s="1"/>
  <c r="D765" i="19"/>
  <c r="J765" i="19" s="1"/>
  <c r="E765" i="19"/>
  <c r="K765" i="19" s="1"/>
  <c r="A766" i="19"/>
  <c r="G766" i="19" s="1"/>
  <c r="B766" i="19"/>
  <c r="H766" i="19" s="1"/>
  <c r="C766" i="19"/>
  <c r="I766" i="19" s="1"/>
  <c r="D766" i="19"/>
  <c r="J766" i="19" s="1"/>
  <c r="E766" i="19"/>
  <c r="K766" i="19" s="1"/>
  <c r="A767" i="19"/>
  <c r="G767" i="19" s="1"/>
  <c r="B767" i="19"/>
  <c r="H767" i="19" s="1"/>
  <c r="C767" i="19"/>
  <c r="I767" i="19" s="1"/>
  <c r="D767" i="19"/>
  <c r="J767" i="19" s="1"/>
  <c r="E767" i="19"/>
  <c r="K767" i="19" s="1"/>
  <c r="A768" i="19"/>
  <c r="G768" i="19" s="1"/>
  <c r="B768" i="19"/>
  <c r="H768" i="19" s="1"/>
  <c r="C768" i="19"/>
  <c r="I768" i="19" s="1"/>
  <c r="D768" i="19"/>
  <c r="J768" i="19" s="1"/>
  <c r="E768" i="19"/>
  <c r="K768" i="19" s="1"/>
  <c r="A769" i="19"/>
  <c r="G769" i="19" s="1"/>
  <c r="B769" i="19"/>
  <c r="H769" i="19" s="1"/>
  <c r="C769" i="19"/>
  <c r="I769" i="19" s="1"/>
  <c r="D769" i="19"/>
  <c r="J769" i="19" s="1"/>
  <c r="E769" i="19"/>
  <c r="K769" i="19" s="1"/>
  <c r="A770" i="19"/>
  <c r="G770" i="19" s="1"/>
  <c r="B770" i="19"/>
  <c r="H770" i="19" s="1"/>
  <c r="C770" i="19"/>
  <c r="I770" i="19" s="1"/>
  <c r="D770" i="19"/>
  <c r="J770" i="19" s="1"/>
  <c r="E770" i="19"/>
  <c r="K770" i="19" s="1"/>
  <c r="A771" i="19"/>
  <c r="G771" i="19" s="1"/>
  <c r="B771" i="19"/>
  <c r="H771" i="19" s="1"/>
  <c r="C771" i="19"/>
  <c r="I771" i="19" s="1"/>
  <c r="D771" i="19"/>
  <c r="J771" i="19" s="1"/>
  <c r="E771" i="19"/>
  <c r="K771" i="19" s="1"/>
  <c r="A772" i="19"/>
  <c r="G772" i="19" s="1"/>
  <c r="B772" i="19"/>
  <c r="H772" i="19" s="1"/>
  <c r="C772" i="19"/>
  <c r="I772" i="19" s="1"/>
  <c r="D772" i="19"/>
  <c r="J772" i="19" s="1"/>
  <c r="E772" i="19"/>
  <c r="K772" i="19" s="1"/>
  <c r="A773" i="19"/>
  <c r="G773" i="19" s="1"/>
  <c r="B773" i="19"/>
  <c r="H773" i="19" s="1"/>
  <c r="C773" i="19"/>
  <c r="I773" i="19" s="1"/>
  <c r="D773" i="19"/>
  <c r="J773" i="19" s="1"/>
  <c r="E773" i="19"/>
  <c r="K773" i="19" s="1"/>
  <c r="A774" i="19"/>
  <c r="G774" i="19" s="1"/>
  <c r="B774" i="19"/>
  <c r="H774" i="19" s="1"/>
  <c r="C774" i="19"/>
  <c r="I774" i="19" s="1"/>
  <c r="D774" i="19"/>
  <c r="J774" i="19" s="1"/>
  <c r="E774" i="19"/>
  <c r="K774" i="19" s="1"/>
  <c r="A775" i="19"/>
  <c r="G775" i="19" s="1"/>
  <c r="B775" i="19"/>
  <c r="H775" i="19" s="1"/>
  <c r="C775" i="19"/>
  <c r="I775" i="19" s="1"/>
  <c r="D775" i="19"/>
  <c r="J775" i="19" s="1"/>
  <c r="E775" i="19"/>
  <c r="K775" i="19" s="1"/>
  <c r="A776" i="19"/>
  <c r="G776" i="19" s="1"/>
  <c r="B776" i="19"/>
  <c r="H776" i="19" s="1"/>
  <c r="C776" i="19"/>
  <c r="I776" i="19" s="1"/>
  <c r="D776" i="19"/>
  <c r="J776" i="19" s="1"/>
  <c r="E776" i="19"/>
  <c r="K776" i="19" s="1"/>
  <c r="A777" i="19"/>
  <c r="G777" i="19" s="1"/>
  <c r="B777" i="19"/>
  <c r="H777" i="19" s="1"/>
  <c r="C777" i="19"/>
  <c r="I777" i="19" s="1"/>
  <c r="D777" i="19"/>
  <c r="J777" i="19" s="1"/>
  <c r="E777" i="19"/>
  <c r="K777" i="19" s="1"/>
  <c r="A778" i="19"/>
  <c r="G778" i="19" s="1"/>
  <c r="B778" i="19"/>
  <c r="H778" i="19" s="1"/>
  <c r="C778" i="19"/>
  <c r="I778" i="19" s="1"/>
  <c r="D778" i="19"/>
  <c r="J778" i="19" s="1"/>
  <c r="E778" i="19"/>
  <c r="K778" i="19" s="1"/>
  <c r="A779" i="19"/>
  <c r="G779" i="19" s="1"/>
  <c r="B779" i="19"/>
  <c r="H779" i="19" s="1"/>
  <c r="C779" i="19"/>
  <c r="I779" i="19" s="1"/>
  <c r="D779" i="19"/>
  <c r="J779" i="19" s="1"/>
  <c r="E779" i="19"/>
  <c r="K779" i="19" s="1"/>
  <c r="A780" i="19"/>
  <c r="G780" i="19" s="1"/>
  <c r="B780" i="19"/>
  <c r="H780" i="19" s="1"/>
  <c r="C780" i="19"/>
  <c r="I780" i="19" s="1"/>
  <c r="D780" i="19"/>
  <c r="J780" i="19" s="1"/>
  <c r="E780" i="19"/>
  <c r="K780" i="19" s="1"/>
  <c r="A781" i="19"/>
  <c r="G781" i="19" s="1"/>
  <c r="B781" i="19"/>
  <c r="H781" i="19" s="1"/>
  <c r="C781" i="19"/>
  <c r="I781" i="19" s="1"/>
  <c r="D781" i="19"/>
  <c r="J781" i="19" s="1"/>
  <c r="E781" i="19"/>
  <c r="K781" i="19" s="1"/>
  <c r="A782" i="19"/>
  <c r="G782" i="19" s="1"/>
  <c r="B782" i="19"/>
  <c r="H782" i="19" s="1"/>
  <c r="C782" i="19"/>
  <c r="I782" i="19" s="1"/>
  <c r="D782" i="19"/>
  <c r="J782" i="19" s="1"/>
  <c r="E782" i="19"/>
  <c r="K782" i="19" s="1"/>
  <c r="A783" i="19"/>
  <c r="G783" i="19" s="1"/>
  <c r="B783" i="19"/>
  <c r="H783" i="19" s="1"/>
  <c r="C783" i="19"/>
  <c r="I783" i="19" s="1"/>
  <c r="D783" i="19"/>
  <c r="J783" i="19" s="1"/>
  <c r="E783" i="19"/>
  <c r="K783" i="19" s="1"/>
  <c r="A784" i="19"/>
  <c r="G784" i="19" s="1"/>
  <c r="B784" i="19"/>
  <c r="H784" i="19" s="1"/>
  <c r="C784" i="19"/>
  <c r="I784" i="19" s="1"/>
  <c r="D784" i="19"/>
  <c r="J784" i="19" s="1"/>
  <c r="E784" i="19"/>
  <c r="K784" i="19" s="1"/>
  <c r="A785" i="19"/>
  <c r="G785" i="19" s="1"/>
  <c r="B785" i="19"/>
  <c r="H785" i="19" s="1"/>
  <c r="C785" i="19"/>
  <c r="I785" i="19" s="1"/>
  <c r="D785" i="19"/>
  <c r="J785" i="19" s="1"/>
  <c r="E785" i="19"/>
  <c r="K785" i="19" s="1"/>
  <c r="A786" i="19"/>
  <c r="G786" i="19" s="1"/>
  <c r="B786" i="19"/>
  <c r="H786" i="19" s="1"/>
  <c r="C786" i="19"/>
  <c r="I786" i="19" s="1"/>
  <c r="D786" i="19"/>
  <c r="J786" i="19" s="1"/>
  <c r="E786" i="19"/>
  <c r="K786" i="19" s="1"/>
  <c r="A787" i="19"/>
  <c r="G787" i="19" s="1"/>
  <c r="B787" i="19"/>
  <c r="H787" i="19" s="1"/>
  <c r="C787" i="19"/>
  <c r="I787" i="19" s="1"/>
  <c r="D787" i="19"/>
  <c r="J787" i="19" s="1"/>
  <c r="E787" i="19"/>
  <c r="K787" i="19" s="1"/>
  <c r="A788" i="19"/>
  <c r="G788" i="19" s="1"/>
  <c r="B788" i="19"/>
  <c r="H788" i="19" s="1"/>
  <c r="C788" i="19"/>
  <c r="I788" i="19" s="1"/>
  <c r="D788" i="19"/>
  <c r="J788" i="19" s="1"/>
  <c r="E788" i="19"/>
  <c r="K788" i="19" s="1"/>
  <c r="A789" i="19"/>
  <c r="G789" i="19" s="1"/>
  <c r="B789" i="19"/>
  <c r="H789" i="19" s="1"/>
  <c r="C789" i="19"/>
  <c r="I789" i="19" s="1"/>
  <c r="D789" i="19"/>
  <c r="J789" i="19" s="1"/>
  <c r="E789" i="19"/>
  <c r="K789" i="19" s="1"/>
  <c r="A790" i="19"/>
  <c r="G790" i="19" s="1"/>
  <c r="B790" i="19"/>
  <c r="H790" i="19" s="1"/>
  <c r="C790" i="19"/>
  <c r="I790" i="19" s="1"/>
  <c r="D790" i="19"/>
  <c r="J790" i="19" s="1"/>
  <c r="E790" i="19"/>
  <c r="K790" i="19" s="1"/>
  <c r="A791" i="19"/>
  <c r="G791" i="19" s="1"/>
  <c r="B791" i="19"/>
  <c r="H791" i="19" s="1"/>
  <c r="C791" i="19"/>
  <c r="I791" i="19" s="1"/>
  <c r="D791" i="19"/>
  <c r="J791" i="19" s="1"/>
  <c r="E791" i="19"/>
  <c r="K791" i="19" s="1"/>
  <c r="A792" i="19"/>
  <c r="G792" i="19" s="1"/>
  <c r="B792" i="19"/>
  <c r="H792" i="19" s="1"/>
  <c r="C792" i="19"/>
  <c r="I792" i="19" s="1"/>
  <c r="D792" i="19"/>
  <c r="J792" i="19" s="1"/>
  <c r="E792" i="19"/>
  <c r="K792" i="19" s="1"/>
  <c r="A793" i="19"/>
  <c r="G793" i="19" s="1"/>
  <c r="B793" i="19"/>
  <c r="H793" i="19" s="1"/>
  <c r="C793" i="19"/>
  <c r="I793" i="19" s="1"/>
  <c r="D793" i="19"/>
  <c r="J793" i="19" s="1"/>
  <c r="E793" i="19"/>
  <c r="K793" i="19" s="1"/>
  <c r="A794" i="19"/>
  <c r="G794" i="19" s="1"/>
  <c r="B794" i="19"/>
  <c r="H794" i="19" s="1"/>
  <c r="C794" i="19"/>
  <c r="I794" i="19" s="1"/>
  <c r="D794" i="19"/>
  <c r="J794" i="19" s="1"/>
  <c r="E794" i="19"/>
  <c r="K794" i="19" s="1"/>
  <c r="A795" i="19"/>
  <c r="G795" i="19" s="1"/>
  <c r="B795" i="19"/>
  <c r="H795" i="19" s="1"/>
  <c r="C795" i="19"/>
  <c r="I795" i="19" s="1"/>
  <c r="D795" i="19"/>
  <c r="J795" i="19" s="1"/>
  <c r="E795" i="19"/>
  <c r="K795" i="19" s="1"/>
  <c r="A796" i="19"/>
  <c r="G796" i="19" s="1"/>
  <c r="B796" i="19"/>
  <c r="H796" i="19" s="1"/>
  <c r="C796" i="19"/>
  <c r="I796" i="19" s="1"/>
  <c r="D796" i="19"/>
  <c r="J796" i="19" s="1"/>
  <c r="E796" i="19"/>
  <c r="K796" i="19" s="1"/>
  <c r="A797" i="19"/>
  <c r="G797" i="19" s="1"/>
  <c r="B797" i="19"/>
  <c r="H797" i="19" s="1"/>
  <c r="C797" i="19"/>
  <c r="I797" i="19" s="1"/>
  <c r="D797" i="19"/>
  <c r="J797" i="19" s="1"/>
  <c r="E797" i="19"/>
  <c r="K797" i="19" s="1"/>
  <c r="A798" i="19"/>
  <c r="G798" i="19" s="1"/>
  <c r="B798" i="19"/>
  <c r="H798" i="19" s="1"/>
  <c r="C798" i="19"/>
  <c r="I798" i="19" s="1"/>
  <c r="D798" i="19"/>
  <c r="J798" i="19" s="1"/>
  <c r="E798" i="19"/>
  <c r="K798" i="19" s="1"/>
  <c r="A799" i="19"/>
  <c r="G799" i="19" s="1"/>
  <c r="B799" i="19"/>
  <c r="H799" i="19" s="1"/>
  <c r="C799" i="19"/>
  <c r="I799" i="19" s="1"/>
  <c r="D799" i="19"/>
  <c r="J799" i="19" s="1"/>
  <c r="E799" i="19"/>
  <c r="K799" i="19" s="1"/>
  <c r="A800" i="19"/>
  <c r="G800" i="19" s="1"/>
  <c r="B800" i="19"/>
  <c r="H800" i="19" s="1"/>
  <c r="C800" i="19"/>
  <c r="I800" i="19" s="1"/>
  <c r="D800" i="19"/>
  <c r="J800" i="19" s="1"/>
  <c r="E800" i="19"/>
  <c r="K800" i="19" s="1"/>
  <c r="A801" i="19"/>
  <c r="G801" i="19" s="1"/>
  <c r="B801" i="19"/>
  <c r="H801" i="19" s="1"/>
  <c r="C801" i="19"/>
  <c r="I801" i="19" s="1"/>
  <c r="D801" i="19"/>
  <c r="J801" i="19" s="1"/>
  <c r="E801" i="19"/>
  <c r="K801" i="19" s="1"/>
  <c r="A802" i="19"/>
  <c r="G802" i="19" s="1"/>
  <c r="B802" i="19"/>
  <c r="H802" i="19" s="1"/>
  <c r="C802" i="19"/>
  <c r="I802" i="19" s="1"/>
  <c r="D802" i="19"/>
  <c r="J802" i="19" s="1"/>
  <c r="E802" i="19"/>
  <c r="K802" i="19" s="1"/>
  <c r="A803" i="19"/>
  <c r="G803" i="19" s="1"/>
  <c r="B803" i="19"/>
  <c r="H803" i="19" s="1"/>
  <c r="C803" i="19"/>
  <c r="I803" i="19" s="1"/>
  <c r="D803" i="19"/>
  <c r="J803" i="19" s="1"/>
  <c r="E803" i="19"/>
  <c r="K803" i="19" s="1"/>
  <c r="A804" i="19"/>
  <c r="G804" i="19" s="1"/>
  <c r="B804" i="19"/>
  <c r="H804" i="19" s="1"/>
  <c r="C804" i="19"/>
  <c r="I804" i="19" s="1"/>
  <c r="D804" i="19"/>
  <c r="J804" i="19" s="1"/>
  <c r="E804" i="19"/>
  <c r="K804" i="19" s="1"/>
  <c r="A805" i="19"/>
  <c r="G805" i="19" s="1"/>
  <c r="B805" i="19"/>
  <c r="H805" i="19" s="1"/>
  <c r="C805" i="19"/>
  <c r="I805" i="19" s="1"/>
  <c r="D805" i="19"/>
  <c r="J805" i="19" s="1"/>
  <c r="E805" i="19"/>
  <c r="K805" i="19" s="1"/>
  <c r="A806" i="19"/>
  <c r="G806" i="19" s="1"/>
  <c r="B806" i="19"/>
  <c r="H806" i="19" s="1"/>
  <c r="C806" i="19"/>
  <c r="I806" i="19" s="1"/>
  <c r="D806" i="19"/>
  <c r="J806" i="19" s="1"/>
  <c r="E806" i="19"/>
  <c r="K806" i="19" s="1"/>
  <c r="A807" i="19"/>
  <c r="G807" i="19" s="1"/>
  <c r="B807" i="19"/>
  <c r="H807" i="19" s="1"/>
  <c r="C807" i="19"/>
  <c r="I807" i="19" s="1"/>
  <c r="D807" i="19"/>
  <c r="J807" i="19" s="1"/>
  <c r="E807" i="19"/>
  <c r="K807" i="19" s="1"/>
  <c r="A808" i="19"/>
  <c r="G808" i="19" s="1"/>
  <c r="B808" i="19"/>
  <c r="H808" i="19" s="1"/>
  <c r="C808" i="19"/>
  <c r="I808" i="19" s="1"/>
  <c r="D808" i="19"/>
  <c r="J808" i="19" s="1"/>
  <c r="E808" i="19"/>
  <c r="K808" i="19" s="1"/>
  <c r="A809" i="19"/>
  <c r="G809" i="19" s="1"/>
  <c r="B809" i="19"/>
  <c r="H809" i="19" s="1"/>
  <c r="C809" i="19"/>
  <c r="I809" i="19" s="1"/>
  <c r="D809" i="19"/>
  <c r="J809" i="19" s="1"/>
  <c r="E809" i="19"/>
  <c r="K809" i="19" s="1"/>
  <c r="A810" i="19"/>
  <c r="G810" i="19" s="1"/>
  <c r="B810" i="19"/>
  <c r="H810" i="19" s="1"/>
  <c r="C810" i="19"/>
  <c r="I810" i="19" s="1"/>
  <c r="D810" i="19"/>
  <c r="J810" i="19" s="1"/>
  <c r="E810" i="19"/>
  <c r="K810" i="19" s="1"/>
  <c r="A811" i="19"/>
  <c r="G811" i="19" s="1"/>
  <c r="B811" i="19"/>
  <c r="H811" i="19" s="1"/>
  <c r="C811" i="19"/>
  <c r="I811" i="19" s="1"/>
  <c r="D811" i="19"/>
  <c r="J811" i="19" s="1"/>
  <c r="E811" i="19"/>
  <c r="K811" i="19" s="1"/>
  <c r="A812" i="19"/>
  <c r="G812" i="19" s="1"/>
  <c r="B812" i="19"/>
  <c r="H812" i="19" s="1"/>
  <c r="C812" i="19"/>
  <c r="I812" i="19" s="1"/>
  <c r="D812" i="19"/>
  <c r="J812" i="19" s="1"/>
  <c r="E812" i="19"/>
  <c r="K812" i="19" s="1"/>
  <c r="A813" i="19"/>
  <c r="G813" i="19" s="1"/>
  <c r="B813" i="19"/>
  <c r="H813" i="19" s="1"/>
  <c r="C813" i="19"/>
  <c r="I813" i="19" s="1"/>
  <c r="D813" i="19"/>
  <c r="J813" i="19" s="1"/>
  <c r="E813" i="19"/>
  <c r="K813" i="19" s="1"/>
  <c r="A814" i="19"/>
  <c r="G814" i="19" s="1"/>
  <c r="B814" i="19"/>
  <c r="H814" i="19" s="1"/>
  <c r="C814" i="19"/>
  <c r="I814" i="19" s="1"/>
  <c r="D814" i="19"/>
  <c r="J814" i="19" s="1"/>
  <c r="E814" i="19"/>
  <c r="K814" i="19" s="1"/>
  <c r="A815" i="19"/>
  <c r="G815" i="19" s="1"/>
  <c r="B815" i="19"/>
  <c r="H815" i="19" s="1"/>
  <c r="C815" i="19"/>
  <c r="I815" i="19" s="1"/>
  <c r="D815" i="19"/>
  <c r="J815" i="19" s="1"/>
  <c r="E815" i="19"/>
  <c r="K815" i="19" s="1"/>
  <c r="A816" i="19"/>
  <c r="G816" i="19" s="1"/>
  <c r="B816" i="19"/>
  <c r="H816" i="19" s="1"/>
  <c r="C816" i="19"/>
  <c r="I816" i="19" s="1"/>
  <c r="D816" i="19"/>
  <c r="J816" i="19" s="1"/>
  <c r="E816" i="19"/>
  <c r="K816" i="19" s="1"/>
  <c r="A817" i="19"/>
  <c r="G817" i="19" s="1"/>
  <c r="B817" i="19"/>
  <c r="H817" i="19" s="1"/>
  <c r="C817" i="19"/>
  <c r="I817" i="19" s="1"/>
  <c r="D817" i="19"/>
  <c r="J817" i="19" s="1"/>
  <c r="E817" i="19"/>
  <c r="K817" i="19" s="1"/>
  <c r="A818" i="19"/>
  <c r="G818" i="19" s="1"/>
  <c r="B818" i="19"/>
  <c r="H818" i="19" s="1"/>
  <c r="C818" i="19"/>
  <c r="I818" i="19" s="1"/>
  <c r="D818" i="19"/>
  <c r="J818" i="19" s="1"/>
  <c r="E818" i="19"/>
  <c r="K818" i="19" s="1"/>
  <c r="A819" i="19"/>
  <c r="G819" i="19" s="1"/>
  <c r="B819" i="19"/>
  <c r="H819" i="19" s="1"/>
  <c r="C819" i="19"/>
  <c r="I819" i="19" s="1"/>
  <c r="D819" i="19"/>
  <c r="J819" i="19" s="1"/>
  <c r="E819" i="19"/>
  <c r="K819" i="19" s="1"/>
  <c r="A820" i="19"/>
  <c r="G820" i="19" s="1"/>
  <c r="B820" i="19"/>
  <c r="H820" i="19" s="1"/>
  <c r="C820" i="19"/>
  <c r="I820" i="19" s="1"/>
  <c r="D820" i="19"/>
  <c r="J820" i="19" s="1"/>
  <c r="E820" i="19"/>
  <c r="K820" i="19" s="1"/>
  <c r="A821" i="19"/>
  <c r="G821" i="19" s="1"/>
  <c r="B821" i="19"/>
  <c r="H821" i="19" s="1"/>
  <c r="C821" i="19"/>
  <c r="I821" i="19" s="1"/>
  <c r="D821" i="19"/>
  <c r="J821" i="19" s="1"/>
  <c r="E821" i="19"/>
  <c r="K821" i="19" s="1"/>
  <c r="A822" i="19"/>
  <c r="G822" i="19" s="1"/>
  <c r="B822" i="19"/>
  <c r="H822" i="19" s="1"/>
  <c r="C822" i="19"/>
  <c r="I822" i="19" s="1"/>
  <c r="D822" i="19"/>
  <c r="J822" i="19" s="1"/>
  <c r="E822" i="19"/>
  <c r="K822" i="19" s="1"/>
  <c r="A823" i="19"/>
  <c r="G823" i="19" s="1"/>
  <c r="B823" i="19"/>
  <c r="H823" i="19" s="1"/>
  <c r="C823" i="19"/>
  <c r="I823" i="19" s="1"/>
  <c r="D823" i="19"/>
  <c r="J823" i="19" s="1"/>
  <c r="E823" i="19"/>
  <c r="K823" i="19" s="1"/>
  <c r="A824" i="19"/>
  <c r="G824" i="19" s="1"/>
  <c r="B824" i="19"/>
  <c r="H824" i="19" s="1"/>
  <c r="C824" i="19"/>
  <c r="I824" i="19" s="1"/>
  <c r="D824" i="19"/>
  <c r="J824" i="19" s="1"/>
  <c r="E824" i="19"/>
  <c r="K824" i="19" s="1"/>
  <c r="A825" i="19"/>
  <c r="G825" i="19" s="1"/>
  <c r="B825" i="19"/>
  <c r="H825" i="19" s="1"/>
  <c r="C825" i="19"/>
  <c r="I825" i="19" s="1"/>
  <c r="D825" i="19"/>
  <c r="J825" i="19" s="1"/>
  <c r="E825" i="19"/>
  <c r="K825" i="19" s="1"/>
  <c r="A826" i="19"/>
  <c r="G826" i="19" s="1"/>
  <c r="B826" i="19"/>
  <c r="H826" i="19" s="1"/>
  <c r="C826" i="19"/>
  <c r="I826" i="19" s="1"/>
  <c r="D826" i="19"/>
  <c r="J826" i="19" s="1"/>
  <c r="E826" i="19"/>
  <c r="K826" i="19" s="1"/>
  <c r="A827" i="19"/>
  <c r="G827" i="19" s="1"/>
  <c r="B827" i="19"/>
  <c r="H827" i="19" s="1"/>
  <c r="C827" i="19"/>
  <c r="I827" i="19" s="1"/>
  <c r="D827" i="19"/>
  <c r="J827" i="19" s="1"/>
  <c r="E827" i="19"/>
  <c r="K827" i="19" s="1"/>
  <c r="A828" i="19"/>
  <c r="G828" i="19" s="1"/>
  <c r="B828" i="19"/>
  <c r="H828" i="19" s="1"/>
  <c r="C828" i="19"/>
  <c r="I828" i="19" s="1"/>
  <c r="D828" i="19"/>
  <c r="J828" i="19" s="1"/>
  <c r="E828" i="19"/>
  <c r="K828" i="19" s="1"/>
  <c r="A829" i="19"/>
  <c r="G829" i="19" s="1"/>
  <c r="B829" i="19"/>
  <c r="H829" i="19" s="1"/>
  <c r="C829" i="19"/>
  <c r="I829" i="19" s="1"/>
  <c r="D829" i="19"/>
  <c r="J829" i="19" s="1"/>
  <c r="E829" i="19"/>
  <c r="K829" i="19" s="1"/>
  <c r="A830" i="19"/>
  <c r="G830" i="19" s="1"/>
  <c r="B830" i="19"/>
  <c r="H830" i="19" s="1"/>
  <c r="C830" i="19"/>
  <c r="I830" i="19" s="1"/>
  <c r="D830" i="19"/>
  <c r="J830" i="19" s="1"/>
  <c r="E830" i="19"/>
  <c r="K830" i="19" s="1"/>
  <c r="A831" i="19"/>
  <c r="G831" i="19" s="1"/>
  <c r="B831" i="19"/>
  <c r="H831" i="19" s="1"/>
  <c r="C831" i="19"/>
  <c r="I831" i="19" s="1"/>
  <c r="D831" i="19"/>
  <c r="J831" i="19" s="1"/>
  <c r="E831" i="19"/>
  <c r="K831" i="19" s="1"/>
  <c r="A832" i="19"/>
  <c r="G832" i="19" s="1"/>
  <c r="B832" i="19"/>
  <c r="H832" i="19" s="1"/>
  <c r="C832" i="19"/>
  <c r="I832" i="19" s="1"/>
  <c r="D832" i="19"/>
  <c r="J832" i="19" s="1"/>
  <c r="E832" i="19"/>
  <c r="K832" i="19" s="1"/>
  <c r="A833" i="19"/>
  <c r="G833" i="19" s="1"/>
  <c r="B833" i="19"/>
  <c r="H833" i="19" s="1"/>
  <c r="C833" i="19"/>
  <c r="I833" i="19" s="1"/>
  <c r="D833" i="19"/>
  <c r="J833" i="19" s="1"/>
  <c r="E833" i="19"/>
  <c r="K833" i="19" s="1"/>
  <c r="A834" i="19"/>
  <c r="G834" i="19" s="1"/>
  <c r="B834" i="19"/>
  <c r="H834" i="19" s="1"/>
  <c r="C834" i="19"/>
  <c r="I834" i="19" s="1"/>
  <c r="D834" i="19"/>
  <c r="J834" i="19" s="1"/>
  <c r="E834" i="19"/>
  <c r="K834" i="19" s="1"/>
  <c r="A835" i="19"/>
  <c r="G835" i="19" s="1"/>
  <c r="B835" i="19"/>
  <c r="H835" i="19" s="1"/>
  <c r="C835" i="19"/>
  <c r="I835" i="19" s="1"/>
  <c r="D835" i="19"/>
  <c r="J835" i="19" s="1"/>
  <c r="E835" i="19"/>
  <c r="K835" i="19" s="1"/>
  <c r="A836" i="19"/>
  <c r="G836" i="19" s="1"/>
  <c r="B836" i="19"/>
  <c r="H836" i="19" s="1"/>
  <c r="C836" i="19"/>
  <c r="I836" i="19" s="1"/>
  <c r="D836" i="19"/>
  <c r="J836" i="19" s="1"/>
  <c r="E836" i="19"/>
  <c r="K836" i="19" s="1"/>
  <c r="A837" i="19"/>
  <c r="G837" i="19" s="1"/>
  <c r="B837" i="19"/>
  <c r="H837" i="19" s="1"/>
  <c r="C837" i="19"/>
  <c r="I837" i="19" s="1"/>
  <c r="D837" i="19"/>
  <c r="J837" i="19" s="1"/>
  <c r="E837" i="19"/>
  <c r="K837" i="19" s="1"/>
  <c r="A838" i="19"/>
  <c r="G838" i="19" s="1"/>
  <c r="B838" i="19"/>
  <c r="H838" i="19" s="1"/>
  <c r="C838" i="19"/>
  <c r="I838" i="19" s="1"/>
  <c r="D838" i="19"/>
  <c r="J838" i="19" s="1"/>
  <c r="E838" i="19"/>
  <c r="K838" i="19" s="1"/>
  <c r="A839" i="19"/>
  <c r="G839" i="19" s="1"/>
  <c r="B839" i="19"/>
  <c r="H839" i="19" s="1"/>
  <c r="C839" i="19"/>
  <c r="I839" i="19" s="1"/>
  <c r="D839" i="19"/>
  <c r="J839" i="19" s="1"/>
  <c r="E839" i="19"/>
  <c r="K839" i="19" s="1"/>
  <c r="A840" i="19"/>
  <c r="G840" i="19" s="1"/>
  <c r="B840" i="19"/>
  <c r="H840" i="19" s="1"/>
  <c r="C840" i="19"/>
  <c r="I840" i="19" s="1"/>
  <c r="D840" i="19"/>
  <c r="J840" i="19" s="1"/>
  <c r="E840" i="19"/>
  <c r="K840" i="19" s="1"/>
  <c r="A841" i="19"/>
  <c r="G841" i="19" s="1"/>
  <c r="B841" i="19"/>
  <c r="H841" i="19" s="1"/>
  <c r="C841" i="19"/>
  <c r="I841" i="19" s="1"/>
  <c r="D841" i="19"/>
  <c r="J841" i="19" s="1"/>
  <c r="E841" i="19"/>
  <c r="K841" i="19" s="1"/>
  <c r="A842" i="19"/>
  <c r="G842" i="19" s="1"/>
  <c r="B842" i="19"/>
  <c r="H842" i="19" s="1"/>
  <c r="C842" i="19"/>
  <c r="I842" i="19" s="1"/>
  <c r="D842" i="19"/>
  <c r="J842" i="19" s="1"/>
  <c r="E842" i="19"/>
  <c r="K842" i="19" s="1"/>
  <c r="A843" i="19"/>
  <c r="G843" i="19" s="1"/>
  <c r="B843" i="19"/>
  <c r="H843" i="19" s="1"/>
  <c r="C843" i="19"/>
  <c r="I843" i="19" s="1"/>
  <c r="D843" i="19"/>
  <c r="J843" i="19" s="1"/>
  <c r="E843" i="19"/>
  <c r="K843" i="19" s="1"/>
  <c r="A844" i="19"/>
  <c r="G844" i="19" s="1"/>
  <c r="B844" i="19"/>
  <c r="H844" i="19" s="1"/>
  <c r="C844" i="19"/>
  <c r="I844" i="19" s="1"/>
  <c r="D844" i="19"/>
  <c r="J844" i="19" s="1"/>
  <c r="E844" i="19"/>
  <c r="K844" i="19" s="1"/>
  <c r="A845" i="19"/>
  <c r="G845" i="19" s="1"/>
  <c r="B845" i="19"/>
  <c r="H845" i="19" s="1"/>
  <c r="C845" i="19"/>
  <c r="I845" i="19" s="1"/>
  <c r="D845" i="19"/>
  <c r="J845" i="19" s="1"/>
  <c r="E845" i="19"/>
  <c r="K845" i="19" s="1"/>
  <c r="A846" i="19"/>
  <c r="G846" i="19" s="1"/>
  <c r="B846" i="19"/>
  <c r="H846" i="19" s="1"/>
  <c r="C846" i="19"/>
  <c r="I846" i="19" s="1"/>
  <c r="D846" i="19"/>
  <c r="J846" i="19" s="1"/>
  <c r="E846" i="19"/>
  <c r="K846" i="19" s="1"/>
  <c r="A847" i="19"/>
  <c r="G847" i="19" s="1"/>
  <c r="B847" i="19"/>
  <c r="H847" i="19" s="1"/>
  <c r="C847" i="19"/>
  <c r="I847" i="19" s="1"/>
  <c r="D847" i="19"/>
  <c r="J847" i="19" s="1"/>
  <c r="E847" i="19"/>
  <c r="K847" i="19" s="1"/>
  <c r="A848" i="19"/>
  <c r="G848" i="19" s="1"/>
  <c r="B848" i="19"/>
  <c r="H848" i="19" s="1"/>
  <c r="C848" i="19"/>
  <c r="I848" i="19" s="1"/>
  <c r="D848" i="19"/>
  <c r="J848" i="19" s="1"/>
  <c r="E848" i="19"/>
  <c r="K848" i="19" s="1"/>
  <c r="A849" i="19"/>
  <c r="G849" i="19" s="1"/>
  <c r="B849" i="19"/>
  <c r="H849" i="19" s="1"/>
  <c r="C849" i="19"/>
  <c r="I849" i="19" s="1"/>
  <c r="D849" i="19"/>
  <c r="J849" i="19" s="1"/>
  <c r="E849" i="19"/>
  <c r="K849" i="19" s="1"/>
  <c r="A850" i="19"/>
  <c r="G850" i="19" s="1"/>
  <c r="B850" i="19"/>
  <c r="H850" i="19" s="1"/>
  <c r="C850" i="19"/>
  <c r="I850" i="19" s="1"/>
  <c r="D850" i="19"/>
  <c r="J850" i="19" s="1"/>
  <c r="E850" i="19"/>
  <c r="K850" i="19" s="1"/>
  <c r="A851" i="19"/>
  <c r="G851" i="19" s="1"/>
  <c r="B851" i="19"/>
  <c r="H851" i="19" s="1"/>
  <c r="C851" i="19"/>
  <c r="I851" i="19" s="1"/>
  <c r="D851" i="19"/>
  <c r="J851" i="19" s="1"/>
  <c r="E851" i="19"/>
  <c r="K851" i="19" s="1"/>
  <c r="A852" i="19"/>
  <c r="G852" i="19" s="1"/>
  <c r="B852" i="19"/>
  <c r="H852" i="19" s="1"/>
  <c r="C852" i="19"/>
  <c r="I852" i="19" s="1"/>
  <c r="D852" i="19"/>
  <c r="J852" i="19" s="1"/>
  <c r="E852" i="19"/>
  <c r="K852" i="19" s="1"/>
  <c r="A853" i="19"/>
  <c r="G853" i="19" s="1"/>
  <c r="B853" i="19"/>
  <c r="H853" i="19" s="1"/>
  <c r="C853" i="19"/>
  <c r="I853" i="19" s="1"/>
  <c r="D853" i="19"/>
  <c r="J853" i="19" s="1"/>
  <c r="E853" i="19"/>
  <c r="K853" i="19" s="1"/>
  <c r="A854" i="19"/>
  <c r="G854" i="19" s="1"/>
  <c r="B854" i="19"/>
  <c r="H854" i="19" s="1"/>
  <c r="C854" i="19"/>
  <c r="I854" i="19" s="1"/>
  <c r="D854" i="19"/>
  <c r="J854" i="19" s="1"/>
  <c r="E854" i="19"/>
  <c r="K854" i="19" s="1"/>
  <c r="A855" i="19"/>
  <c r="G855" i="19" s="1"/>
  <c r="B855" i="19"/>
  <c r="H855" i="19" s="1"/>
  <c r="C855" i="19"/>
  <c r="I855" i="19" s="1"/>
  <c r="D855" i="19"/>
  <c r="J855" i="19" s="1"/>
  <c r="E855" i="19"/>
  <c r="K855" i="19" s="1"/>
  <c r="A856" i="19"/>
  <c r="G856" i="19" s="1"/>
  <c r="B856" i="19"/>
  <c r="H856" i="19" s="1"/>
  <c r="C856" i="19"/>
  <c r="I856" i="19" s="1"/>
  <c r="D856" i="19"/>
  <c r="J856" i="19" s="1"/>
  <c r="E856" i="19"/>
  <c r="K856" i="19" s="1"/>
  <c r="A857" i="19"/>
  <c r="G857" i="19" s="1"/>
  <c r="B857" i="19"/>
  <c r="H857" i="19" s="1"/>
  <c r="C857" i="19"/>
  <c r="I857" i="19" s="1"/>
  <c r="D857" i="19"/>
  <c r="J857" i="19" s="1"/>
  <c r="E857" i="19"/>
  <c r="K857" i="19" s="1"/>
  <c r="A858" i="19"/>
  <c r="G858" i="19" s="1"/>
  <c r="B858" i="19"/>
  <c r="H858" i="19" s="1"/>
  <c r="C858" i="19"/>
  <c r="I858" i="19" s="1"/>
  <c r="D858" i="19"/>
  <c r="J858" i="19" s="1"/>
  <c r="E858" i="19"/>
  <c r="K858" i="19" s="1"/>
  <c r="A859" i="19"/>
  <c r="G859" i="19" s="1"/>
  <c r="B859" i="19"/>
  <c r="H859" i="19" s="1"/>
  <c r="C859" i="19"/>
  <c r="I859" i="19" s="1"/>
  <c r="D859" i="19"/>
  <c r="J859" i="19" s="1"/>
  <c r="E859" i="19"/>
  <c r="K859" i="19" s="1"/>
  <c r="A860" i="19"/>
  <c r="G860" i="19" s="1"/>
  <c r="B860" i="19"/>
  <c r="H860" i="19" s="1"/>
  <c r="C860" i="19"/>
  <c r="I860" i="19" s="1"/>
  <c r="D860" i="19"/>
  <c r="J860" i="19" s="1"/>
  <c r="E860" i="19"/>
  <c r="K860" i="19" s="1"/>
  <c r="A861" i="19"/>
  <c r="G861" i="19" s="1"/>
  <c r="B861" i="19"/>
  <c r="H861" i="19" s="1"/>
  <c r="C861" i="19"/>
  <c r="I861" i="19" s="1"/>
  <c r="D861" i="19"/>
  <c r="J861" i="19" s="1"/>
  <c r="E861" i="19"/>
  <c r="K861" i="19" s="1"/>
  <c r="A862" i="19"/>
  <c r="G862" i="19" s="1"/>
  <c r="B862" i="19"/>
  <c r="H862" i="19" s="1"/>
  <c r="C862" i="19"/>
  <c r="I862" i="19" s="1"/>
  <c r="D862" i="19"/>
  <c r="J862" i="19" s="1"/>
  <c r="E862" i="19"/>
  <c r="K862" i="19" s="1"/>
  <c r="A863" i="19"/>
  <c r="G863" i="19" s="1"/>
  <c r="B863" i="19"/>
  <c r="H863" i="19" s="1"/>
  <c r="C863" i="19"/>
  <c r="I863" i="19" s="1"/>
  <c r="D863" i="19"/>
  <c r="J863" i="19" s="1"/>
  <c r="E863" i="19"/>
  <c r="K863" i="19" s="1"/>
  <c r="A864" i="19"/>
  <c r="G864" i="19" s="1"/>
  <c r="B864" i="19"/>
  <c r="H864" i="19" s="1"/>
  <c r="C864" i="19"/>
  <c r="I864" i="19" s="1"/>
  <c r="D864" i="19"/>
  <c r="J864" i="19" s="1"/>
  <c r="E864" i="19"/>
  <c r="K864" i="19" s="1"/>
  <c r="A865" i="19"/>
  <c r="G865" i="19" s="1"/>
  <c r="B865" i="19"/>
  <c r="H865" i="19" s="1"/>
  <c r="C865" i="19"/>
  <c r="I865" i="19" s="1"/>
  <c r="D865" i="19"/>
  <c r="J865" i="19" s="1"/>
  <c r="E865" i="19"/>
  <c r="K865" i="19" s="1"/>
  <c r="A866" i="19"/>
  <c r="G866" i="19" s="1"/>
  <c r="B866" i="19"/>
  <c r="H866" i="19" s="1"/>
  <c r="C866" i="19"/>
  <c r="I866" i="19" s="1"/>
  <c r="D866" i="19"/>
  <c r="J866" i="19" s="1"/>
  <c r="E866" i="19"/>
  <c r="K866" i="19" s="1"/>
  <c r="A867" i="19"/>
  <c r="G867" i="19" s="1"/>
  <c r="B867" i="19"/>
  <c r="H867" i="19" s="1"/>
  <c r="C867" i="19"/>
  <c r="I867" i="19" s="1"/>
  <c r="D867" i="19"/>
  <c r="J867" i="19" s="1"/>
  <c r="E867" i="19"/>
  <c r="K867" i="19" s="1"/>
  <c r="A868" i="19"/>
  <c r="G868" i="19" s="1"/>
  <c r="B868" i="19"/>
  <c r="H868" i="19" s="1"/>
  <c r="C868" i="19"/>
  <c r="I868" i="19" s="1"/>
  <c r="D868" i="19"/>
  <c r="J868" i="19" s="1"/>
  <c r="E868" i="19"/>
  <c r="K868" i="19" s="1"/>
  <c r="A869" i="19"/>
  <c r="G869" i="19" s="1"/>
  <c r="B869" i="19"/>
  <c r="H869" i="19" s="1"/>
  <c r="C869" i="19"/>
  <c r="I869" i="19" s="1"/>
  <c r="D869" i="19"/>
  <c r="J869" i="19" s="1"/>
  <c r="E869" i="19"/>
  <c r="K869" i="19" s="1"/>
  <c r="A870" i="19"/>
  <c r="G870" i="19" s="1"/>
  <c r="B870" i="19"/>
  <c r="H870" i="19" s="1"/>
  <c r="C870" i="19"/>
  <c r="I870" i="19" s="1"/>
  <c r="D870" i="19"/>
  <c r="J870" i="19" s="1"/>
  <c r="E870" i="19"/>
  <c r="K870" i="19" s="1"/>
  <c r="A871" i="19"/>
  <c r="G871" i="19" s="1"/>
  <c r="B871" i="19"/>
  <c r="H871" i="19" s="1"/>
  <c r="C871" i="19"/>
  <c r="I871" i="19" s="1"/>
  <c r="D871" i="19"/>
  <c r="J871" i="19" s="1"/>
  <c r="E871" i="19"/>
  <c r="K871" i="19" s="1"/>
  <c r="A872" i="19"/>
  <c r="G872" i="19" s="1"/>
  <c r="B872" i="19"/>
  <c r="H872" i="19" s="1"/>
  <c r="C872" i="19"/>
  <c r="I872" i="19" s="1"/>
  <c r="D872" i="19"/>
  <c r="J872" i="19" s="1"/>
  <c r="E872" i="19"/>
  <c r="K872" i="19" s="1"/>
  <c r="A873" i="19"/>
  <c r="G873" i="19" s="1"/>
  <c r="B873" i="19"/>
  <c r="H873" i="19" s="1"/>
  <c r="C873" i="19"/>
  <c r="I873" i="19" s="1"/>
  <c r="D873" i="19"/>
  <c r="J873" i="19" s="1"/>
  <c r="E873" i="19"/>
  <c r="K873" i="19" s="1"/>
  <c r="A874" i="19"/>
  <c r="G874" i="19" s="1"/>
  <c r="B874" i="19"/>
  <c r="H874" i="19" s="1"/>
  <c r="C874" i="19"/>
  <c r="I874" i="19" s="1"/>
  <c r="D874" i="19"/>
  <c r="J874" i="19" s="1"/>
  <c r="E874" i="19"/>
  <c r="K874" i="19" s="1"/>
  <c r="A875" i="19"/>
  <c r="G875" i="19" s="1"/>
  <c r="B875" i="19"/>
  <c r="H875" i="19" s="1"/>
  <c r="C875" i="19"/>
  <c r="I875" i="19" s="1"/>
  <c r="D875" i="19"/>
  <c r="J875" i="19" s="1"/>
  <c r="E875" i="19"/>
  <c r="K875" i="19" s="1"/>
  <c r="A876" i="19"/>
  <c r="G876" i="19" s="1"/>
  <c r="B876" i="19"/>
  <c r="H876" i="19" s="1"/>
  <c r="C876" i="19"/>
  <c r="I876" i="19" s="1"/>
  <c r="D876" i="19"/>
  <c r="J876" i="19" s="1"/>
  <c r="E876" i="19"/>
  <c r="K876" i="19" s="1"/>
  <c r="A877" i="19"/>
  <c r="G877" i="19" s="1"/>
  <c r="B877" i="19"/>
  <c r="H877" i="19" s="1"/>
  <c r="C877" i="19"/>
  <c r="I877" i="19" s="1"/>
  <c r="D877" i="19"/>
  <c r="J877" i="19" s="1"/>
  <c r="E877" i="19"/>
  <c r="K877" i="19" s="1"/>
  <c r="A878" i="19"/>
  <c r="G878" i="19" s="1"/>
  <c r="B878" i="19"/>
  <c r="H878" i="19" s="1"/>
  <c r="C878" i="19"/>
  <c r="I878" i="19" s="1"/>
  <c r="D878" i="19"/>
  <c r="J878" i="19" s="1"/>
  <c r="E878" i="19"/>
  <c r="K878" i="19" s="1"/>
  <c r="A879" i="19"/>
  <c r="G879" i="19" s="1"/>
  <c r="B879" i="19"/>
  <c r="H879" i="19" s="1"/>
  <c r="C879" i="19"/>
  <c r="I879" i="19" s="1"/>
  <c r="D879" i="19"/>
  <c r="J879" i="19" s="1"/>
  <c r="E879" i="19"/>
  <c r="K879" i="19" s="1"/>
  <c r="A880" i="19"/>
  <c r="G880" i="19" s="1"/>
  <c r="B880" i="19"/>
  <c r="H880" i="19" s="1"/>
  <c r="C880" i="19"/>
  <c r="I880" i="19" s="1"/>
  <c r="D880" i="19"/>
  <c r="J880" i="19" s="1"/>
  <c r="E880" i="19"/>
  <c r="K880" i="19" s="1"/>
  <c r="A881" i="19"/>
  <c r="G881" i="19" s="1"/>
  <c r="B881" i="19"/>
  <c r="H881" i="19" s="1"/>
  <c r="C881" i="19"/>
  <c r="I881" i="19" s="1"/>
  <c r="D881" i="19"/>
  <c r="J881" i="19" s="1"/>
  <c r="E881" i="19"/>
  <c r="K881" i="19" s="1"/>
  <c r="A882" i="19"/>
  <c r="G882" i="19" s="1"/>
  <c r="B882" i="19"/>
  <c r="H882" i="19" s="1"/>
  <c r="C882" i="19"/>
  <c r="I882" i="19" s="1"/>
  <c r="D882" i="19"/>
  <c r="J882" i="19" s="1"/>
  <c r="E882" i="19"/>
  <c r="K882" i="19" s="1"/>
  <c r="A883" i="19"/>
  <c r="G883" i="19" s="1"/>
  <c r="B883" i="19"/>
  <c r="H883" i="19" s="1"/>
  <c r="C883" i="19"/>
  <c r="I883" i="19" s="1"/>
  <c r="D883" i="19"/>
  <c r="J883" i="19" s="1"/>
  <c r="E883" i="19"/>
  <c r="K883" i="19" s="1"/>
  <c r="A884" i="19"/>
  <c r="G884" i="19" s="1"/>
  <c r="B884" i="19"/>
  <c r="H884" i="19" s="1"/>
  <c r="C884" i="19"/>
  <c r="I884" i="19" s="1"/>
  <c r="D884" i="19"/>
  <c r="J884" i="19" s="1"/>
  <c r="E884" i="19"/>
  <c r="K884" i="19" s="1"/>
  <c r="A885" i="19"/>
  <c r="G885" i="19" s="1"/>
  <c r="B885" i="19"/>
  <c r="H885" i="19" s="1"/>
  <c r="C885" i="19"/>
  <c r="I885" i="19" s="1"/>
  <c r="D885" i="19"/>
  <c r="J885" i="19" s="1"/>
  <c r="E885" i="19"/>
  <c r="K885" i="19" s="1"/>
  <c r="A886" i="19"/>
  <c r="G886" i="19" s="1"/>
  <c r="B886" i="19"/>
  <c r="H886" i="19" s="1"/>
  <c r="C886" i="19"/>
  <c r="I886" i="19" s="1"/>
  <c r="D886" i="19"/>
  <c r="J886" i="19" s="1"/>
  <c r="E886" i="19"/>
  <c r="K886" i="19" s="1"/>
  <c r="A887" i="19"/>
  <c r="G887" i="19" s="1"/>
  <c r="B887" i="19"/>
  <c r="H887" i="19" s="1"/>
  <c r="C887" i="19"/>
  <c r="I887" i="19" s="1"/>
  <c r="D887" i="19"/>
  <c r="J887" i="19" s="1"/>
  <c r="E887" i="19"/>
  <c r="K887" i="19" s="1"/>
  <c r="A888" i="19"/>
  <c r="G888" i="19" s="1"/>
  <c r="B888" i="19"/>
  <c r="H888" i="19" s="1"/>
  <c r="C888" i="19"/>
  <c r="I888" i="19" s="1"/>
  <c r="D888" i="19"/>
  <c r="J888" i="19" s="1"/>
  <c r="E888" i="19"/>
  <c r="K888" i="19" s="1"/>
  <c r="A889" i="19"/>
  <c r="G889" i="19" s="1"/>
  <c r="B889" i="19"/>
  <c r="H889" i="19" s="1"/>
  <c r="C889" i="19"/>
  <c r="I889" i="19" s="1"/>
  <c r="D889" i="19"/>
  <c r="J889" i="19" s="1"/>
  <c r="E889" i="19"/>
  <c r="K889" i="19" s="1"/>
  <c r="A890" i="19"/>
  <c r="G890" i="19" s="1"/>
  <c r="B890" i="19"/>
  <c r="H890" i="19" s="1"/>
  <c r="C890" i="19"/>
  <c r="I890" i="19" s="1"/>
  <c r="D890" i="19"/>
  <c r="J890" i="19" s="1"/>
  <c r="E890" i="19"/>
  <c r="K890" i="19" s="1"/>
  <c r="A891" i="19"/>
  <c r="G891" i="19" s="1"/>
  <c r="B891" i="19"/>
  <c r="H891" i="19" s="1"/>
  <c r="C891" i="19"/>
  <c r="I891" i="19" s="1"/>
  <c r="D891" i="19"/>
  <c r="J891" i="19" s="1"/>
  <c r="E891" i="19"/>
  <c r="K891" i="19" s="1"/>
  <c r="A892" i="19"/>
  <c r="G892" i="19" s="1"/>
  <c r="B892" i="19"/>
  <c r="H892" i="19" s="1"/>
  <c r="C892" i="19"/>
  <c r="I892" i="19" s="1"/>
  <c r="D892" i="19"/>
  <c r="J892" i="19" s="1"/>
  <c r="E892" i="19"/>
  <c r="K892" i="19" s="1"/>
  <c r="A893" i="19"/>
  <c r="G893" i="19" s="1"/>
  <c r="B893" i="19"/>
  <c r="H893" i="19" s="1"/>
  <c r="C893" i="19"/>
  <c r="I893" i="19" s="1"/>
  <c r="D893" i="19"/>
  <c r="J893" i="19" s="1"/>
  <c r="E893" i="19"/>
  <c r="K893" i="19" s="1"/>
  <c r="A894" i="19"/>
  <c r="G894" i="19" s="1"/>
  <c r="B894" i="19"/>
  <c r="H894" i="19" s="1"/>
  <c r="C894" i="19"/>
  <c r="I894" i="19" s="1"/>
  <c r="D894" i="19"/>
  <c r="J894" i="19" s="1"/>
  <c r="E894" i="19"/>
  <c r="K894" i="19" s="1"/>
  <c r="A895" i="19"/>
  <c r="G895" i="19" s="1"/>
  <c r="B895" i="19"/>
  <c r="H895" i="19" s="1"/>
  <c r="C895" i="19"/>
  <c r="I895" i="19" s="1"/>
  <c r="D895" i="19"/>
  <c r="J895" i="19" s="1"/>
  <c r="E895" i="19"/>
  <c r="K895" i="19" s="1"/>
  <c r="A896" i="19"/>
  <c r="G896" i="19" s="1"/>
  <c r="B896" i="19"/>
  <c r="H896" i="19" s="1"/>
  <c r="C896" i="19"/>
  <c r="I896" i="19" s="1"/>
  <c r="D896" i="19"/>
  <c r="J896" i="19" s="1"/>
  <c r="E896" i="19"/>
  <c r="K896" i="19" s="1"/>
  <c r="A897" i="19"/>
  <c r="G897" i="19" s="1"/>
  <c r="B897" i="19"/>
  <c r="H897" i="19" s="1"/>
  <c r="C897" i="19"/>
  <c r="I897" i="19" s="1"/>
  <c r="D897" i="19"/>
  <c r="J897" i="19" s="1"/>
  <c r="E897" i="19"/>
  <c r="K897" i="19" s="1"/>
  <c r="A898" i="19"/>
  <c r="G898" i="19" s="1"/>
  <c r="B898" i="19"/>
  <c r="H898" i="19" s="1"/>
  <c r="C898" i="19"/>
  <c r="I898" i="19" s="1"/>
  <c r="D898" i="19"/>
  <c r="J898" i="19" s="1"/>
  <c r="E898" i="19"/>
  <c r="K898" i="19" s="1"/>
  <c r="A899" i="19"/>
  <c r="G899" i="19" s="1"/>
  <c r="B899" i="19"/>
  <c r="H899" i="19" s="1"/>
  <c r="C899" i="19"/>
  <c r="I899" i="19" s="1"/>
  <c r="D899" i="19"/>
  <c r="J899" i="19" s="1"/>
  <c r="E899" i="19"/>
  <c r="K899" i="19" s="1"/>
  <c r="A900" i="19"/>
  <c r="G900" i="19" s="1"/>
  <c r="B900" i="19"/>
  <c r="H900" i="19" s="1"/>
  <c r="C900" i="19"/>
  <c r="I900" i="19" s="1"/>
  <c r="D900" i="19"/>
  <c r="J900" i="19" s="1"/>
  <c r="E900" i="19"/>
  <c r="K900" i="19" s="1"/>
  <c r="A901" i="19"/>
  <c r="G901" i="19" s="1"/>
  <c r="B901" i="19"/>
  <c r="H901" i="19" s="1"/>
  <c r="C901" i="19"/>
  <c r="I901" i="19" s="1"/>
  <c r="D901" i="19"/>
  <c r="J901" i="19" s="1"/>
  <c r="E901" i="19"/>
  <c r="K901" i="19" s="1"/>
  <c r="A902" i="19"/>
  <c r="G902" i="19" s="1"/>
  <c r="B902" i="19"/>
  <c r="H902" i="19" s="1"/>
  <c r="C902" i="19"/>
  <c r="I902" i="19" s="1"/>
  <c r="D902" i="19"/>
  <c r="J902" i="19" s="1"/>
  <c r="E902" i="19"/>
  <c r="K902" i="19" s="1"/>
  <c r="A903" i="19"/>
  <c r="G903" i="19" s="1"/>
  <c r="B903" i="19"/>
  <c r="H903" i="19" s="1"/>
  <c r="C903" i="19"/>
  <c r="I903" i="19" s="1"/>
  <c r="D903" i="19"/>
  <c r="J903" i="19" s="1"/>
  <c r="E903" i="19"/>
  <c r="K903" i="19" s="1"/>
  <c r="A904" i="19"/>
  <c r="G904" i="19" s="1"/>
  <c r="B904" i="19"/>
  <c r="H904" i="19" s="1"/>
  <c r="C904" i="19"/>
  <c r="I904" i="19" s="1"/>
  <c r="D904" i="19"/>
  <c r="J904" i="19" s="1"/>
  <c r="E904" i="19"/>
  <c r="K904" i="19" s="1"/>
  <c r="A905" i="19"/>
  <c r="G905" i="19" s="1"/>
  <c r="B905" i="19"/>
  <c r="H905" i="19" s="1"/>
  <c r="C905" i="19"/>
  <c r="I905" i="19" s="1"/>
  <c r="D905" i="19"/>
  <c r="J905" i="19" s="1"/>
  <c r="E905" i="19"/>
  <c r="K905" i="19" s="1"/>
  <c r="A906" i="19"/>
  <c r="G906" i="19" s="1"/>
  <c r="B906" i="19"/>
  <c r="H906" i="19" s="1"/>
  <c r="C906" i="19"/>
  <c r="I906" i="19" s="1"/>
  <c r="D906" i="19"/>
  <c r="J906" i="19" s="1"/>
  <c r="E906" i="19"/>
  <c r="K906" i="19" s="1"/>
  <c r="A907" i="19"/>
  <c r="G907" i="19" s="1"/>
  <c r="B907" i="19"/>
  <c r="H907" i="19" s="1"/>
  <c r="C907" i="19"/>
  <c r="I907" i="19" s="1"/>
  <c r="D907" i="19"/>
  <c r="J907" i="19" s="1"/>
  <c r="E907" i="19"/>
  <c r="K907" i="19" s="1"/>
  <c r="A908" i="19"/>
  <c r="G908" i="19" s="1"/>
  <c r="B908" i="19"/>
  <c r="H908" i="19" s="1"/>
  <c r="C908" i="19"/>
  <c r="I908" i="19" s="1"/>
  <c r="D908" i="19"/>
  <c r="J908" i="19" s="1"/>
  <c r="E908" i="19"/>
  <c r="K908" i="19" s="1"/>
  <c r="A909" i="19"/>
  <c r="G909" i="19" s="1"/>
  <c r="B909" i="19"/>
  <c r="H909" i="19" s="1"/>
  <c r="C909" i="19"/>
  <c r="I909" i="19" s="1"/>
  <c r="D909" i="19"/>
  <c r="J909" i="19" s="1"/>
  <c r="E909" i="19"/>
  <c r="K909" i="19" s="1"/>
  <c r="A910" i="19"/>
  <c r="G910" i="19" s="1"/>
  <c r="B910" i="19"/>
  <c r="H910" i="19" s="1"/>
  <c r="C910" i="19"/>
  <c r="I910" i="19" s="1"/>
  <c r="D910" i="19"/>
  <c r="J910" i="19" s="1"/>
  <c r="E910" i="19"/>
  <c r="K910" i="19" s="1"/>
  <c r="A911" i="19"/>
  <c r="G911" i="19" s="1"/>
  <c r="B911" i="19"/>
  <c r="H911" i="19" s="1"/>
  <c r="C911" i="19"/>
  <c r="I911" i="19" s="1"/>
  <c r="D911" i="19"/>
  <c r="J911" i="19" s="1"/>
  <c r="E911" i="19"/>
  <c r="K911" i="19" s="1"/>
  <c r="A912" i="19"/>
  <c r="G912" i="19" s="1"/>
  <c r="B912" i="19"/>
  <c r="H912" i="19" s="1"/>
  <c r="C912" i="19"/>
  <c r="I912" i="19" s="1"/>
  <c r="D912" i="19"/>
  <c r="J912" i="19" s="1"/>
  <c r="E912" i="19"/>
  <c r="K912" i="19" s="1"/>
  <c r="A913" i="19"/>
  <c r="G913" i="19" s="1"/>
  <c r="B913" i="19"/>
  <c r="H913" i="19" s="1"/>
  <c r="C913" i="19"/>
  <c r="I913" i="19" s="1"/>
  <c r="D913" i="19"/>
  <c r="J913" i="19" s="1"/>
  <c r="E913" i="19"/>
  <c r="K913" i="19" s="1"/>
  <c r="A914" i="19"/>
  <c r="G914" i="19" s="1"/>
  <c r="B914" i="19"/>
  <c r="H914" i="19" s="1"/>
  <c r="C914" i="19"/>
  <c r="I914" i="19" s="1"/>
  <c r="D914" i="19"/>
  <c r="J914" i="19" s="1"/>
  <c r="E914" i="19"/>
  <c r="K914" i="19" s="1"/>
  <c r="A915" i="19"/>
  <c r="G915" i="19" s="1"/>
  <c r="B915" i="19"/>
  <c r="H915" i="19" s="1"/>
  <c r="C915" i="19"/>
  <c r="I915" i="19" s="1"/>
  <c r="D915" i="19"/>
  <c r="J915" i="19" s="1"/>
  <c r="E915" i="19"/>
  <c r="K915" i="19" s="1"/>
  <c r="A916" i="19"/>
  <c r="G916" i="19" s="1"/>
  <c r="B916" i="19"/>
  <c r="H916" i="19" s="1"/>
  <c r="C916" i="19"/>
  <c r="I916" i="19" s="1"/>
  <c r="D916" i="19"/>
  <c r="J916" i="19" s="1"/>
  <c r="E916" i="19"/>
  <c r="K916" i="19" s="1"/>
  <c r="A917" i="19"/>
  <c r="G917" i="19" s="1"/>
  <c r="B917" i="19"/>
  <c r="H917" i="19" s="1"/>
  <c r="C917" i="19"/>
  <c r="I917" i="19" s="1"/>
  <c r="D917" i="19"/>
  <c r="J917" i="19" s="1"/>
  <c r="E917" i="19"/>
  <c r="K917" i="19" s="1"/>
  <c r="A918" i="19"/>
  <c r="G918" i="19" s="1"/>
  <c r="B918" i="19"/>
  <c r="H918" i="19" s="1"/>
  <c r="C918" i="19"/>
  <c r="I918" i="19" s="1"/>
  <c r="D918" i="19"/>
  <c r="J918" i="19" s="1"/>
  <c r="E918" i="19"/>
  <c r="K918" i="19" s="1"/>
  <c r="A919" i="19"/>
  <c r="G919" i="19" s="1"/>
  <c r="B919" i="19"/>
  <c r="H919" i="19" s="1"/>
  <c r="C919" i="19"/>
  <c r="I919" i="19" s="1"/>
  <c r="D919" i="19"/>
  <c r="J919" i="19" s="1"/>
  <c r="E919" i="19"/>
  <c r="K919" i="19" s="1"/>
  <c r="A920" i="19"/>
  <c r="G920" i="19" s="1"/>
  <c r="B920" i="19"/>
  <c r="H920" i="19" s="1"/>
  <c r="C920" i="19"/>
  <c r="I920" i="19" s="1"/>
  <c r="D920" i="19"/>
  <c r="J920" i="19" s="1"/>
  <c r="E920" i="19"/>
  <c r="K920" i="19" s="1"/>
  <c r="A921" i="19"/>
  <c r="G921" i="19" s="1"/>
  <c r="B921" i="19"/>
  <c r="H921" i="19" s="1"/>
  <c r="C921" i="19"/>
  <c r="I921" i="19" s="1"/>
  <c r="D921" i="19"/>
  <c r="J921" i="19" s="1"/>
  <c r="E921" i="19"/>
  <c r="K921" i="19" s="1"/>
  <c r="A922" i="19"/>
  <c r="G922" i="19" s="1"/>
  <c r="B922" i="19"/>
  <c r="H922" i="19" s="1"/>
  <c r="C922" i="19"/>
  <c r="I922" i="19" s="1"/>
  <c r="D922" i="19"/>
  <c r="J922" i="19" s="1"/>
  <c r="E922" i="19"/>
  <c r="K922" i="19" s="1"/>
  <c r="A923" i="19"/>
  <c r="G923" i="19" s="1"/>
  <c r="B923" i="19"/>
  <c r="H923" i="19" s="1"/>
  <c r="C923" i="19"/>
  <c r="I923" i="19" s="1"/>
  <c r="D923" i="19"/>
  <c r="J923" i="19" s="1"/>
  <c r="E923" i="19"/>
  <c r="K923" i="19" s="1"/>
  <c r="A924" i="19"/>
  <c r="G924" i="19" s="1"/>
  <c r="B924" i="19"/>
  <c r="H924" i="19" s="1"/>
  <c r="C924" i="19"/>
  <c r="I924" i="19" s="1"/>
  <c r="D924" i="19"/>
  <c r="J924" i="19" s="1"/>
  <c r="E924" i="19"/>
  <c r="K924" i="19" s="1"/>
  <c r="A925" i="19"/>
  <c r="G925" i="19" s="1"/>
  <c r="B925" i="19"/>
  <c r="H925" i="19" s="1"/>
  <c r="C925" i="19"/>
  <c r="I925" i="19" s="1"/>
  <c r="D925" i="19"/>
  <c r="J925" i="19" s="1"/>
  <c r="E925" i="19"/>
  <c r="K925" i="19" s="1"/>
  <c r="A926" i="19"/>
  <c r="G926" i="19" s="1"/>
  <c r="B926" i="19"/>
  <c r="H926" i="19" s="1"/>
  <c r="C926" i="19"/>
  <c r="I926" i="19" s="1"/>
  <c r="D926" i="19"/>
  <c r="J926" i="19" s="1"/>
  <c r="E926" i="19"/>
  <c r="K926" i="19" s="1"/>
  <c r="A927" i="19"/>
  <c r="G927" i="19" s="1"/>
  <c r="B927" i="19"/>
  <c r="H927" i="19" s="1"/>
  <c r="C927" i="19"/>
  <c r="I927" i="19" s="1"/>
  <c r="D927" i="19"/>
  <c r="J927" i="19" s="1"/>
  <c r="E927" i="19"/>
  <c r="K927" i="19" s="1"/>
  <c r="A928" i="19"/>
  <c r="G928" i="19" s="1"/>
  <c r="B928" i="19"/>
  <c r="H928" i="19" s="1"/>
  <c r="C928" i="19"/>
  <c r="I928" i="19" s="1"/>
  <c r="D928" i="19"/>
  <c r="J928" i="19" s="1"/>
  <c r="E928" i="19"/>
  <c r="K928" i="19" s="1"/>
  <c r="A929" i="19"/>
  <c r="G929" i="19" s="1"/>
  <c r="B929" i="19"/>
  <c r="H929" i="19" s="1"/>
  <c r="C929" i="19"/>
  <c r="I929" i="19" s="1"/>
  <c r="D929" i="19"/>
  <c r="J929" i="19" s="1"/>
  <c r="E929" i="19"/>
  <c r="K929" i="19" s="1"/>
  <c r="A930" i="19"/>
  <c r="G930" i="19" s="1"/>
  <c r="B930" i="19"/>
  <c r="H930" i="19" s="1"/>
  <c r="C930" i="19"/>
  <c r="I930" i="19" s="1"/>
  <c r="D930" i="19"/>
  <c r="J930" i="19" s="1"/>
  <c r="E930" i="19"/>
  <c r="K930" i="19" s="1"/>
  <c r="A931" i="19"/>
  <c r="G931" i="19" s="1"/>
  <c r="B931" i="19"/>
  <c r="H931" i="19" s="1"/>
  <c r="C931" i="19"/>
  <c r="I931" i="19" s="1"/>
  <c r="D931" i="19"/>
  <c r="J931" i="19" s="1"/>
  <c r="E931" i="19"/>
  <c r="K931" i="19" s="1"/>
  <c r="A932" i="19"/>
  <c r="G932" i="19" s="1"/>
  <c r="B932" i="19"/>
  <c r="H932" i="19" s="1"/>
  <c r="C932" i="19"/>
  <c r="I932" i="19" s="1"/>
  <c r="D932" i="19"/>
  <c r="J932" i="19" s="1"/>
  <c r="E932" i="19"/>
  <c r="K932" i="19" s="1"/>
  <c r="A933" i="19"/>
  <c r="G933" i="19" s="1"/>
  <c r="B933" i="19"/>
  <c r="H933" i="19" s="1"/>
  <c r="C933" i="19"/>
  <c r="I933" i="19" s="1"/>
  <c r="D933" i="19"/>
  <c r="J933" i="19" s="1"/>
  <c r="E933" i="19"/>
  <c r="K933" i="19" s="1"/>
  <c r="A934" i="19"/>
  <c r="G934" i="19" s="1"/>
  <c r="B934" i="19"/>
  <c r="H934" i="19" s="1"/>
  <c r="C934" i="19"/>
  <c r="I934" i="19" s="1"/>
  <c r="D934" i="19"/>
  <c r="J934" i="19" s="1"/>
  <c r="E934" i="19"/>
  <c r="K934" i="19" s="1"/>
  <c r="A935" i="19"/>
  <c r="G935" i="19" s="1"/>
  <c r="B935" i="19"/>
  <c r="H935" i="19" s="1"/>
  <c r="C935" i="19"/>
  <c r="I935" i="19" s="1"/>
  <c r="D935" i="19"/>
  <c r="J935" i="19" s="1"/>
  <c r="E935" i="19"/>
  <c r="K935" i="19" s="1"/>
  <c r="A936" i="19"/>
  <c r="G936" i="19" s="1"/>
  <c r="B936" i="19"/>
  <c r="H936" i="19" s="1"/>
  <c r="C936" i="19"/>
  <c r="I936" i="19" s="1"/>
  <c r="D936" i="19"/>
  <c r="J936" i="19" s="1"/>
  <c r="E936" i="19"/>
  <c r="K936" i="19" s="1"/>
  <c r="A937" i="19"/>
  <c r="G937" i="19" s="1"/>
  <c r="B937" i="19"/>
  <c r="H937" i="19" s="1"/>
  <c r="C937" i="19"/>
  <c r="I937" i="19" s="1"/>
  <c r="D937" i="19"/>
  <c r="J937" i="19" s="1"/>
  <c r="E937" i="19"/>
  <c r="K937" i="19" s="1"/>
  <c r="A938" i="19"/>
  <c r="G938" i="19" s="1"/>
  <c r="B938" i="19"/>
  <c r="H938" i="19" s="1"/>
  <c r="C938" i="19"/>
  <c r="I938" i="19" s="1"/>
  <c r="D938" i="19"/>
  <c r="J938" i="19" s="1"/>
  <c r="E938" i="19"/>
  <c r="K938" i="19" s="1"/>
  <c r="A939" i="19"/>
  <c r="G939" i="19" s="1"/>
  <c r="B939" i="19"/>
  <c r="H939" i="19" s="1"/>
  <c r="C939" i="19"/>
  <c r="I939" i="19" s="1"/>
  <c r="D939" i="19"/>
  <c r="J939" i="19" s="1"/>
  <c r="E939" i="19"/>
  <c r="K939" i="19" s="1"/>
  <c r="A940" i="19"/>
  <c r="G940" i="19" s="1"/>
  <c r="B940" i="19"/>
  <c r="H940" i="19" s="1"/>
  <c r="C940" i="19"/>
  <c r="I940" i="19" s="1"/>
  <c r="D940" i="19"/>
  <c r="J940" i="19" s="1"/>
  <c r="E940" i="19"/>
  <c r="K940" i="19" s="1"/>
  <c r="A941" i="19"/>
  <c r="G941" i="19" s="1"/>
  <c r="B941" i="19"/>
  <c r="H941" i="19" s="1"/>
  <c r="C941" i="19"/>
  <c r="I941" i="19" s="1"/>
  <c r="D941" i="19"/>
  <c r="J941" i="19" s="1"/>
  <c r="E941" i="19"/>
  <c r="K941" i="19" s="1"/>
  <c r="A942" i="19"/>
  <c r="G942" i="19" s="1"/>
  <c r="B942" i="19"/>
  <c r="H942" i="19" s="1"/>
  <c r="C942" i="19"/>
  <c r="I942" i="19" s="1"/>
  <c r="D942" i="19"/>
  <c r="J942" i="19" s="1"/>
  <c r="E942" i="19"/>
  <c r="K942" i="19" s="1"/>
  <c r="A943" i="19"/>
  <c r="G943" i="19" s="1"/>
  <c r="B943" i="19"/>
  <c r="H943" i="19" s="1"/>
  <c r="C943" i="19"/>
  <c r="I943" i="19" s="1"/>
  <c r="D943" i="19"/>
  <c r="J943" i="19" s="1"/>
  <c r="E943" i="19"/>
  <c r="K943" i="19" s="1"/>
  <c r="A944" i="19"/>
  <c r="G944" i="19" s="1"/>
  <c r="B944" i="19"/>
  <c r="H944" i="19" s="1"/>
  <c r="C944" i="19"/>
  <c r="I944" i="19" s="1"/>
  <c r="D944" i="19"/>
  <c r="J944" i="19" s="1"/>
  <c r="E944" i="19"/>
  <c r="K944" i="19" s="1"/>
  <c r="A945" i="19"/>
  <c r="G945" i="19" s="1"/>
  <c r="B945" i="19"/>
  <c r="H945" i="19" s="1"/>
  <c r="C945" i="19"/>
  <c r="I945" i="19" s="1"/>
  <c r="D945" i="19"/>
  <c r="J945" i="19" s="1"/>
  <c r="E945" i="19"/>
  <c r="K945" i="19" s="1"/>
  <c r="A946" i="19"/>
  <c r="G946" i="19" s="1"/>
  <c r="B946" i="19"/>
  <c r="H946" i="19" s="1"/>
  <c r="C946" i="19"/>
  <c r="I946" i="19" s="1"/>
  <c r="D946" i="19"/>
  <c r="J946" i="19" s="1"/>
  <c r="E946" i="19"/>
  <c r="K946" i="19" s="1"/>
  <c r="A947" i="19"/>
  <c r="G947" i="19" s="1"/>
  <c r="B947" i="19"/>
  <c r="H947" i="19" s="1"/>
  <c r="C947" i="19"/>
  <c r="I947" i="19" s="1"/>
  <c r="D947" i="19"/>
  <c r="J947" i="19" s="1"/>
  <c r="E947" i="19"/>
  <c r="K947" i="19" s="1"/>
  <c r="A948" i="19"/>
  <c r="G948" i="19" s="1"/>
  <c r="B948" i="19"/>
  <c r="H948" i="19" s="1"/>
  <c r="C948" i="19"/>
  <c r="I948" i="19" s="1"/>
  <c r="D948" i="19"/>
  <c r="J948" i="19" s="1"/>
  <c r="E948" i="19"/>
  <c r="K948" i="19" s="1"/>
  <c r="A949" i="19"/>
  <c r="G949" i="19" s="1"/>
  <c r="B949" i="19"/>
  <c r="H949" i="19" s="1"/>
  <c r="C949" i="19"/>
  <c r="I949" i="19" s="1"/>
  <c r="D949" i="19"/>
  <c r="J949" i="19" s="1"/>
  <c r="E949" i="19"/>
  <c r="K949" i="19" s="1"/>
  <c r="A950" i="19"/>
  <c r="G950" i="19" s="1"/>
  <c r="B950" i="19"/>
  <c r="H950" i="19" s="1"/>
  <c r="C950" i="19"/>
  <c r="I950" i="19" s="1"/>
  <c r="D950" i="19"/>
  <c r="J950" i="19" s="1"/>
  <c r="E950" i="19"/>
  <c r="K950" i="19" s="1"/>
  <c r="A951" i="19"/>
  <c r="G951" i="19" s="1"/>
  <c r="B951" i="19"/>
  <c r="H951" i="19" s="1"/>
  <c r="C951" i="19"/>
  <c r="I951" i="19" s="1"/>
  <c r="D951" i="19"/>
  <c r="J951" i="19" s="1"/>
  <c r="E951" i="19"/>
  <c r="K951" i="19" s="1"/>
  <c r="A952" i="19"/>
  <c r="G952" i="19" s="1"/>
  <c r="B952" i="19"/>
  <c r="H952" i="19" s="1"/>
  <c r="C952" i="19"/>
  <c r="I952" i="19" s="1"/>
  <c r="D952" i="19"/>
  <c r="J952" i="19" s="1"/>
  <c r="E952" i="19"/>
  <c r="K952" i="19" s="1"/>
  <c r="A953" i="19"/>
  <c r="G953" i="19" s="1"/>
  <c r="B953" i="19"/>
  <c r="H953" i="19" s="1"/>
  <c r="C953" i="19"/>
  <c r="I953" i="19" s="1"/>
  <c r="D953" i="19"/>
  <c r="J953" i="19" s="1"/>
  <c r="E953" i="19"/>
  <c r="K953" i="19" s="1"/>
  <c r="A954" i="19"/>
  <c r="G954" i="19" s="1"/>
  <c r="B954" i="19"/>
  <c r="H954" i="19" s="1"/>
  <c r="C954" i="19"/>
  <c r="I954" i="19" s="1"/>
  <c r="D954" i="19"/>
  <c r="J954" i="19" s="1"/>
  <c r="E954" i="19"/>
  <c r="K954" i="19" s="1"/>
  <c r="A955" i="19"/>
  <c r="G955" i="19" s="1"/>
  <c r="B955" i="19"/>
  <c r="H955" i="19" s="1"/>
  <c r="C955" i="19"/>
  <c r="I955" i="19" s="1"/>
  <c r="D955" i="19"/>
  <c r="J955" i="19" s="1"/>
  <c r="E955" i="19"/>
  <c r="K955" i="19" s="1"/>
  <c r="A956" i="19"/>
  <c r="G956" i="19" s="1"/>
  <c r="B956" i="19"/>
  <c r="H956" i="19" s="1"/>
  <c r="C956" i="19"/>
  <c r="I956" i="19" s="1"/>
  <c r="D956" i="19"/>
  <c r="J956" i="19" s="1"/>
  <c r="E956" i="19"/>
  <c r="K956" i="19" s="1"/>
  <c r="A957" i="19"/>
  <c r="G957" i="19" s="1"/>
  <c r="B957" i="19"/>
  <c r="H957" i="19" s="1"/>
  <c r="C957" i="19"/>
  <c r="I957" i="19" s="1"/>
  <c r="D957" i="19"/>
  <c r="J957" i="19" s="1"/>
  <c r="E957" i="19"/>
  <c r="K957" i="19" s="1"/>
  <c r="A958" i="19"/>
  <c r="G958" i="19" s="1"/>
  <c r="B958" i="19"/>
  <c r="H958" i="19" s="1"/>
  <c r="C958" i="19"/>
  <c r="I958" i="19" s="1"/>
  <c r="D958" i="19"/>
  <c r="J958" i="19" s="1"/>
  <c r="E958" i="19"/>
  <c r="K958" i="19" s="1"/>
  <c r="A959" i="19"/>
  <c r="G959" i="19" s="1"/>
  <c r="B959" i="19"/>
  <c r="H959" i="19" s="1"/>
  <c r="C959" i="19"/>
  <c r="I959" i="19" s="1"/>
  <c r="D959" i="19"/>
  <c r="J959" i="19" s="1"/>
  <c r="E959" i="19"/>
  <c r="K959" i="19" s="1"/>
  <c r="A960" i="19"/>
  <c r="G960" i="19" s="1"/>
  <c r="B960" i="19"/>
  <c r="H960" i="19" s="1"/>
  <c r="C960" i="19"/>
  <c r="I960" i="19" s="1"/>
  <c r="D960" i="19"/>
  <c r="J960" i="19" s="1"/>
  <c r="E960" i="19"/>
  <c r="K960" i="19" s="1"/>
  <c r="A961" i="19"/>
  <c r="G961" i="19" s="1"/>
  <c r="B961" i="19"/>
  <c r="H961" i="19" s="1"/>
  <c r="C961" i="19"/>
  <c r="I961" i="19" s="1"/>
  <c r="D961" i="19"/>
  <c r="J961" i="19" s="1"/>
  <c r="E961" i="19"/>
  <c r="K961" i="19" s="1"/>
  <c r="A962" i="19"/>
  <c r="G962" i="19" s="1"/>
  <c r="B962" i="19"/>
  <c r="H962" i="19" s="1"/>
  <c r="C962" i="19"/>
  <c r="I962" i="19" s="1"/>
  <c r="D962" i="19"/>
  <c r="J962" i="19" s="1"/>
  <c r="E962" i="19"/>
  <c r="K962" i="19" s="1"/>
  <c r="A963" i="19"/>
  <c r="G963" i="19" s="1"/>
  <c r="B963" i="19"/>
  <c r="H963" i="19" s="1"/>
  <c r="C963" i="19"/>
  <c r="I963" i="19" s="1"/>
  <c r="D963" i="19"/>
  <c r="J963" i="19" s="1"/>
  <c r="E963" i="19"/>
  <c r="K963" i="19" s="1"/>
  <c r="A964" i="19"/>
  <c r="G964" i="19" s="1"/>
  <c r="B964" i="19"/>
  <c r="H964" i="19" s="1"/>
  <c r="C964" i="19"/>
  <c r="I964" i="19" s="1"/>
  <c r="D964" i="19"/>
  <c r="J964" i="19" s="1"/>
  <c r="E964" i="19"/>
  <c r="K964" i="19" s="1"/>
  <c r="A965" i="19"/>
  <c r="G965" i="19" s="1"/>
  <c r="B965" i="19"/>
  <c r="H965" i="19" s="1"/>
  <c r="C965" i="19"/>
  <c r="I965" i="19" s="1"/>
  <c r="D965" i="19"/>
  <c r="J965" i="19" s="1"/>
  <c r="E965" i="19"/>
  <c r="K965" i="19" s="1"/>
  <c r="A966" i="19"/>
  <c r="G966" i="19" s="1"/>
  <c r="B966" i="19"/>
  <c r="H966" i="19" s="1"/>
  <c r="C966" i="19"/>
  <c r="I966" i="19" s="1"/>
  <c r="D966" i="19"/>
  <c r="J966" i="19" s="1"/>
  <c r="E966" i="19"/>
  <c r="K966" i="19" s="1"/>
  <c r="A967" i="19"/>
  <c r="G967" i="19" s="1"/>
  <c r="B967" i="19"/>
  <c r="H967" i="19" s="1"/>
  <c r="C967" i="19"/>
  <c r="I967" i="19" s="1"/>
  <c r="D967" i="19"/>
  <c r="J967" i="19" s="1"/>
  <c r="E967" i="19"/>
  <c r="K967" i="19" s="1"/>
  <c r="A968" i="19"/>
  <c r="G968" i="19" s="1"/>
  <c r="B968" i="19"/>
  <c r="H968" i="19" s="1"/>
  <c r="C968" i="19"/>
  <c r="I968" i="19" s="1"/>
  <c r="D968" i="19"/>
  <c r="J968" i="19" s="1"/>
  <c r="E968" i="19"/>
  <c r="K968" i="19" s="1"/>
  <c r="A969" i="19"/>
  <c r="G969" i="19" s="1"/>
  <c r="B969" i="19"/>
  <c r="H969" i="19" s="1"/>
  <c r="C969" i="19"/>
  <c r="I969" i="19" s="1"/>
  <c r="D969" i="19"/>
  <c r="J969" i="19" s="1"/>
  <c r="E969" i="19"/>
  <c r="K969" i="19" s="1"/>
  <c r="A970" i="19"/>
  <c r="G970" i="19" s="1"/>
  <c r="B970" i="19"/>
  <c r="H970" i="19" s="1"/>
  <c r="C970" i="19"/>
  <c r="I970" i="19" s="1"/>
  <c r="D970" i="19"/>
  <c r="J970" i="19" s="1"/>
  <c r="E970" i="19"/>
  <c r="K970" i="19" s="1"/>
  <c r="A971" i="19"/>
  <c r="G971" i="19" s="1"/>
  <c r="B971" i="19"/>
  <c r="H971" i="19" s="1"/>
  <c r="C971" i="19"/>
  <c r="I971" i="19" s="1"/>
  <c r="D971" i="19"/>
  <c r="J971" i="19" s="1"/>
  <c r="E971" i="19"/>
  <c r="K971" i="19" s="1"/>
  <c r="A972" i="19"/>
  <c r="G972" i="19" s="1"/>
  <c r="B972" i="19"/>
  <c r="H972" i="19" s="1"/>
  <c r="C972" i="19"/>
  <c r="I972" i="19" s="1"/>
  <c r="D972" i="19"/>
  <c r="J972" i="19" s="1"/>
  <c r="E972" i="19"/>
  <c r="K972" i="19" s="1"/>
  <c r="A973" i="19"/>
  <c r="G973" i="19" s="1"/>
  <c r="B973" i="19"/>
  <c r="H973" i="19" s="1"/>
  <c r="C973" i="19"/>
  <c r="I973" i="19" s="1"/>
  <c r="D973" i="19"/>
  <c r="J973" i="19" s="1"/>
  <c r="E973" i="19"/>
  <c r="K973" i="19" s="1"/>
  <c r="A974" i="19"/>
  <c r="G974" i="19" s="1"/>
  <c r="B974" i="19"/>
  <c r="H974" i="19" s="1"/>
  <c r="C974" i="19"/>
  <c r="I974" i="19" s="1"/>
  <c r="D974" i="19"/>
  <c r="J974" i="19" s="1"/>
  <c r="E974" i="19"/>
  <c r="K974" i="19" s="1"/>
  <c r="A975" i="19"/>
  <c r="G975" i="19" s="1"/>
  <c r="B975" i="19"/>
  <c r="H975" i="19" s="1"/>
  <c r="C975" i="19"/>
  <c r="I975" i="19" s="1"/>
  <c r="D975" i="19"/>
  <c r="J975" i="19" s="1"/>
  <c r="E975" i="19"/>
  <c r="K975" i="19" s="1"/>
  <c r="A976" i="19"/>
  <c r="G976" i="19" s="1"/>
  <c r="B976" i="19"/>
  <c r="H976" i="19" s="1"/>
  <c r="C976" i="19"/>
  <c r="I976" i="19" s="1"/>
  <c r="D976" i="19"/>
  <c r="J976" i="19" s="1"/>
  <c r="E976" i="19"/>
  <c r="K976" i="19" s="1"/>
  <c r="A977" i="19"/>
  <c r="G977" i="19" s="1"/>
  <c r="B977" i="19"/>
  <c r="H977" i="19" s="1"/>
  <c r="C977" i="19"/>
  <c r="I977" i="19" s="1"/>
  <c r="D977" i="19"/>
  <c r="J977" i="19" s="1"/>
  <c r="E977" i="19"/>
  <c r="K977" i="19" s="1"/>
  <c r="A978" i="19"/>
  <c r="G978" i="19" s="1"/>
  <c r="B978" i="19"/>
  <c r="H978" i="19" s="1"/>
  <c r="C978" i="19"/>
  <c r="I978" i="19" s="1"/>
  <c r="D978" i="19"/>
  <c r="J978" i="19" s="1"/>
  <c r="E978" i="19"/>
  <c r="K978" i="19" s="1"/>
  <c r="A979" i="19"/>
  <c r="G979" i="19" s="1"/>
  <c r="B979" i="19"/>
  <c r="H979" i="19" s="1"/>
  <c r="C979" i="19"/>
  <c r="I979" i="19" s="1"/>
  <c r="D979" i="19"/>
  <c r="J979" i="19" s="1"/>
  <c r="E979" i="19"/>
  <c r="K979" i="19" s="1"/>
  <c r="A980" i="19"/>
  <c r="G980" i="19" s="1"/>
  <c r="B980" i="19"/>
  <c r="H980" i="19" s="1"/>
  <c r="C980" i="19"/>
  <c r="I980" i="19" s="1"/>
  <c r="D980" i="19"/>
  <c r="J980" i="19" s="1"/>
  <c r="E980" i="19"/>
  <c r="K980" i="19" s="1"/>
  <c r="A981" i="19"/>
  <c r="G981" i="19" s="1"/>
  <c r="B981" i="19"/>
  <c r="H981" i="19" s="1"/>
  <c r="C981" i="19"/>
  <c r="I981" i="19" s="1"/>
  <c r="D981" i="19"/>
  <c r="J981" i="19" s="1"/>
  <c r="E981" i="19"/>
  <c r="K981" i="19" s="1"/>
  <c r="A982" i="19"/>
  <c r="G982" i="19" s="1"/>
  <c r="B982" i="19"/>
  <c r="H982" i="19" s="1"/>
  <c r="C982" i="19"/>
  <c r="I982" i="19" s="1"/>
  <c r="D982" i="19"/>
  <c r="J982" i="19" s="1"/>
  <c r="E982" i="19"/>
  <c r="K982" i="19" s="1"/>
  <c r="A983" i="19"/>
  <c r="G983" i="19" s="1"/>
  <c r="B983" i="19"/>
  <c r="H983" i="19" s="1"/>
  <c r="C983" i="19"/>
  <c r="I983" i="19" s="1"/>
  <c r="D983" i="19"/>
  <c r="J983" i="19" s="1"/>
  <c r="E983" i="19"/>
  <c r="K983" i="19" s="1"/>
  <c r="A984" i="19"/>
  <c r="G984" i="19" s="1"/>
  <c r="B984" i="19"/>
  <c r="H984" i="19" s="1"/>
  <c r="C984" i="19"/>
  <c r="I984" i="19" s="1"/>
  <c r="D984" i="19"/>
  <c r="J984" i="19" s="1"/>
  <c r="E984" i="19"/>
  <c r="K984" i="19" s="1"/>
  <c r="A985" i="19"/>
  <c r="G985" i="19" s="1"/>
  <c r="B985" i="19"/>
  <c r="H985" i="19" s="1"/>
  <c r="C985" i="19"/>
  <c r="I985" i="19" s="1"/>
  <c r="D985" i="19"/>
  <c r="J985" i="19" s="1"/>
  <c r="E985" i="19"/>
  <c r="K985" i="19" s="1"/>
  <c r="A986" i="19"/>
  <c r="G986" i="19" s="1"/>
  <c r="B986" i="19"/>
  <c r="H986" i="19" s="1"/>
  <c r="C986" i="19"/>
  <c r="I986" i="19" s="1"/>
  <c r="D986" i="19"/>
  <c r="J986" i="19" s="1"/>
  <c r="E986" i="19"/>
  <c r="K986" i="19" s="1"/>
  <c r="A987" i="19"/>
  <c r="G987" i="19" s="1"/>
  <c r="B987" i="19"/>
  <c r="H987" i="19" s="1"/>
  <c r="C987" i="19"/>
  <c r="I987" i="19" s="1"/>
  <c r="D987" i="19"/>
  <c r="J987" i="19" s="1"/>
  <c r="E987" i="19"/>
  <c r="K987" i="19" s="1"/>
  <c r="A988" i="19"/>
  <c r="G988" i="19" s="1"/>
  <c r="B988" i="19"/>
  <c r="H988" i="19" s="1"/>
  <c r="C988" i="19"/>
  <c r="I988" i="19" s="1"/>
  <c r="D988" i="19"/>
  <c r="J988" i="19" s="1"/>
  <c r="E988" i="19"/>
  <c r="K988" i="19" s="1"/>
  <c r="A989" i="19"/>
  <c r="G989" i="19" s="1"/>
  <c r="B989" i="19"/>
  <c r="H989" i="19" s="1"/>
  <c r="C989" i="19"/>
  <c r="I989" i="19" s="1"/>
  <c r="D989" i="19"/>
  <c r="J989" i="19" s="1"/>
  <c r="E989" i="19"/>
  <c r="K989" i="19" s="1"/>
  <c r="A990" i="19"/>
  <c r="G990" i="19" s="1"/>
  <c r="B990" i="19"/>
  <c r="H990" i="19" s="1"/>
  <c r="C990" i="19"/>
  <c r="I990" i="19" s="1"/>
  <c r="D990" i="19"/>
  <c r="J990" i="19" s="1"/>
  <c r="E990" i="19"/>
  <c r="K990" i="19" s="1"/>
  <c r="A991" i="19"/>
  <c r="G991" i="19" s="1"/>
  <c r="B991" i="19"/>
  <c r="H991" i="19" s="1"/>
  <c r="C991" i="19"/>
  <c r="I991" i="19" s="1"/>
  <c r="D991" i="19"/>
  <c r="J991" i="19" s="1"/>
  <c r="E991" i="19"/>
  <c r="K991" i="19" s="1"/>
  <c r="A992" i="19"/>
  <c r="G992" i="19" s="1"/>
  <c r="B992" i="19"/>
  <c r="H992" i="19" s="1"/>
  <c r="C992" i="19"/>
  <c r="I992" i="19" s="1"/>
  <c r="D992" i="19"/>
  <c r="J992" i="19" s="1"/>
  <c r="E992" i="19"/>
  <c r="K992" i="19" s="1"/>
  <c r="A993" i="19"/>
  <c r="G993" i="19" s="1"/>
  <c r="B993" i="19"/>
  <c r="H993" i="19" s="1"/>
  <c r="C993" i="19"/>
  <c r="I993" i="19" s="1"/>
  <c r="D993" i="19"/>
  <c r="J993" i="19" s="1"/>
  <c r="E993" i="19"/>
  <c r="K993" i="19" s="1"/>
  <c r="A994" i="19"/>
  <c r="G994" i="19" s="1"/>
  <c r="B994" i="19"/>
  <c r="H994" i="19" s="1"/>
  <c r="C994" i="19"/>
  <c r="I994" i="19" s="1"/>
  <c r="D994" i="19"/>
  <c r="J994" i="19" s="1"/>
  <c r="E994" i="19"/>
  <c r="K994" i="19" s="1"/>
  <c r="A995" i="19"/>
  <c r="G995" i="19" s="1"/>
  <c r="B995" i="19"/>
  <c r="H995" i="19" s="1"/>
  <c r="C995" i="19"/>
  <c r="I995" i="19" s="1"/>
  <c r="D995" i="19"/>
  <c r="J995" i="19" s="1"/>
  <c r="E995" i="19"/>
  <c r="K995" i="19" s="1"/>
  <c r="A996" i="19"/>
  <c r="G996" i="19" s="1"/>
  <c r="B996" i="19"/>
  <c r="H996" i="19" s="1"/>
  <c r="C996" i="19"/>
  <c r="I996" i="19" s="1"/>
  <c r="D996" i="19"/>
  <c r="J996" i="19" s="1"/>
  <c r="E996" i="19"/>
  <c r="K996" i="19" s="1"/>
  <c r="A997" i="19"/>
  <c r="G997" i="19" s="1"/>
  <c r="B997" i="19"/>
  <c r="H997" i="19" s="1"/>
  <c r="C997" i="19"/>
  <c r="I997" i="19" s="1"/>
  <c r="D997" i="19"/>
  <c r="J997" i="19" s="1"/>
  <c r="E997" i="19"/>
  <c r="K997" i="19" s="1"/>
  <c r="A998" i="19"/>
  <c r="G998" i="19" s="1"/>
  <c r="B998" i="19"/>
  <c r="H998" i="19" s="1"/>
  <c r="C998" i="19"/>
  <c r="I998" i="19" s="1"/>
  <c r="D998" i="19"/>
  <c r="J998" i="19" s="1"/>
  <c r="E998" i="19"/>
  <c r="K998" i="19" s="1"/>
  <c r="A999" i="19"/>
  <c r="G999" i="19" s="1"/>
  <c r="B999" i="19"/>
  <c r="H999" i="19" s="1"/>
  <c r="C999" i="19"/>
  <c r="I999" i="19" s="1"/>
  <c r="D999" i="19"/>
  <c r="J999" i="19" s="1"/>
  <c r="E999" i="19"/>
  <c r="K999" i="19" s="1"/>
  <c r="A1000" i="19"/>
  <c r="G1000" i="19" s="1"/>
  <c r="B1000" i="19"/>
  <c r="H1000" i="19" s="1"/>
  <c r="C1000" i="19"/>
  <c r="I1000" i="19" s="1"/>
  <c r="D1000" i="19"/>
  <c r="J1000" i="19" s="1"/>
  <c r="E1000" i="19"/>
  <c r="K1000" i="19" s="1"/>
  <c r="A1001" i="19"/>
  <c r="G1001" i="19" s="1"/>
  <c r="B1001" i="19"/>
  <c r="H1001" i="19" s="1"/>
  <c r="C1001" i="19"/>
  <c r="I1001" i="19" s="1"/>
  <c r="D1001" i="19"/>
  <c r="J1001" i="19" s="1"/>
  <c r="E1001" i="19"/>
  <c r="K1001" i="19" s="1"/>
  <c r="A1002" i="19"/>
  <c r="G1002" i="19" s="1"/>
  <c r="B1002" i="19"/>
  <c r="H1002" i="19" s="1"/>
  <c r="C1002" i="19"/>
  <c r="I1002" i="19" s="1"/>
  <c r="D1002" i="19"/>
  <c r="J1002" i="19" s="1"/>
  <c r="E1002" i="19"/>
  <c r="K1002" i="19" s="1"/>
  <c r="A1003" i="19"/>
  <c r="G1003" i="19" s="1"/>
  <c r="B1003" i="19"/>
  <c r="H1003" i="19" s="1"/>
  <c r="C1003" i="19"/>
  <c r="I1003" i="19" s="1"/>
  <c r="D1003" i="19"/>
  <c r="J1003" i="19" s="1"/>
  <c r="E1003" i="19"/>
  <c r="K1003" i="19" s="1"/>
  <c r="A1004" i="19"/>
  <c r="G1004" i="19" s="1"/>
  <c r="B1004" i="19"/>
  <c r="H1004" i="19" s="1"/>
  <c r="C1004" i="19"/>
  <c r="I1004" i="19" s="1"/>
  <c r="D1004" i="19"/>
  <c r="J1004" i="19" s="1"/>
  <c r="E1004" i="19"/>
  <c r="K1004" i="19" s="1"/>
  <c r="A1005" i="19"/>
  <c r="G1005" i="19" s="1"/>
  <c r="B1005" i="19"/>
  <c r="H1005" i="19" s="1"/>
  <c r="C1005" i="19"/>
  <c r="I1005" i="19" s="1"/>
  <c r="D1005" i="19"/>
  <c r="J1005" i="19" s="1"/>
  <c r="E1005" i="19"/>
  <c r="K1005" i="19" s="1"/>
  <c r="A1006" i="19"/>
  <c r="G1006" i="19" s="1"/>
  <c r="B1006" i="19"/>
  <c r="H1006" i="19" s="1"/>
  <c r="C1006" i="19"/>
  <c r="I1006" i="19" s="1"/>
  <c r="D1006" i="19"/>
  <c r="J1006" i="19" s="1"/>
  <c r="E1006" i="19"/>
  <c r="K1006" i="19" s="1"/>
  <c r="A1007" i="19"/>
  <c r="G1007" i="19" s="1"/>
  <c r="B1007" i="19"/>
  <c r="H1007" i="19" s="1"/>
  <c r="C1007" i="19"/>
  <c r="I1007" i="19" s="1"/>
  <c r="D1007" i="19"/>
  <c r="J1007" i="19" s="1"/>
  <c r="E1007" i="19"/>
  <c r="K1007" i="19" s="1"/>
  <c r="A1008" i="19"/>
  <c r="G1008" i="19" s="1"/>
  <c r="B1008" i="19"/>
  <c r="H1008" i="19" s="1"/>
  <c r="C1008" i="19"/>
  <c r="I1008" i="19" s="1"/>
  <c r="D1008" i="19"/>
  <c r="J1008" i="19" s="1"/>
  <c r="E1008" i="19"/>
  <c r="K1008" i="19" s="1"/>
  <c r="A1009" i="19"/>
  <c r="G1009" i="19" s="1"/>
  <c r="B1009" i="19"/>
  <c r="H1009" i="19" s="1"/>
  <c r="C1009" i="19"/>
  <c r="I1009" i="19" s="1"/>
  <c r="D1009" i="19"/>
  <c r="J1009" i="19" s="1"/>
  <c r="E1009" i="19"/>
  <c r="K1009" i="19" s="1"/>
  <c r="A1010" i="19"/>
  <c r="G1010" i="19" s="1"/>
  <c r="B1010" i="19"/>
  <c r="H1010" i="19" s="1"/>
  <c r="C1010" i="19"/>
  <c r="I1010" i="19" s="1"/>
  <c r="D1010" i="19"/>
  <c r="J1010" i="19" s="1"/>
  <c r="E1010" i="19"/>
  <c r="K1010" i="19" s="1"/>
  <c r="A1011" i="19"/>
  <c r="G1011" i="19" s="1"/>
  <c r="B1011" i="19"/>
  <c r="H1011" i="19" s="1"/>
  <c r="C1011" i="19"/>
  <c r="I1011" i="19" s="1"/>
  <c r="D1011" i="19"/>
  <c r="J1011" i="19" s="1"/>
  <c r="E1011" i="19"/>
  <c r="K1011" i="19" s="1"/>
  <c r="A1012" i="19"/>
  <c r="G1012" i="19" s="1"/>
  <c r="B1012" i="19"/>
  <c r="H1012" i="19" s="1"/>
  <c r="C1012" i="19"/>
  <c r="I1012" i="19" s="1"/>
  <c r="D1012" i="19"/>
  <c r="J1012" i="19" s="1"/>
  <c r="E1012" i="19"/>
  <c r="K1012" i="19" s="1"/>
  <c r="A1013" i="19"/>
  <c r="G1013" i="19" s="1"/>
  <c r="B1013" i="19"/>
  <c r="H1013" i="19" s="1"/>
  <c r="C1013" i="19"/>
  <c r="I1013" i="19" s="1"/>
  <c r="D1013" i="19"/>
  <c r="J1013" i="19" s="1"/>
  <c r="E1013" i="19"/>
  <c r="K1013" i="19" s="1"/>
  <c r="A1014" i="19"/>
  <c r="G1014" i="19" s="1"/>
  <c r="B1014" i="19"/>
  <c r="H1014" i="19" s="1"/>
  <c r="C1014" i="19"/>
  <c r="I1014" i="19" s="1"/>
  <c r="D1014" i="19"/>
  <c r="J1014" i="19" s="1"/>
  <c r="E1014" i="19"/>
  <c r="K1014" i="19" s="1"/>
  <c r="A1015" i="19"/>
  <c r="G1015" i="19" s="1"/>
  <c r="B1015" i="19"/>
  <c r="H1015" i="19" s="1"/>
  <c r="C1015" i="19"/>
  <c r="I1015" i="19" s="1"/>
  <c r="D1015" i="19"/>
  <c r="J1015" i="19" s="1"/>
  <c r="E1015" i="19"/>
  <c r="K1015" i="19" s="1"/>
  <c r="A1016" i="19"/>
  <c r="G1016" i="19" s="1"/>
  <c r="B1016" i="19"/>
  <c r="H1016" i="19" s="1"/>
  <c r="C1016" i="19"/>
  <c r="I1016" i="19" s="1"/>
  <c r="D1016" i="19"/>
  <c r="J1016" i="19" s="1"/>
  <c r="E1016" i="19"/>
  <c r="K1016" i="19" s="1"/>
  <c r="A1017" i="19"/>
  <c r="G1017" i="19" s="1"/>
  <c r="B1017" i="19"/>
  <c r="H1017" i="19" s="1"/>
  <c r="C1017" i="19"/>
  <c r="I1017" i="19" s="1"/>
  <c r="D1017" i="19"/>
  <c r="J1017" i="19" s="1"/>
  <c r="E1017" i="19"/>
  <c r="K1017" i="19" s="1"/>
  <c r="A1018" i="19"/>
  <c r="G1018" i="19" s="1"/>
  <c r="B1018" i="19"/>
  <c r="H1018" i="19" s="1"/>
  <c r="C1018" i="19"/>
  <c r="I1018" i="19" s="1"/>
  <c r="D1018" i="19"/>
  <c r="J1018" i="19" s="1"/>
  <c r="E1018" i="19"/>
  <c r="K1018" i="19" s="1"/>
  <c r="A1019" i="19"/>
  <c r="G1019" i="19" s="1"/>
  <c r="B1019" i="19"/>
  <c r="H1019" i="19" s="1"/>
  <c r="C1019" i="19"/>
  <c r="I1019" i="19" s="1"/>
  <c r="D1019" i="19"/>
  <c r="J1019" i="19" s="1"/>
  <c r="E1019" i="19"/>
  <c r="K1019" i="19" s="1"/>
  <c r="A1020" i="19"/>
  <c r="G1020" i="19" s="1"/>
  <c r="B1020" i="19"/>
  <c r="H1020" i="19" s="1"/>
  <c r="C1020" i="19"/>
  <c r="I1020" i="19" s="1"/>
  <c r="D1020" i="19"/>
  <c r="J1020" i="19" s="1"/>
  <c r="E1020" i="19"/>
  <c r="K1020" i="19" s="1"/>
  <c r="A1021" i="19"/>
  <c r="G1021" i="19" s="1"/>
  <c r="B1021" i="19"/>
  <c r="H1021" i="19" s="1"/>
  <c r="C1021" i="19"/>
  <c r="I1021" i="19" s="1"/>
  <c r="D1021" i="19"/>
  <c r="J1021" i="19" s="1"/>
  <c r="E1021" i="19"/>
  <c r="K1021" i="19" s="1"/>
  <c r="A1022" i="19"/>
  <c r="G1022" i="19" s="1"/>
  <c r="B1022" i="19"/>
  <c r="H1022" i="19" s="1"/>
  <c r="C1022" i="19"/>
  <c r="I1022" i="19" s="1"/>
  <c r="D1022" i="19"/>
  <c r="J1022" i="19" s="1"/>
  <c r="E1022" i="19"/>
  <c r="K1022" i="19" s="1"/>
  <c r="A1023" i="19"/>
  <c r="G1023" i="19" s="1"/>
  <c r="B1023" i="19"/>
  <c r="H1023" i="19" s="1"/>
  <c r="C1023" i="19"/>
  <c r="I1023" i="19" s="1"/>
  <c r="D1023" i="19"/>
  <c r="J1023" i="19" s="1"/>
  <c r="E1023" i="19"/>
  <c r="K1023" i="19" s="1"/>
  <c r="A1024" i="19"/>
  <c r="G1024" i="19" s="1"/>
  <c r="B1024" i="19"/>
  <c r="H1024" i="19" s="1"/>
  <c r="C1024" i="19"/>
  <c r="I1024" i="19" s="1"/>
  <c r="D1024" i="19"/>
  <c r="J1024" i="19" s="1"/>
  <c r="E1024" i="19"/>
  <c r="K1024" i="19" s="1"/>
  <c r="A1025" i="19"/>
  <c r="G1025" i="19" s="1"/>
  <c r="B1025" i="19"/>
  <c r="H1025" i="19" s="1"/>
  <c r="C1025" i="19"/>
  <c r="I1025" i="19" s="1"/>
  <c r="D1025" i="19"/>
  <c r="J1025" i="19" s="1"/>
  <c r="E1025" i="19"/>
  <c r="K1025" i="19" s="1"/>
  <c r="A1026" i="19"/>
  <c r="G1026" i="19" s="1"/>
  <c r="B1026" i="19"/>
  <c r="H1026" i="19" s="1"/>
  <c r="C1026" i="19"/>
  <c r="I1026" i="19" s="1"/>
  <c r="D1026" i="19"/>
  <c r="J1026" i="19" s="1"/>
  <c r="E1026" i="19"/>
  <c r="K1026" i="19" s="1"/>
  <c r="A1027" i="19"/>
  <c r="G1027" i="19" s="1"/>
  <c r="B1027" i="19"/>
  <c r="H1027" i="19" s="1"/>
  <c r="C1027" i="19"/>
  <c r="I1027" i="19" s="1"/>
  <c r="D1027" i="19"/>
  <c r="J1027" i="19" s="1"/>
  <c r="E1027" i="19"/>
  <c r="K1027" i="19" s="1"/>
  <c r="A1028" i="19"/>
  <c r="G1028" i="19" s="1"/>
  <c r="B1028" i="19"/>
  <c r="H1028" i="19" s="1"/>
  <c r="C1028" i="19"/>
  <c r="I1028" i="19" s="1"/>
  <c r="D1028" i="19"/>
  <c r="J1028" i="19" s="1"/>
  <c r="E1028" i="19"/>
  <c r="K1028" i="19" s="1"/>
  <c r="A1029" i="19"/>
  <c r="G1029" i="19" s="1"/>
  <c r="B1029" i="19"/>
  <c r="H1029" i="19" s="1"/>
  <c r="C1029" i="19"/>
  <c r="I1029" i="19" s="1"/>
  <c r="D1029" i="19"/>
  <c r="J1029" i="19" s="1"/>
  <c r="E1029" i="19"/>
  <c r="K1029" i="19" s="1"/>
  <c r="A1030" i="19"/>
  <c r="G1030" i="19" s="1"/>
  <c r="B1030" i="19"/>
  <c r="H1030" i="19" s="1"/>
  <c r="C1030" i="19"/>
  <c r="I1030" i="19" s="1"/>
  <c r="D1030" i="19"/>
  <c r="J1030" i="19" s="1"/>
  <c r="E1030" i="19"/>
  <c r="K1030" i="19" s="1"/>
  <c r="A1031" i="19"/>
  <c r="G1031" i="19" s="1"/>
  <c r="B1031" i="19"/>
  <c r="H1031" i="19" s="1"/>
  <c r="C1031" i="19"/>
  <c r="I1031" i="19" s="1"/>
  <c r="D1031" i="19"/>
  <c r="J1031" i="19" s="1"/>
  <c r="E1031" i="19"/>
  <c r="K1031" i="19" s="1"/>
  <c r="A1032" i="19"/>
  <c r="G1032" i="19" s="1"/>
  <c r="B1032" i="19"/>
  <c r="H1032" i="19" s="1"/>
  <c r="C1032" i="19"/>
  <c r="I1032" i="19" s="1"/>
  <c r="D1032" i="19"/>
  <c r="J1032" i="19" s="1"/>
  <c r="E1032" i="19"/>
  <c r="K1032" i="19" s="1"/>
  <c r="A1033" i="19"/>
  <c r="G1033" i="19" s="1"/>
  <c r="B1033" i="19"/>
  <c r="H1033" i="19" s="1"/>
  <c r="C1033" i="19"/>
  <c r="I1033" i="19" s="1"/>
  <c r="D1033" i="19"/>
  <c r="J1033" i="19" s="1"/>
  <c r="E1033" i="19"/>
  <c r="K1033" i="19" s="1"/>
  <c r="A1034" i="19"/>
  <c r="G1034" i="19" s="1"/>
  <c r="B1034" i="19"/>
  <c r="H1034" i="19" s="1"/>
  <c r="C1034" i="19"/>
  <c r="I1034" i="19" s="1"/>
  <c r="D1034" i="19"/>
  <c r="J1034" i="19" s="1"/>
  <c r="E1034" i="19"/>
  <c r="K1034" i="19" s="1"/>
  <c r="A1035" i="19"/>
  <c r="G1035" i="19" s="1"/>
  <c r="B1035" i="19"/>
  <c r="H1035" i="19" s="1"/>
  <c r="C1035" i="19"/>
  <c r="I1035" i="19" s="1"/>
  <c r="D1035" i="19"/>
  <c r="J1035" i="19" s="1"/>
  <c r="E1035" i="19"/>
  <c r="K1035" i="19" s="1"/>
  <c r="A1036" i="19"/>
  <c r="G1036" i="19" s="1"/>
  <c r="B1036" i="19"/>
  <c r="H1036" i="19" s="1"/>
  <c r="C1036" i="19"/>
  <c r="I1036" i="19" s="1"/>
  <c r="D1036" i="19"/>
  <c r="J1036" i="19" s="1"/>
  <c r="E1036" i="19"/>
  <c r="K1036" i="19" s="1"/>
  <c r="A1037" i="19"/>
  <c r="G1037" i="19" s="1"/>
  <c r="B1037" i="19"/>
  <c r="H1037" i="19" s="1"/>
  <c r="C1037" i="19"/>
  <c r="I1037" i="19" s="1"/>
  <c r="D1037" i="19"/>
  <c r="J1037" i="19" s="1"/>
  <c r="E1037" i="19"/>
  <c r="K1037" i="19" s="1"/>
  <c r="A1038" i="19"/>
  <c r="G1038" i="19" s="1"/>
  <c r="B1038" i="19"/>
  <c r="H1038" i="19" s="1"/>
  <c r="C1038" i="19"/>
  <c r="I1038" i="19" s="1"/>
  <c r="D1038" i="19"/>
  <c r="J1038" i="19" s="1"/>
  <c r="E1038" i="19"/>
  <c r="K1038" i="19" s="1"/>
  <c r="A1039" i="19"/>
  <c r="G1039" i="19" s="1"/>
  <c r="B1039" i="19"/>
  <c r="H1039" i="19" s="1"/>
  <c r="C1039" i="19"/>
  <c r="I1039" i="19" s="1"/>
  <c r="D1039" i="19"/>
  <c r="J1039" i="19" s="1"/>
  <c r="E1039" i="19"/>
  <c r="K1039" i="19" s="1"/>
  <c r="A1040" i="19"/>
  <c r="G1040" i="19" s="1"/>
  <c r="B1040" i="19"/>
  <c r="H1040" i="19" s="1"/>
  <c r="C1040" i="19"/>
  <c r="I1040" i="19" s="1"/>
  <c r="D1040" i="19"/>
  <c r="J1040" i="19" s="1"/>
  <c r="E1040" i="19"/>
  <c r="K1040" i="19" s="1"/>
  <c r="A1041" i="19"/>
  <c r="G1041" i="19" s="1"/>
  <c r="B1041" i="19"/>
  <c r="H1041" i="19" s="1"/>
  <c r="C1041" i="19"/>
  <c r="I1041" i="19" s="1"/>
  <c r="D1041" i="19"/>
  <c r="J1041" i="19" s="1"/>
  <c r="E1041" i="19"/>
  <c r="K1041" i="19" s="1"/>
  <c r="A1042" i="19"/>
  <c r="G1042" i="19" s="1"/>
  <c r="B1042" i="19"/>
  <c r="H1042" i="19" s="1"/>
  <c r="C1042" i="19"/>
  <c r="I1042" i="19" s="1"/>
  <c r="D1042" i="19"/>
  <c r="J1042" i="19" s="1"/>
  <c r="E1042" i="19"/>
  <c r="K1042" i="19" s="1"/>
  <c r="A1043" i="19"/>
  <c r="G1043" i="19" s="1"/>
  <c r="B1043" i="19"/>
  <c r="H1043" i="19" s="1"/>
  <c r="C1043" i="19"/>
  <c r="I1043" i="19" s="1"/>
  <c r="D1043" i="19"/>
  <c r="J1043" i="19" s="1"/>
  <c r="E1043" i="19"/>
  <c r="K1043" i="19" s="1"/>
  <c r="A1044" i="19"/>
  <c r="G1044" i="19" s="1"/>
  <c r="B1044" i="19"/>
  <c r="H1044" i="19" s="1"/>
  <c r="C1044" i="19"/>
  <c r="I1044" i="19" s="1"/>
  <c r="D1044" i="19"/>
  <c r="J1044" i="19" s="1"/>
  <c r="E1044" i="19"/>
  <c r="K1044" i="19" s="1"/>
  <c r="A1045" i="19"/>
  <c r="G1045" i="19" s="1"/>
  <c r="B1045" i="19"/>
  <c r="H1045" i="19" s="1"/>
  <c r="C1045" i="19"/>
  <c r="I1045" i="19" s="1"/>
  <c r="D1045" i="19"/>
  <c r="J1045" i="19" s="1"/>
  <c r="E1045" i="19"/>
  <c r="K1045" i="19" s="1"/>
  <c r="A1046" i="19"/>
  <c r="G1046" i="19" s="1"/>
  <c r="B1046" i="19"/>
  <c r="H1046" i="19" s="1"/>
  <c r="C1046" i="19"/>
  <c r="I1046" i="19" s="1"/>
  <c r="D1046" i="19"/>
  <c r="J1046" i="19" s="1"/>
  <c r="E1046" i="19"/>
  <c r="K1046" i="19" s="1"/>
  <c r="A1047" i="19"/>
  <c r="G1047" i="19" s="1"/>
  <c r="B1047" i="19"/>
  <c r="H1047" i="19" s="1"/>
  <c r="C1047" i="19"/>
  <c r="I1047" i="19" s="1"/>
  <c r="D1047" i="19"/>
  <c r="J1047" i="19" s="1"/>
  <c r="E1047" i="19"/>
  <c r="K1047" i="19" s="1"/>
  <c r="A1048" i="19"/>
  <c r="G1048" i="19" s="1"/>
  <c r="B1048" i="19"/>
  <c r="H1048" i="19" s="1"/>
  <c r="C1048" i="19"/>
  <c r="I1048" i="19" s="1"/>
  <c r="D1048" i="19"/>
  <c r="J1048" i="19" s="1"/>
  <c r="E1048" i="19"/>
  <c r="K1048" i="19" s="1"/>
  <c r="A1049" i="19"/>
  <c r="G1049" i="19" s="1"/>
  <c r="B1049" i="19"/>
  <c r="H1049" i="19" s="1"/>
  <c r="C1049" i="19"/>
  <c r="I1049" i="19" s="1"/>
  <c r="D1049" i="19"/>
  <c r="J1049" i="19" s="1"/>
  <c r="E1049" i="19"/>
  <c r="K1049" i="19" s="1"/>
  <c r="A1050" i="19"/>
  <c r="G1050" i="19" s="1"/>
  <c r="B1050" i="19"/>
  <c r="H1050" i="19" s="1"/>
  <c r="C1050" i="19"/>
  <c r="I1050" i="19" s="1"/>
  <c r="D1050" i="19"/>
  <c r="J1050" i="19" s="1"/>
  <c r="E1050" i="19"/>
  <c r="K1050" i="19" s="1"/>
  <c r="A1051" i="19"/>
  <c r="G1051" i="19" s="1"/>
  <c r="B1051" i="19"/>
  <c r="H1051" i="19" s="1"/>
  <c r="C1051" i="19"/>
  <c r="I1051" i="19" s="1"/>
  <c r="D1051" i="19"/>
  <c r="J1051" i="19" s="1"/>
  <c r="E1051" i="19"/>
  <c r="K1051" i="19" s="1"/>
  <c r="A1052" i="19"/>
  <c r="G1052" i="19" s="1"/>
  <c r="B1052" i="19"/>
  <c r="H1052" i="19" s="1"/>
  <c r="C1052" i="19"/>
  <c r="I1052" i="19" s="1"/>
  <c r="D1052" i="19"/>
  <c r="J1052" i="19" s="1"/>
  <c r="E1052" i="19"/>
  <c r="K1052" i="19" s="1"/>
  <c r="A1053" i="19"/>
  <c r="G1053" i="19" s="1"/>
  <c r="B1053" i="19"/>
  <c r="H1053" i="19" s="1"/>
  <c r="C1053" i="19"/>
  <c r="I1053" i="19" s="1"/>
  <c r="D1053" i="19"/>
  <c r="J1053" i="19" s="1"/>
  <c r="E1053" i="19"/>
  <c r="K1053" i="19" s="1"/>
  <c r="A1054" i="19"/>
  <c r="G1054" i="19" s="1"/>
  <c r="B1054" i="19"/>
  <c r="H1054" i="19" s="1"/>
  <c r="C1054" i="19"/>
  <c r="I1054" i="19" s="1"/>
  <c r="D1054" i="19"/>
  <c r="J1054" i="19" s="1"/>
  <c r="E1054" i="19"/>
  <c r="K1054" i="19" s="1"/>
  <c r="A1055" i="19"/>
  <c r="G1055" i="19" s="1"/>
  <c r="B1055" i="19"/>
  <c r="H1055" i="19" s="1"/>
  <c r="C1055" i="19"/>
  <c r="I1055" i="19" s="1"/>
  <c r="D1055" i="19"/>
  <c r="J1055" i="19" s="1"/>
  <c r="E1055" i="19"/>
  <c r="K1055" i="19" s="1"/>
  <c r="A1056" i="19"/>
  <c r="G1056" i="19" s="1"/>
  <c r="B1056" i="19"/>
  <c r="H1056" i="19" s="1"/>
  <c r="C1056" i="19"/>
  <c r="I1056" i="19" s="1"/>
  <c r="D1056" i="19"/>
  <c r="J1056" i="19" s="1"/>
  <c r="E1056" i="19"/>
  <c r="K1056" i="19" s="1"/>
  <c r="A1057" i="19"/>
  <c r="G1057" i="19" s="1"/>
  <c r="B1057" i="19"/>
  <c r="H1057" i="19" s="1"/>
  <c r="C1057" i="19"/>
  <c r="I1057" i="19" s="1"/>
  <c r="D1057" i="19"/>
  <c r="J1057" i="19" s="1"/>
  <c r="E1057" i="19"/>
  <c r="K1057" i="19" s="1"/>
  <c r="A1058" i="19"/>
  <c r="G1058" i="19" s="1"/>
  <c r="B1058" i="19"/>
  <c r="H1058" i="19" s="1"/>
  <c r="C1058" i="19"/>
  <c r="I1058" i="19" s="1"/>
  <c r="D1058" i="19"/>
  <c r="J1058" i="19" s="1"/>
  <c r="E1058" i="19"/>
  <c r="K1058" i="19" s="1"/>
  <c r="A1059" i="19"/>
  <c r="G1059" i="19" s="1"/>
  <c r="B1059" i="19"/>
  <c r="H1059" i="19" s="1"/>
  <c r="C1059" i="19"/>
  <c r="I1059" i="19" s="1"/>
  <c r="D1059" i="19"/>
  <c r="J1059" i="19" s="1"/>
  <c r="E1059" i="19"/>
  <c r="K1059" i="19" s="1"/>
  <c r="A1060" i="19"/>
  <c r="G1060" i="19" s="1"/>
  <c r="B1060" i="19"/>
  <c r="H1060" i="19" s="1"/>
  <c r="C1060" i="19"/>
  <c r="I1060" i="19" s="1"/>
  <c r="D1060" i="19"/>
  <c r="J1060" i="19" s="1"/>
  <c r="E1060" i="19"/>
  <c r="K1060" i="19" s="1"/>
  <c r="A1061" i="19"/>
  <c r="G1061" i="19" s="1"/>
  <c r="B1061" i="19"/>
  <c r="H1061" i="19" s="1"/>
  <c r="C1061" i="19"/>
  <c r="I1061" i="19" s="1"/>
  <c r="D1061" i="19"/>
  <c r="J1061" i="19" s="1"/>
  <c r="E1061" i="19"/>
  <c r="K1061" i="19" s="1"/>
  <c r="A1062" i="19"/>
  <c r="G1062" i="19" s="1"/>
  <c r="B1062" i="19"/>
  <c r="H1062" i="19" s="1"/>
  <c r="C1062" i="19"/>
  <c r="I1062" i="19" s="1"/>
  <c r="D1062" i="19"/>
  <c r="J1062" i="19" s="1"/>
  <c r="E1062" i="19"/>
  <c r="K1062" i="19" s="1"/>
  <c r="A1063" i="19"/>
  <c r="G1063" i="19" s="1"/>
  <c r="B1063" i="19"/>
  <c r="H1063" i="19" s="1"/>
  <c r="C1063" i="19"/>
  <c r="I1063" i="19" s="1"/>
  <c r="D1063" i="19"/>
  <c r="J1063" i="19" s="1"/>
  <c r="E1063" i="19"/>
  <c r="K1063" i="19" s="1"/>
  <c r="A1064" i="19"/>
  <c r="G1064" i="19" s="1"/>
  <c r="B1064" i="19"/>
  <c r="H1064" i="19" s="1"/>
  <c r="C1064" i="19"/>
  <c r="I1064" i="19" s="1"/>
  <c r="D1064" i="19"/>
  <c r="J1064" i="19" s="1"/>
  <c r="E1064" i="19"/>
  <c r="K1064" i="19" s="1"/>
  <c r="A1065" i="19"/>
  <c r="G1065" i="19" s="1"/>
  <c r="B1065" i="19"/>
  <c r="H1065" i="19" s="1"/>
  <c r="C1065" i="19"/>
  <c r="I1065" i="19" s="1"/>
  <c r="D1065" i="19"/>
  <c r="J1065" i="19" s="1"/>
  <c r="E1065" i="19"/>
  <c r="K1065" i="19" s="1"/>
  <c r="A1066" i="19"/>
  <c r="G1066" i="19" s="1"/>
  <c r="B1066" i="19"/>
  <c r="H1066" i="19" s="1"/>
  <c r="C1066" i="19"/>
  <c r="I1066" i="19" s="1"/>
  <c r="D1066" i="19"/>
  <c r="J1066" i="19" s="1"/>
  <c r="E1066" i="19"/>
  <c r="K1066" i="19" s="1"/>
  <c r="A1067" i="19"/>
  <c r="G1067" i="19" s="1"/>
  <c r="B1067" i="19"/>
  <c r="H1067" i="19" s="1"/>
  <c r="C1067" i="19"/>
  <c r="I1067" i="19" s="1"/>
  <c r="D1067" i="19"/>
  <c r="J1067" i="19" s="1"/>
  <c r="E1067" i="19"/>
  <c r="K1067" i="19" s="1"/>
  <c r="A1068" i="19"/>
  <c r="G1068" i="19" s="1"/>
  <c r="B1068" i="19"/>
  <c r="H1068" i="19" s="1"/>
  <c r="C1068" i="19"/>
  <c r="I1068" i="19" s="1"/>
  <c r="D1068" i="19"/>
  <c r="J1068" i="19" s="1"/>
  <c r="E1068" i="19"/>
  <c r="K1068" i="19" s="1"/>
  <c r="A1069" i="19"/>
  <c r="G1069" i="19" s="1"/>
  <c r="B1069" i="19"/>
  <c r="H1069" i="19" s="1"/>
  <c r="C1069" i="19"/>
  <c r="I1069" i="19" s="1"/>
  <c r="D1069" i="19"/>
  <c r="J1069" i="19" s="1"/>
  <c r="E1069" i="19"/>
  <c r="K1069" i="19" s="1"/>
  <c r="A1070" i="19"/>
  <c r="G1070" i="19" s="1"/>
  <c r="B1070" i="19"/>
  <c r="H1070" i="19" s="1"/>
  <c r="C1070" i="19"/>
  <c r="I1070" i="19" s="1"/>
  <c r="D1070" i="19"/>
  <c r="J1070" i="19" s="1"/>
  <c r="E1070" i="19"/>
  <c r="K1070" i="19" s="1"/>
  <c r="A1071" i="19"/>
  <c r="G1071" i="19" s="1"/>
  <c r="B1071" i="19"/>
  <c r="H1071" i="19" s="1"/>
  <c r="C1071" i="19"/>
  <c r="I1071" i="19" s="1"/>
  <c r="D1071" i="19"/>
  <c r="J1071" i="19" s="1"/>
  <c r="E1071" i="19"/>
  <c r="K1071" i="19" s="1"/>
  <c r="A1072" i="19"/>
  <c r="G1072" i="19" s="1"/>
  <c r="B1072" i="19"/>
  <c r="H1072" i="19" s="1"/>
  <c r="C1072" i="19"/>
  <c r="I1072" i="19" s="1"/>
  <c r="D1072" i="19"/>
  <c r="J1072" i="19" s="1"/>
  <c r="E1072" i="19"/>
  <c r="K1072" i="19" s="1"/>
  <c r="A1073" i="19"/>
  <c r="G1073" i="19" s="1"/>
  <c r="B1073" i="19"/>
  <c r="H1073" i="19" s="1"/>
  <c r="C1073" i="19"/>
  <c r="I1073" i="19" s="1"/>
  <c r="D1073" i="19"/>
  <c r="J1073" i="19" s="1"/>
  <c r="E1073" i="19"/>
  <c r="K1073" i="19" s="1"/>
  <c r="A1074" i="19"/>
  <c r="G1074" i="19" s="1"/>
  <c r="B1074" i="19"/>
  <c r="H1074" i="19" s="1"/>
  <c r="C1074" i="19"/>
  <c r="I1074" i="19" s="1"/>
  <c r="D1074" i="19"/>
  <c r="J1074" i="19" s="1"/>
  <c r="E1074" i="19"/>
  <c r="K1074" i="19" s="1"/>
  <c r="A1075" i="19"/>
  <c r="G1075" i="19" s="1"/>
  <c r="B1075" i="19"/>
  <c r="H1075" i="19" s="1"/>
  <c r="C1075" i="19"/>
  <c r="I1075" i="19" s="1"/>
  <c r="D1075" i="19"/>
  <c r="J1075" i="19" s="1"/>
  <c r="E1075" i="19"/>
  <c r="K1075" i="19" s="1"/>
  <c r="A1076" i="19"/>
  <c r="G1076" i="19" s="1"/>
  <c r="B1076" i="19"/>
  <c r="H1076" i="19" s="1"/>
  <c r="C1076" i="19"/>
  <c r="I1076" i="19" s="1"/>
  <c r="D1076" i="19"/>
  <c r="J1076" i="19" s="1"/>
  <c r="E1076" i="19"/>
  <c r="K1076" i="19" s="1"/>
  <c r="A1077" i="19"/>
  <c r="G1077" i="19" s="1"/>
  <c r="B1077" i="19"/>
  <c r="H1077" i="19" s="1"/>
  <c r="C1077" i="19"/>
  <c r="I1077" i="19" s="1"/>
  <c r="D1077" i="19"/>
  <c r="J1077" i="19" s="1"/>
  <c r="E1077" i="19"/>
  <c r="K1077" i="19" s="1"/>
  <c r="A1078" i="19"/>
  <c r="G1078" i="19" s="1"/>
  <c r="B1078" i="19"/>
  <c r="H1078" i="19" s="1"/>
  <c r="C1078" i="19"/>
  <c r="I1078" i="19" s="1"/>
  <c r="D1078" i="19"/>
  <c r="J1078" i="19" s="1"/>
  <c r="E1078" i="19"/>
  <c r="K1078" i="19" s="1"/>
  <c r="A1079" i="19"/>
  <c r="G1079" i="19" s="1"/>
  <c r="B1079" i="19"/>
  <c r="H1079" i="19" s="1"/>
  <c r="C1079" i="19"/>
  <c r="I1079" i="19" s="1"/>
  <c r="D1079" i="19"/>
  <c r="J1079" i="19" s="1"/>
  <c r="E1079" i="19"/>
  <c r="K1079" i="19" s="1"/>
  <c r="A1080" i="19"/>
  <c r="G1080" i="19" s="1"/>
  <c r="B1080" i="19"/>
  <c r="H1080" i="19" s="1"/>
  <c r="C1080" i="19"/>
  <c r="I1080" i="19" s="1"/>
  <c r="D1080" i="19"/>
  <c r="J1080" i="19" s="1"/>
  <c r="E1080" i="19"/>
  <c r="K1080" i="19" s="1"/>
  <c r="A1081" i="19"/>
  <c r="G1081" i="19" s="1"/>
  <c r="B1081" i="19"/>
  <c r="H1081" i="19" s="1"/>
  <c r="C1081" i="19"/>
  <c r="I1081" i="19" s="1"/>
  <c r="D1081" i="19"/>
  <c r="J1081" i="19" s="1"/>
  <c r="E1081" i="19"/>
  <c r="K1081" i="19" s="1"/>
  <c r="A1082" i="19"/>
  <c r="G1082" i="19" s="1"/>
  <c r="B1082" i="19"/>
  <c r="H1082" i="19" s="1"/>
  <c r="C1082" i="19"/>
  <c r="I1082" i="19" s="1"/>
  <c r="D1082" i="19"/>
  <c r="J1082" i="19" s="1"/>
  <c r="E1082" i="19"/>
  <c r="K1082" i="19" s="1"/>
  <c r="A1083" i="19"/>
  <c r="G1083" i="19" s="1"/>
  <c r="B1083" i="19"/>
  <c r="H1083" i="19" s="1"/>
  <c r="C1083" i="19"/>
  <c r="I1083" i="19" s="1"/>
  <c r="D1083" i="19"/>
  <c r="J1083" i="19" s="1"/>
  <c r="E1083" i="19"/>
  <c r="K1083" i="19" s="1"/>
  <c r="A1084" i="19"/>
  <c r="G1084" i="19" s="1"/>
  <c r="B1084" i="19"/>
  <c r="H1084" i="19" s="1"/>
  <c r="C1084" i="19"/>
  <c r="I1084" i="19" s="1"/>
  <c r="D1084" i="19"/>
  <c r="J1084" i="19" s="1"/>
  <c r="E1084" i="19"/>
  <c r="K1084" i="19" s="1"/>
  <c r="A1085" i="19"/>
  <c r="G1085" i="19" s="1"/>
  <c r="B1085" i="19"/>
  <c r="H1085" i="19" s="1"/>
  <c r="C1085" i="19"/>
  <c r="I1085" i="19" s="1"/>
  <c r="D1085" i="19"/>
  <c r="J1085" i="19" s="1"/>
  <c r="E1085" i="19"/>
  <c r="K1085" i="19" s="1"/>
  <c r="A1086" i="19"/>
  <c r="G1086" i="19" s="1"/>
  <c r="B1086" i="19"/>
  <c r="H1086" i="19" s="1"/>
  <c r="C1086" i="19"/>
  <c r="I1086" i="19" s="1"/>
  <c r="D1086" i="19"/>
  <c r="J1086" i="19" s="1"/>
  <c r="E1086" i="19"/>
  <c r="K1086" i="19" s="1"/>
  <c r="A1087" i="19"/>
  <c r="G1087" i="19" s="1"/>
  <c r="B1087" i="19"/>
  <c r="H1087" i="19" s="1"/>
  <c r="C1087" i="19"/>
  <c r="I1087" i="19" s="1"/>
  <c r="D1087" i="19"/>
  <c r="J1087" i="19" s="1"/>
  <c r="E1087" i="19"/>
  <c r="K1087" i="19" s="1"/>
  <c r="A1088" i="19"/>
  <c r="G1088" i="19" s="1"/>
  <c r="B1088" i="19"/>
  <c r="H1088" i="19" s="1"/>
  <c r="C1088" i="19"/>
  <c r="I1088" i="19" s="1"/>
  <c r="D1088" i="19"/>
  <c r="J1088" i="19" s="1"/>
  <c r="E1088" i="19"/>
  <c r="K1088" i="19" s="1"/>
  <c r="A1089" i="19"/>
  <c r="G1089" i="19" s="1"/>
  <c r="B1089" i="19"/>
  <c r="H1089" i="19" s="1"/>
  <c r="C1089" i="19"/>
  <c r="I1089" i="19" s="1"/>
  <c r="D1089" i="19"/>
  <c r="J1089" i="19" s="1"/>
  <c r="E1089" i="19"/>
  <c r="K1089" i="19" s="1"/>
  <c r="A1090" i="19"/>
  <c r="G1090" i="19" s="1"/>
  <c r="B1090" i="19"/>
  <c r="H1090" i="19" s="1"/>
  <c r="C1090" i="19"/>
  <c r="I1090" i="19" s="1"/>
  <c r="D1090" i="19"/>
  <c r="J1090" i="19" s="1"/>
  <c r="E1090" i="19"/>
  <c r="K1090" i="19" s="1"/>
  <c r="A1091" i="19"/>
  <c r="G1091" i="19" s="1"/>
  <c r="B1091" i="19"/>
  <c r="H1091" i="19" s="1"/>
  <c r="C1091" i="19"/>
  <c r="I1091" i="19" s="1"/>
  <c r="D1091" i="19"/>
  <c r="J1091" i="19" s="1"/>
  <c r="E1091" i="19"/>
  <c r="K1091" i="19" s="1"/>
  <c r="A1092" i="19"/>
  <c r="G1092" i="19" s="1"/>
  <c r="B1092" i="19"/>
  <c r="H1092" i="19" s="1"/>
  <c r="C1092" i="19"/>
  <c r="I1092" i="19" s="1"/>
  <c r="D1092" i="19"/>
  <c r="J1092" i="19" s="1"/>
  <c r="E1092" i="19"/>
  <c r="K1092" i="19" s="1"/>
  <c r="A1093" i="19"/>
  <c r="G1093" i="19" s="1"/>
  <c r="B1093" i="19"/>
  <c r="H1093" i="19" s="1"/>
  <c r="C1093" i="19"/>
  <c r="I1093" i="19" s="1"/>
  <c r="D1093" i="19"/>
  <c r="J1093" i="19" s="1"/>
  <c r="E1093" i="19"/>
  <c r="K1093" i="19" s="1"/>
  <c r="A1094" i="19"/>
  <c r="G1094" i="19" s="1"/>
  <c r="B1094" i="19"/>
  <c r="H1094" i="19" s="1"/>
  <c r="C1094" i="19"/>
  <c r="I1094" i="19" s="1"/>
  <c r="D1094" i="19"/>
  <c r="J1094" i="19" s="1"/>
  <c r="E1094" i="19"/>
  <c r="K1094" i="19" s="1"/>
  <c r="A1095" i="19"/>
  <c r="G1095" i="19" s="1"/>
  <c r="B1095" i="19"/>
  <c r="H1095" i="19" s="1"/>
  <c r="C1095" i="19"/>
  <c r="I1095" i="19" s="1"/>
  <c r="D1095" i="19"/>
  <c r="J1095" i="19" s="1"/>
  <c r="E1095" i="19"/>
  <c r="K1095" i="19" s="1"/>
  <c r="A1096" i="19"/>
  <c r="G1096" i="19" s="1"/>
  <c r="B1096" i="19"/>
  <c r="H1096" i="19" s="1"/>
  <c r="C1096" i="19"/>
  <c r="I1096" i="19" s="1"/>
  <c r="D1096" i="19"/>
  <c r="J1096" i="19" s="1"/>
  <c r="E1096" i="19"/>
  <c r="K1096" i="19" s="1"/>
  <c r="A1097" i="19"/>
  <c r="G1097" i="19" s="1"/>
  <c r="B1097" i="19"/>
  <c r="H1097" i="19" s="1"/>
  <c r="C1097" i="19"/>
  <c r="I1097" i="19" s="1"/>
  <c r="D1097" i="19"/>
  <c r="J1097" i="19" s="1"/>
  <c r="E1097" i="19"/>
  <c r="K1097" i="19" s="1"/>
  <c r="A1098" i="19"/>
  <c r="G1098" i="19" s="1"/>
  <c r="B1098" i="19"/>
  <c r="H1098" i="19" s="1"/>
  <c r="C1098" i="19"/>
  <c r="I1098" i="19" s="1"/>
  <c r="D1098" i="19"/>
  <c r="J1098" i="19" s="1"/>
  <c r="E1098" i="19"/>
  <c r="K1098" i="19" s="1"/>
  <c r="A1099" i="19"/>
  <c r="G1099" i="19" s="1"/>
  <c r="B1099" i="19"/>
  <c r="H1099" i="19" s="1"/>
  <c r="C1099" i="19"/>
  <c r="I1099" i="19" s="1"/>
  <c r="D1099" i="19"/>
  <c r="J1099" i="19" s="1"/>
  <c r="E1099" i="19"/>
  <c r="K1099" i="19" s="1"/>
  <c r="A1100" i="19"/>
  <c r="G1100" i="19" s="1"/>
  <c r="B1100" i="19"/>
  <c r="H1100" i="19" s="1"/>
  <c r="C1100" i="19"/>
  <c r="I1100" i="19" s="1"/>
  <c r="D1100" i="19"/>
  <c r="J1100" i="19" s="1"/>
  <c r="E1100" i="19"/>
  <c r="K1100" i="19" s="1"/>
  <c r="A1101" i="19"/>
  <c r="G1101" i="19" s="1"/>
  <c r="B1101" i="19"/>
  <c r="H1101" i="19" s="1"/>
  <c r="C1101" i="19"/>
  <c r="I1101" i="19" s="1"/>
  <c r="D1101" i="19"/>
  <c r="J1101" i="19" s="1"/>
  <c r="E1101" i="19"/>
  <c r="K1101" i="19" s="1"/>
  <c r="A1102" i="19"/>
  <c r="G1102" i="19" s="1"/>
  <c r="B1102" i="19"/>
  <c r="H1102" i="19" s="1"/>
  <c r="C1102" i="19"/>
  <c r="I1102" i="19" s="1"/>
  <c r="D1102" i="19"/>
  <c r="J1102" i="19" s="1"/>
  <c r="E1102" i="19"/>
  <c r="K1102" i="19" s="1"/>
  <c r="A1103" i="19"/>
  <c r="G1103" i="19" s="1"/>
  <c r="B1103" i="19"/>
  <c r="H1103" i="19" s="1"/>
  <c r="C1103" i="19"/>
  <c r="I1103" i="19" s="1"/>
  <c r="D1103" i="19"/>
  <c r="J1103" i="19" s="1"/>
  <c r="E1103" i="19"/>
  <c r="K1103" i="19" s="1"/>
  <c r="A1104" i="19"/>
  <c r="G1104" i="19" s="1"/>
  <c r="B1104" i="19"/>
  <c r="H1104" i="19" s="1"/>
  <c r="C1104" i="19"/>
  <c r="I1104" i="19" s="1"/>
  <c r="D1104" i="19"/>
  <c r="J1104" i="19" s="1"/>
  <c r="E1104" i="19"/>
  <c r="K1104" i="19" s="1"/>
  <c r="A1105" i="19"/>
  <c r="G1105" i="19" s="1"/>
  <c r="B1105" i="19"/>
  <c r="H1105" i="19" s="1"/>
  <c r="C1105" i="19"/>
  <c r="I1105" i="19" s="1"/>
  <c r="D1105" i="19"/>
  <c r="J1105" i="19" s="1"/>
  <c r="E1105" i="19"/>
  <c r="K1105" i="19" s="1"/>
  <c r="A1106" i="19"/>
  <c r="G1106" i="19" s="1"/>
  <c r="B1106" i="19"/>
  <c r="H1106" i="19" s="1"/>
  <c r="C1106" i="19"/>
  <c r="I1106" i="19" s="1"/>
  <c r="D1106" i="19"/>
  <c r="J1106" i="19" s="1"/>
  <c r="E1106" i="19"/>
  <c r="K1106" i="19" s="1"/>
  <c r="A1107" i="19"/>
  <c r="G1107" i="19" s="1"/>
  <c r="B1107" i="19"/>
  <c r="H1107" i="19" s="1"/>
  <c r="C1107" i="19"/>
  <c r="I1107" i="19" s="1"/>
  <c r="D1107" i="19"/>
  <c r="J1107" i="19" s="1"/>
  <c r="E1107" i="19"/>
  <c r="K1107" i="19" s="1"/>
  <c r="A1108" i="19"/>
  <c r="G1108" i="19" s="1"/>
  <c r="B1108" i="19"/>
  <c r="H1108" i="19" s="1"/>
  <c r="C1108" i="19"/>
  <c r="I1108" i="19" s="1"/>
  <c r="D1108" i="19"/>
  <c r="J1108" i="19" s="1"/>
  <c r="E1108" i="19"/>
  <c r="K1108" i="19" s="1"/>
  <c r="A1109" i="19"/>
  <c r="G1109" i="19" s="1"/>
  <c r="B1109" i="19"/>
  <c r="H1109" i="19" s="1"/>
  <c r="C1109" i="19"/>
  <c r="I1109" i="19" s="1"/>
  <c r="D1109" i="19"/>
  <c r="J1109" i="19" s="1"/>
  <c r="E1109" i="19"/>
  <c r="K1109" i="19" s="1"/>
  <c r="A1110" i="19"/>
  <c r="G1110" i="19" s="1"/>
  <c r="B1110" i="19"/>
  <c r="H1110" i="19" s="1"/>
  <c r="C1110" i="19"/>
  <c r="I1110" i="19" s="1"/>
  <c r="D1110" i="19"/>
  <c r="J1110" i="19" s="1"/>
  <c r="E1110" i="19"/>
  <c r="K1110" i="19" s="1"/>
  <c r="A1111" i="19"/>
  <c r="G1111" i="19" s="1"/>
  <c r="B1111" i="19"/>
  <c r="H1111" i="19" s="1"/>
  <c r="C1111" i="19"/>
  <c r="I1111" i="19" s="1"/>
  <c r="D1111" i="19"/>
  <c r="J1111" i="19" s="1"/>
  <c r="E1111" i="19"/>
  <c r="K1111" i="19" s="1"/>
  <c r="A1112" i="19"/>
  <c r="G1112" i="19" s="1"/>
  <c r="B1112" i="19"/>
  <c r="H1112" i="19" s="1"/>
  <c r="C1112" i="19"/>
  <c r="I1112" i="19" s="1"/>
  <c r="D1112" i="19"/>
  <c r="J1112" i="19" s="1"/>
  <c r="E1112" i="19"/>
  <c r="K1112" i="19" s="1"/>
  <c r="A1113" i="19"/>
  <c r="G1113" i="19" s="1"/>
  <c r="B1113" i="19"/>
  <c r="H1113" i="19" s="1"/>
  <c r="C1113" i="19"/>
  <c r="I1113" i="19" s="1"/>
  <c r="D1113" i="19"/>
  <c r="J1113" i="19" s="1"/>
  <c r="E1113" i="19"/>
  <c r="K1113" i="19" s="1"/>
  <c r="A1114" i="19"/>
  <c r="G1114" i="19" s="1"/>
  <c r="B1114" i="19"/>
  <c r="H1114" i="19" s="1"/>
  <c r="C1114" i="19"/>
  <c r="I1114" i="19" s="1"/>
  <c r="D1114" i="19"/>
  <c r="J1114" i="19" s="1"/>
  <c r="E1114" i="19"/>
  <c r="K1114" i="19" s="1"/>
  <c r="A1115" i="19"/>
  <c r="G1115" i="19" s="1"/>
  <c r="B1115" i="19"/>
  <c r="H1115" i="19" s="1"/>
  <c r="C1115" i="19"/>
  <c r="I1115" i="19" s="1"/>
  <c r="D1115" i="19"/>
  <c r="J1115" i="19" s="1"/>
  <c r="E1115" i="19"/>
  <c r="K1115" i="19" s="1"/>
  <c r="A1116" i="19"/>
  <c r="G1116" i="19" s="1"/>
  <c r="B1116" i="19"/>
  <c r="H1116" i="19" s="1"/>
  <c r="C1116" i="19"/>
  <c r="I1116" i="19" s="1"/>
  <c r="D1116" i="19"/>
  <c r="J1116" i="19" s="1"/>
  <c r="E1116" i="19"/>
  <c r="K1116" i="19" s="1"/>
  <c r="A1117" i="19"/>
  <c r="G1117" i="19" s="1"/>
  <c r="B1117" i="19"/>
  <c r="H1117" i="19" s="1"/>
  <c r="C1117" i="19"/>
  <c r="I1117" i="19" s="1"/>
  <c r="D1117" i="19"/>
  <c r="J1117" i="19" s="1"/>
  <c r="E1117" i="19"/>
  <c r="K1117" i="19" s="1"/>
  <c r="A1118" i="19"/>
  <c r="G1118" i="19" s="1"/>
  <c r="B1118" i="19"/>
  <c r="H1118" i="19" s="1"/>
  <c r="C1118" i="19"/>
  <c r="I1118" i="19" s="1"/>
  <c r="D1118" i="19"/>
  <c r="J1118" i="19" s="1"/>
  <c r="E1118" i="19"/>
  <c r="K1118" i="19" s="1"/>
  <c r="A1119" i="19"/>
  <c r="G1119" i="19" s="1"/>
  <c r="B1119" i="19"/>
  <c r="H1119" i="19" s="1"/>
  <c r="C1119" i="19"/>
  <c r="I1119" i="19" s="1"/>
  <c r="D1119" i="19"/>
  <c r="J1119" i="19" s="1"/>
  <c r="E1119" i="19"/>
  <c r="K1119" i="19" s="1"/>
  <c r="A1120" i="19"/>
  <c r="G1120" i="19" s="1"/>
  <c r="B1120" i="19"/>
  <c r="H1120" i="19" s="1"/>
  <c r="C1120" i="19"/>
  <c r="I1120" i="19" s="1"/>
  <c r="D1120" i="19"/>
  <c r="J1120" i="19" s="1"/>
  <c r="E1120" i="19"/>
  <c r="K1120" i="19" s="1"/>
  <c r="A1121" i="19"/>
  <c r="G1121" i="19" s="1"/>
  <c r="B1121" i="19"/>
  <c r="H1121" i="19" s="1"/>
  <c r="C1121" i="19"/>
  <c r="I1121" i="19" s="1"/>
  <c r="D1121" i="19"/>
  <c r="J1121" i="19" s="1"/>
  <c r="E1121" i="19"/>
  <c r="K1121" i="19" s="1"/>
  <c r="A1122" i="19"/>
  <c r="G1122" i="19" s="1"/>
  <c r="B1122" i="19"/>
  <c r="H1122" i="19" s="1"/>
  <c r="C1122" i="19"/>
  <c r="I1122" i="19" s="1"/>
  <c r="D1122" i="19"/>
  <c r="J1122" i="19" s="1"/>
  <c r="E1122" i="19"/>
  <c r="K1122" i="19" s="1"/>
  <c r="A1123" i="19"/>
  <c r="G1123" i="19" s="1"/>
  <c r="B1123" i="19"/>
  <c r="H1123" i="19" s="1"/>
  <c r="C1123" i="19"/>
  <c r="I1123" i="19" s="1"/>
  <c r="D1123" i="19"/>
  <c r="J1123" i="19" s="1"/>
  <c r="E1123" i="19"/>
  <c r="K1123" i="19" s="1"/>
  <c r="A1124" i="19"/>
  <c r="G1124" i="19" s="1"/>
  <c r="B1124" i="19"/>
  <c r="H1124" i="19" s="1"/>
  <c r="C1124" i="19"/>
  <c r="I1124" i="19" s="1"/>
  <c r="D1124" i="19"/>
  <c r="J1124" i="19" s="1"/>
  <c r="E1124" i="19"/>
  <c r="K1124" i="19" s="1"/>
  <c r="A1125" i="19"/>
  <c r="G1125" i="19" s="1"/>
  <c r="B1125" i="19"/>
  <c r="H1125" i="19" s="1"/>
  <c r="C1125" i="19"/>
  <c r="I1125" i="19" s="1"/>
  <c r="D1125" i="19"/>
  <c r="J1125" i="19" s="1"/>
  <c r="E1125" i="19"/>
  <c r="K1125" i="19" s="1"/>
  <c r="A1126" i="19"/>
  <c r="G1126" i="19" s="1"/>
  <c r="B1126" i="19"/>
  <c r="H1126" i="19" s="1"/>
  <c r="C1126" i="19"/>
  <c r="I1126" i="19" s="1"/>
  <c r="D1126" i="19"/>
  <c r="J1126" i="19" s="1"/>
  <c r="E1126" i="19"/>
  <c r="K1126" i="19" s="1"/>
  <c r="A1127" i="19"/>
  <c r="G1127" i="19" s="1"/>
  <c r="B1127" i="19"/>
  <c r="H1127" i="19" s="1"/>
  <c r="C1127" i="19"/>
  <c r="I1127" i="19" s="1"/>
  <c r="D1127" i="19"/>
  <c r="J1127" i="19" s="1"/>
  <c r="E1127" i="19"/>
  <c r="K1127" i="19" s="1"/>
  <c r="A1128" i="19"/>
  <c r="G1128" i="19" s="1"/>
  <c r="B1128" i="19"/>
  <c r="H1128" i="19" s="1"/>
  <c r="C1128" i="19"/>
  <c r="I1128" i="19" s="1"/>
  <c r="D1128" i="19"/>
  <c r="J1128" i="19" s="1"/>
  <c r="E1128" i="19"/>
  <c r="K1128" i="19" s="1"/>
  <c r="A1129" i="19"/>
  <c r="G1129" i="19" s="1"/>
  <c r="B1129" i="19"/>
  <c r="H1129" i="19" s="1"/>
  <c r="C1129" i="19"/>
  <c r="I1129" i="19" s="1"/>
  <c r="D1129" i="19"/>
  <c r="J1129" i="19" s="1"/>
  <c r="E1129" i="19"/>
  <c r="K1129" i="19" s="1"/>
  <c r="A1130" i="19"/>
  <c r="G1130" i="19" s="1"/>
  <c r="B1130" i="19"/>
  <c r="H1130" i="19" s="1"/>
  <c r="C1130" i="19"/>
  <c r="I1130" i="19" s="1"/>
  <c r="D1130" i="19"/>
  <c r="J1130" i="19" s="1"/>
  <c r="E1130" i="19"/>
  <c r="K1130" i="19" s="1"/>
  <c r="A1131" i="19"/>
  <c r="G1131" i="19" s="1"/>
  <c r="B1131" i="19"/>
  <c r="H1131" i="19" s="1"/>
  <c r="C1131" i="19"/>
  <c r="I1131" i="19" s="1"/>
  <c r="D1131" i="19"/>
  <c r="J1131" i="19" s="1"/>
  <c r="E1131" i="19"/>
  <c r="K1131" i="19" s="1"/>
  <c r="A1132" i="19"/>
  <c r="G1132" i="19" s="1"/>
  <c r="B1132" i="19"/>
  <c r="H1132" i="19" s="1"/>
  <c r="C1132" i="19"/>
  <c r="I1132" i="19" s="1"/>
  <c r="D1132" i="19"/>
  <c r="J1132" i="19" s="1"/>
  <c r="E1132" i="19"/>
  <c r="K1132" i="19" s="1"/>
  <c r="A1133" i="19"/>
  <c r="G1133" i="19" s="1"/>
  <c r="B1133" i="19"/>
  <c r="H1133" i="19" s="1"/>
  <c r="C1133" i="19"/>
  <c r="I1133" i="19" s="1"/>
  <c r="D1133" i="19"/>
  <c r="J1133" i="19" s="1"/>
  <c r="E1133" i="19"/>
  <c r="K1133" i="19" s="1"/>
  <c r="A1134" i="19"/>
  <c r="G1134" i="19" s="1"/>
  <c r="B1134" i="19"/>
  <c r="H1134" i="19" s="1"/>
  <c r="C1134" i="19"/>
  <c r="I1134" i="19" s="1"/>
  <c r="D1134" i="19"/>
  <c r="J1134" i="19" s="1"/>
  <c r="E1134" i="19"/>
  <c r="K1134" i="19" s="1"/>
  <c r="A1135" i="19"/>
  <c r="G1135" i="19" s="1"/>
  <c r="B1135" i="19"/>
  <c r="H1135" i="19" s="1"/>
  <c r="C1135" i="19"/>
  <c r="I1135" i="19" s="1"/>
  <c r="D1135" i="19"/>
  <c r="J1135" i="19" s="1"/>
  <c r="E1135" i="19"/>
  <c r="K1135" i="19" s="1"/>
  <c r="A1136" i="19"/>
  <c r="G1136" i="19" s="1"/>
  <c r="B1136" i="19"/>
  <c r="H1136" i="19" s="1"/>
  <c r="C1136" i="19"/>
  <c r="I1136" i="19" s="1"/>
  <c r="D1136" i="19"/>
  <c r="J1136" i="19" s="1"/>
  <c r="E1136" i="19"/>
  <c r="K1136" i="19" s="1"/>
  <c r="A1137" i="19"/>
  <c r="G1137" i="19" s="1"/>
  <c r="B1137" i="19"/>
  <c r="H1137" i="19" s="1"/>
  <c r="C1137" i="19"/>
  <c r="I1137" i="19" s="1"/>
  <c r="D1137" i="19"/>
  <c r="J1137" i="19" s="1"/>
  <c r="E1137" i="19"/>
  <c r="K1137" i="19" s="1"/>
  <c r="A1138" i="19"/>
  <c r="G1138" i="19" s="1"/>
  <c r="B1138" i="19"/>
  <c r="H1138" i="19" s="1"/>
  <c r="C1138" i="19"/>
  <c r="I1138" i="19" s="1"/>
  <c r="D1138" i="19"/>
  <c r="J1138" i="19" s="1"/>
  <c r="E1138" i="19"/>
  <c r="K1138" i="19" s="1"/>
  <c r="A1139" i="19"/>
  <c r="G1139" i="19" s="1"/>
  <c r="B1139" i="19"/>
  <c r="H1139" i="19" s="1"/>
  <c r="C1139" i="19"/>
  <c r="I1139" i="19" s="1"/>
  <c r="D1139" i="19"/>
  <c r="J1139" i="19" s="1"/>
  <c r="E1139" i="19"/>
  <c r="K1139" i="19" s="1"/>
  <c r="A1140" i="19"/>
  <c r="G1140" i="19" s="1"/>
  <c r="B1140" i="19"/>
  <c r="H1140" i="19" s="1"/>
  <c r="C1140" i="19"/>
  <c r="I1140" i="19" s="1"/>
  <c r="D1140" i="19"/>
  <c r="J1140" i="19" s="1"/>
  <c r="E1140" i="19"/>
  <c r="K1140" i="19" s="1"/>
  <c r="A1141" i="19"/>
  <c r="G1141" i="19" s="1"/>
  <c r="B1141" i="19"/>
  <c r="H1141" i="19" s="1"/>
  <c r="C1141" i="19"/>
  <c r="I1141" i="19" s="1"/>
  <c r="D1141" i="19"/>
  <c r="J1141" i="19" s="1"/>
  <c r="E1141" i="19"/>
  <c r="K1141" i="19" s="1"/>
  <c r="A1142" i="19"/>
  <c r="G1142" i="19" s="1"/>
  <c r="B1142" i="19"/>
  <c r="H1142" i="19" s="1"/>
  <c r="C1142" i="19"/>
  <c r="I1142" i="19" s="1"/>
  <c r="D1142" i="19"/>
  <c r="J1142" i="19" s="1"/>
  <c r="E1142" i="19"/>
  <c r="K1142" i="19" s="1"/>
  <c r="A1143" i="19"/>
  <c r="G1143" i="19" s="1"/>
  <c r="B1143" i="19"/>
  <c r="H1143" i="19" s="1"/>
  <c r="C1143" i="19"/>
  <c r="I1143" i="19" s="1"/>
  <c r="D1143" i="19"/>
  <c r="J1143" i="19" s="1"/>
  <c r="E1143" i="19"/>
  <c r="K1143" i="19" s="1"/>
  <c r="A1144" i="19"/>
  <c r="G1144" i="19" s="1"/>
  <c r="B1144" i="19"/>
  <c r="H1144" i="19" s="1"/>
  <c r="C1144" i="19"/>
  <c r="I1144" i="19" s="1"/>
  <c r="D1144" i="19"/>
  <c r="J1144" i="19" s="1"/>
  <c r="E1144" i="19"/>
  <c r="K1144" i="19" s="1"/>
  <c r="A1145" i="19"/>
  <c r="G1145" i="19" s="1"/>
  <c r="B1145" i="19"/>
  <c r="H1145" i="19" s="1"/>
  <c r="C1145" i="19"/>
  <c r="I1145" i="19" s="1"/>
  <c r="D1145" i="19"/>
  <c r="J1145" i="19" s="1"/>
  <c r="E1145" i="19"/>
  <c r="K1145" i="19" s="1"/>
  <c r="A1146" i="19"/>
  <c r="G1146" i="19" s="1"/>
  <c r="B1146" i="19"/>
  <c r="H1146" i="19" s="1"/>
  <c r="C1146" i="19"/>
  <c r="I1146" i="19" s="1"/>
  <c r="D1146" i="19"/>
  <c r="J1146" i="19" s="1"/>
  <c r="E1146" i="19"/>
  <c r="K1146" i="19" s="1"/>
  <c r="A1147" i="19"/>
  <c r="G1147" i="19" s="1"/>
  <c r="B1147" i="19"/>
  <c r="H1147" i="19" s="1"/>
  <c r="C1147" i="19"/>
  <c r="I1147" i="19" s="1"/>
  <c r="D1147" i="19"/>
  <c r="J1147" i="19" s="1"/>
  <c r="E1147" i="19"/>
  <c r="K1147" i="19" s="1"/>
  <c r="A1148" i="19"/>
  <c r="G1148" i="19" s="1"/>
  <c r="B1148" i="19"/>
  <c r="H1148" i="19" s="1"/>
  <c r="C1148" i="19"/>
  <c r="I1148" i="19" s="1"/>
  <c r="D1148" i="19"/>
  <c r="J1148" i="19" s="1"/>
  <c r="E1148" i="19"/>
  <c r="K1148" i="19" s="1"/>
  <c r="A1149" i="19"/>
  <c r="G1149" i="19" s="1"/>
  <c r="B1149" i="19"/>
  <c r="H1149" i="19" s="1"/>
  <c r="C1149" i="19"/>
  <c r="I1149" i="19" s="1"/>
  <c r="D1149" i="19"/>
  <c r="J1149" i="19" s="1"/>
  <c r="E1149" i="19"/>
  <c r="K1149" i="19" s="1"/>
  <c r="A1150" i="19"/>
  <c r="G1150" i="19" s="1"/>
  <c r="B1150" i="19"/>
  <c r="H1150" i="19" s="1"/>
  <c r="C1150" i="19"/>
  <c r="I1150" i="19" s="1"/>
  <c r="D1150" i="19"/>
  <c r="J1150" i="19" s="1"/>
  <c r="E1150" i="19"/>
  <c r="K1150" i="19" s="1"/>
  <c r="A1151" i="19"/>
  <c r="G1151" i="19" s="1"/>
  <c r="B1151" i="19"/>
  <c r="H1151" i="19" s="1"/>
  <c r="C1151" i="19"/>
  <c r="I1151" i="19" s="1"/>
  <c r="D1151" i="19"/>
  <c r="J1151" i="19" s="1"/>
  <c r="E1151" i="19"/>
  <c r="K1151" i="19" s="1"/>
  <c r="A1152" i="19"/>
  <c r="G1152" i="19" s="1"/>
  <c r="B1152" i="19"/>
  <c r="H1152" i="19" s="1"/>
  <c r="C1152" i="19"/>
  <c r="I1152" i="19" s="1"/>
  <c r="D1152" i="19"/>
  <c r="J1152" i="19" s="1"/>
  <c r="E1152" i="19"/>
  <c r="K1152" i="19" s="1"/>
  <c r="A1153" i="19"/>
  <c r="G1153" i="19" s="1"/>
  <c r="B1153" i="19"/>
  <c r="H1153" i="19" s="1"/>
  <c r="C1153" i="19"/>
  <c r="I1153" i="19" s="1"/>
  <c r="D1153" i="19"/>
  <c r="J1153" i="19" s="1"/>
  <c r="E1153" i="19"/>
  <c r="K1153" i="19" s="1"/>
  <c r="A1154" i="19"/>
  <c r="G1154" i="19" s="1"/>
  <c r="B1154" i="19"/>
  <c r="H1154" i="19" s="1"/>
  <c r="C1154" i="19"/>
  <c r="I1154" i="19" s="1"/>
  <c r="D1154" i="19"/>
  <c r="J1154" i="19" s="1"/>
  <c r="E1154" i="19"/>
  <c r="K1154" i="19" s="1"/>
  <c r="A1155" i="19"/>
  <c r="G1155" i="19" s="1"/>
  <c r="B1155" i="19"/>
  <c r="H1155" i="19" s="1"/>
  <c r="C1155" i="19"/>
  <c r="I1155" i="19" s="1"/>
  <c r="D1155" i="19"/>
  <c r="J1155" i="19" s="1"/>
  <c r="E1155" i="19"/>
  <c r="K1155" i="19" s="1"/>
  <c r="A1156" i="19"/>
  <c r="G1156" i="19" s="1"/>
  <c r="B1156" i="19"/>
  <c r="H1156" i="19" s="1"/>
  <c r="C1156" i="19"/>
  <c r="I1156" i="19" s="1"/>
  <c r="D1156" i="19"/>
  <c r="J1156" i="19" s="1"/>
  <c r="E1156" i="19"/>
  <c r="K1156" i="19" s="1"/>
  <c r="A1157" i="19"/>
  <c r="G1157" i="19" s="1"/>
  <c r="B1157" i="19"/>
  <c r="H1157" i="19" s="1"/>
  <c r="C1157" i="19"/>
  <c r="I1157" i="19" s="1"/>
  <c r="D1157" i="19"/>
  <c r="J1157" i="19" s="1"/>
  <c r="E1157" i="19"/>
  <c r="K1157" i="19" s="1"/>
  <c r="A1158" i="19"/>
  <c r="G1158" i="19" s="1"/>
  <c r="B1158" i="19"/>
  <c r="H1158" i="19" s="1"/>
  <c r="C1158" i="19"/>
  <c r="I1158" i="19" s="1"/>
  <c r="D1158" i="19"/>
  <c r="J1158" i="19" s="1"/>
  <c r="E1158" i="19"/>
  <c r="K1158" i="19" s="1"/>
  <c r="A1159" i="19"/>
  <c r="G1159" i="19" s="1"/>
  <c r="B1159" i="19"/>
  <c r="H1159" i="19" s="1"/>
  <c r="C1159" i="19"/>
  <c r="I1159" i="19" s="1"/>
  <c r="D1159" i="19"/>
  <c r="J1159" i="19" s="1"/>
  <c r="E1159" i="19"/>
  <c r="K1159" i="19" s="1"/>
  <c r="A1160" i="19"/>
  <c r="G1160" i="19" s="1"/>
  <c r="B1160" i="19"/>
  <c r="H1160" i="19" s="1"/>
  <c r="C1160" i="19"/>
  <c r="I1160" i="19" s="1"/>
  <c r="D1160" i="19"/>
  <c r="J1160" i="19" s="1"/>
  <c r="E1160" i="19"/>
  <c r="K1160" i="19" s="1"/>
  <c r="A1161" i="19"/>
  <c r="G1161" i="19" s="1"/>
  <c r="B1161" i="19"/>
  <c r="H1161" i="19" s="1"/>
  <c r="C1161" i="19"/>
  <c r="I1161" i="19" s="1"/>
  <c r="D1161" i="19"/>
  <c r="J1161" i="19" s="1"/>
  <c r="E1161" i="19"/>
  <c r="K1161" i="19" s="1"/>
  <c r="A1162" i="19"/>
  <c r="G1162" i="19" s="1"/>
  <c r="B1162" i="19"/>
  <c r="H1162" i="19" s="1"/>
  <c r="C1162" i="19"/>
  <c r="I1162" i="19" s="1"/>
  <c r="D1162" i="19"/>
  <c r="J1162" i="19" s="1"/>
  <c r="E1162" i="19"/>
  <c r="K1162" i="19" s="1"/>
  <c r="A1163" i="19"/>
  <c r="G1163" i="19" s="1"/>
  <c r="B1163" i="19"/>
  <c r="H1163" i="19" s="1"/>
  <c r="C1163" i="19"/>
  <c r="I1163" i="19" s="1"/>
  <c r="D1163" i="19"/>
  <c r="J1163" i="19" s="1"/>
  <c r="E1163" i="19"/>
  <c r="K1163" i="19" s="1"/>
  <c r="A1164" i="19"/>
  <c r="G1164" i="19" s="1"/>
  <c r="B1164" i="19"/>
  <c r="H1164" i="19" s="1"/>
  <c r="C1164" i="19"/>
  <c r="I1164" i="19" s="1"/>
  <c r="D1164" i="19"/>
  <c r="J1164" i="19" s="1"/>
  <c r="E1164" i="19"/>
  <c r="K1164" i="19" s="1"/>
  <c r="A1165" i="19"/>
  <c r="G1165" i="19" s="1"/>
  <c r="B1165" i="19"/>
  <c r="H1165" i="19" s="1"/>
  <c r="C1165" i="19"/>
  <c r="I1165" i="19" s="1"/>
  <c r="D1165" i="19"/>
  <c r="J1165" i="19" s="1"/>
  <c r="E1165" i="19"/>
  <c r="K1165" i="19" s="1"/>
  <c r="A1166" i="19"/>
  <c r="G1166" i="19" s="1"/>
  <c r="B1166" i="19"/>
  <c r="H1166" i="19" s="1"/>
  <c r="C1166" i="19"/>
  <c r="I1166" i="19" s="1"/>
  <c r="D1166" i="19"/>
  <c r="J1166" i="19" s="1"/>
  <c r="E1166" i="19"/>
  <c r="K1166" i="19" s="1"/>
  <c r="A1167" i="19"/>
  <c r="G1167" i="19" s="1"/>
  <c r="B1167" i="19"/>
  <c r="H1167" i="19" s="1"/>
  <c r="C1167" i="19"/>
  <c r="I1167" i="19" s="1"/>
  <c r="D1167" i="19"/>
  <c r="J1167" i="19" s="1"/>
  <c r="E1167" i="19"/>
  <c r="K1167" i="19" s="1"/>
  <c r="A1168" i="19"/>
  <c r="G1168" i="19" s="1"/>
  <c r="B1168" i="19"/>
  <c r="H1168" i="19" s="1"/>
  <c r="C1168" i="19"/>
  <c r="I1168" i="19" s="1"/>
  <c r="D1168" i="19"/>
  <c r="J1168" i="19" s="1"/>
  <c r="E1168" i="19"/>
  <c r="K1168" i="19" s="1"/>
  <c r="A1169" i="19"/>
  <c r="G1169" i="19" s="1"/>
  <c r="B1169" i="19"/>
  <c r="H1169" i="19" s="1"/>
  <c r="C1169" i="19"/>
  <c r="I1169" i="19" s="1"/>
  <c r="D1169" i="19"/>
  <c r="J1169" i="19" s="1"/>
  <c r="E1169" i="19"/>
  <c r="K1169" i="19" s="1"/>
  <c r="A1170" i="19"/>
  <c r="G1170" i="19" s="1"/>
  <c r="B1170" i="19"/>
  <c r="H1170" i="19" s="1"/>
  <c r="C1170" i="19"/>
  <c r="I1170" i="19" s="1"/>
  <c r="D1170" i="19"/>
  <c r="J1170" i="19" s="1"/>
  <c r="E1170" i="19"/>
  <c r="K1170" i="19" s="1"/>
  <c r="A1171" i="19"/>
  <c r="G1171" i="19" s="1"/>
  <c r="B1171" i="19"/>
  <c r="H1171" i="19" s="1"/>
  <c r="C1171" i="19"/>
  <c r="I1171" i="19" s="1"/>
  <c r="D1171" i="19"/>
  <c r="J1171" i="19" s="1"/>
  <c r="E1171" i="19"/>
  <c r="K1171" i="19" s="1"/>
  <c r="A1172" i="19"/>
  <c r="G1172" i="19" s="1"/>
  <c r="B1172" i="19"/>
  <c r="H1172" i="19" s="1"/>
  <c r="C1172" i="19"/>
  <c r="I1172" i="19" s="1"/>
  <c r="D1172" i="19"/>
  <c r="J1172" i="19" s="1"/>
  <c r="E1172" i="19"/>
  <c r="K1172" i="19" s="1"/>
  <c r="A1173" i="19"/>
  <c r="G1173" i="19" s="1"/>
  <c r="B1173" i="19"/>
  <c r="H1173" i="19" s="1"/>
  <c r="C1173" i="19"/>
  <c r="I1173" i="19" s="1"/>
  <c r="D1173" i="19"/>
  <c r="J1173" i="19" s="1"/>
  <c r="E1173" i="19"/>
  <c r="K1173" i="19" s="1"/>
  <c r="A1174" i="19"/>
  <c r="G1174" i="19" s="1"/>
  <c r="B1174" i="19"/>
  <c r="H1174" i="19" s="1"/>
  <c r="C1174" i="19"/>
  <c r="I1174" i="19" s="1"/>
  <c r="D1174" i="19"/>
  <c r="J1174" i="19" s="1"/>
  <c r="E1174" i="19"/>
  <c r="K1174" i="19" s="1"/>
  <c r="A1175" i="19"/>
  <c r="G1175" i="19" s="1"/>
  <c r="B1175" i="19"/>
  <c r="H1175" i="19" s="1"/>
  <c r="C1175" i="19"/>
  <c r="I1175" i="19" s="1"/>
  <c r="D1175" i="19"/>
  <c r="J1175" i="19" s="1"/>
  <c r="E1175" i="19"/>
  <c r="K1175" i="19" s="1"/>
  <c r="A1176" i="19"/>
  <c r="G1176" i="19" s="1"/>
  <c r="B1176" i="19"/>
  <c r="H1176" i="19" s="1"/>
  <c r="C1176" i="19"/>
  <c r="I1176" i="19" s="1"/>
  <c r="D1176" i="19"/>
  <c r="J1176" i="19" s="1"/>
  <c r="E1176" i="19"/>
  <c r="K1176" i="19" s="1"/>
  <c r="A1177" i="19"/>
  <c r="G1177" i="19" s="1"/>
  <c r="B1177" i="19"/>
  <c r="H1177" i="19" s="1"/>
  <c r="C1177" i="19"/>
  <c r="I1177" i="19" s="1"/>
  <c r="D1177" i="19"/>
  <c r="J1177" i="19" s="1"/>
  <c r="E1177" i="19"/>
  <c r="K1177" i="19" s="1"/>
  <c r="A1178" i="19"/>
  <c r="G1178" i="19" s="1"/>
  <c r="B1178" i="19"/>
  <c r="H1178" i="19" s="1"/>
  <c r="C1178" i="19"/>
  <c r="I1178" i="19" s="1"/>
  <c r="D1178" i="19"/>
  <c r="J1178" i="19" s="1"/>
  <c r="E1178" i="19"/>
  <c r="K1178" i="19" s="1"/>
  <c r="A1179" i="19"/>
  <c r="G1179" i="19" s="1"/>
  <c r="B1179" i="19"/>
  <c r="H1179" i="19" s="1"/>
  <c r="C1179" i="19"/>
  <c r="I1179" i="19" s="1"/>
  <c r="D1179" i="19"/>
  <c r="J1179" i="19" s="1"/>
  <c r="E1179" i="19"/>
  <c r="K1179" i="19" s="1"/>
  <c r="A1180" i="19"/>
  <c r="G1180" i="19" s="1"/>
  <c r="B1180" i="19"/>
  <c r="H1180" i="19" s="1"/>
  <c r="C1180" i="19"/>
  <c r="I1180" i="19" s="1"/>
  <c r="D1180" i="19"/>
  <c r="J1180" i="19" s="1"/>
  <c r="E1180" i="19"/>
  <c r="K1180" i="19" s="1"/>
  <c r="A1181" i="19"/>
  <c r="G1181" i="19" s="1"/>
  <c r="B1181" i="19"/>
  <c r="H1181" i="19" s="1"/>
  <c r="C1181" i="19"/>
  <c r="I1181" i="19" s="1"/>
  <c r="D1181" i="19"/>
  <c r="J1181" i="19" s="1"/>
  <c r="E1181" i="19"/>
  <c r="K1181" i="19" s="1"/>
  <c r="A1182" i="19"/>
  <c r="G1182" i="19" s="1"/>
  <c r="B1182" i="19"/>
  <c r="H1182" i="19" s="1"/>
  <c r="C1182" i="19"/>
  <c r="I1182" i="19" s="1"/>
  <c r="D1182" i="19"/>
  <c r="J1182" i="19" s="1"/>
  <c r="E1182" i="19"/>
  <c r="K1182" i="19" s="1"/>
  <c r="A1183" i="19"/>
  <c r="G1183" i="19" s="1"/>
  <c r="B1183" i="19"/>
  <c r="H1183" i="19" s="1"/>
  <c r="C1183" i="19"/>
  <c r="I1183" i="19" s="1"/>
  <c r="D1183" i="19"/>
  <c r="J1183" i="19" s="1"/>
  <c r="E1183" i="19"/>
  <c r="K1183" i="19" s="1"/>
  <c r="A1184" i="19"/>
  <c r="G1184" i="19" s="1"/>
  <c r="B1184" i="19"/>
  <c r="H1184" i="19" s="1"/>
  <c r="C1184" i="19"/>
  <c r="I1184" i="19" s="1"/>
  <c r="D1184" i="19"/>
  <c r="J1184" i="19" s="1"/>
  <c r="E1184" i="19"/>
  <c r="K1184" i="19" s="1"/>
  <c r="A1185" i="19"/>
  <c r="G1185" i="19" s="1"/>
  <c r="B1185" i="19"/>
  <c r="H1185" i="19" s="1"/>
  <c r="C1185" i="19"/>
  <c r="I1185" i="19" s="1"/>
  <c r="D1185" i="19"/>
  <c r="J1185" i="19" s="1"/>
  <c r="E1185" i="19"/>
  <c r="K1185" i="19" s="1"/>
  <c r="A1186" i="19"/>
  <c r="G1186" i="19" s="1"/>
  <c r="B1186" i="19"/>
  <c r="H1186" i="19" s="1"/>
  <c r="C1186" i="19"/>
  <c r="I1186" i="19" s="1"/>
  <c r="D1186" i="19"/>
  <c r="J1186" i="19" s="1"/>
  <c r="E1186" i="19"/>
  <c r="K1186" i="19" s="1"/>
  <c r="A1187" i="19"/>
  <c r="G1187" i="19" s="1"/>
  <c r="B1187" i="19"/>
  <c r="H1187" i="19" s="1"/>
  <c r="C1187" i="19"/>
  <c r="I1187" i="19" s="1"/>
  <c r="D1187" i="19"/>
  <c r="J1187" i="19" s="1"/>
  <c r="E1187" i="19"/>
  <c r="K1187" i="19" s="1"/>
  <c r="A1188" i="19"/>
  <c r="G1188" i="19" s="1"/>
  <c r="B1188" i="19"/>
  <c r="H1188" i="19" s="1"/>
  <c r="C1188" i="19"/>
  <c r="I1188" i="19" s="1"/>
  <c r="D1188" i="19"/>
  <c r="J1188" i="19" s="1"/>
  <c r="E1188" i="19"/>
  <c r="K1188" i="19" s="1"/>
  <c r="A1189" i="19"/>
  <c r="G1189" i="19" s="1"/>
  <c r="B1189" i="19"/>
  <c r="H1189" i="19" s="1"/>
  <c r="C1189" i="19"/>
  <c r="I1189" i="19" s="1"/>
  <c r="D1189" i="19"/>
  <c r="J1189" i="19" s="1"/>
  <c r="E1189" i="19"/>
  <c r="K1189" i="19" s="1"/>
  <c r="A1190" i="19"/>
  <c r="G1190" i="19" s="1"/>
  <c r="B1190" i="19"/>
  <c r="H1190" i="19" s="1"/>
  <c r="C1190" i="19"/>
  <c r="I1190" i="19" s="1"/>
  <c r="D1190" i="19"/>
  <c r="J1190" i="19" s="1"/>
  <c r="E1190" i="19"/>
  <c r="K1190" i="19" s="1"/>
  <c r="A1191" i="19"/>
  <c r="G1191" i="19" s="1"/>
  <c r="B1191" i="19"/>
  <c r="H1191" i="19" s="1"/>
  <c r="C1191" i="19"/>
  <c r="I1191" i="19" s="1"/>
  <c r="D1191" i="19"/>
  <c r="J1191" i="19" s="1"/>
  <c r="E1191" i="19"/>
  <c r="K1191" i="19" s="1"/>
  <c r="A1192" i="19"/>
  <c r="G1192" i="19" s="1"/>
  <c r="B1192" i="19"/>
  <c r="H1192" i="19" s="1"/>
  <c r="C1192" i="19"/>
  <c r="I1192" i="19" s="1"/>
  <c r="D1192" i="19"/>
  <c r="J1192" i="19" s="1"/>
  <c r="E1192" i="19"/>
  <c r="K1192" i="19" s="1"/>
  <c r="A1193" i="19"/>
  <c r="G1193" i="19" s="1"/>
  <c r="B1193" i="19"/>
  <c r="H1193" i="19" s="1"/>
  <c r="C1193" i="19"/>
  <c r="I1193" i="19" s="1"/>
  <c r="D1193" i="19"/>
  <c r="J1193" i="19" s="1"/>
  <c r="E1193" i="19"/>
  <c r="K1193" i="19" s="1"/>
  <c r="A1194" i="19"/>
  <c r="G1194" i="19" s="1"/>
  <c r="B1194" i="19"/>
  <c r="H1194" i="19" s="1"/>
  <c r="C1194" i="19"/>
  <c r="I1194" i="19" s="1"/>
  <c r="D1194" i="19"/>
  <c r="J1194" i="19" s="1"/>
  <c r="E1194" i="19"/>
  <c r="K1194" i="19" s="1"/>
  <c r="A1195" i="19"/>
  <c r="G1195" i="19" s="1"/>
  <c r="B1195" i="19"/>
  <c r="H1195" i="19" s="1"/>
  <c r="C1195" i="19"/>
  <c r="I1195" i="19" s="1"/>
  <c r="D1195" i="19"/>
  <c r="J1195" i="19" s="1"/>
  <c r="E1195" i="19"/>
  <c r="K1195" i="19" s="1"/>
  <c r="A1196" i="19"/>
  <c r="G1196" i="19" s="1"/>
  <c r="B1196" i="19"/>
  <c r="H1196" i="19" s="1"/>
  <c r="C1196" i="19"/>
  <c r="I1196" i="19" s="1"/>
  <c r="D1196" i="19"/>
  <c r="J1196" i="19" s="1"/>
  <c r="E1196" i="19"/>
  <c r="K1196" i="19" s="1"/>
  <c r="A1197" i="19"/>
  <c r="G1197" i="19" s="1"/>
  <c r="B1197" i="19"/>
  <c r="H1197" i="19" s="1"/>
  <c r="C1197" i="19"/>
  <c r="I1197" i="19" s="1"/>
  <c r="D1197" i="19"/>
  <c r="J1197" i="19" s="1"/>
  <c r="E1197" i="19"/>
  <c r="K1197" i="19" s="1"/>
  <c r="A1198" i="19"/>
  <c r="G1198" i="19" s="1"/>
  <c r="B1198" i="19"/>
  <c r="H1198" i="19" s="1"/>
  <c r="C1198" i="19"/>
  <c r="I1198" i="19" s="1"/>
  <c r="D1198" i="19"/>
  <c r="J1198" i="19" s="1"/>
  <c r="E1198" i="19"/>
  <c r="K1198" i="19" s="1"/>
  <c r="A1199" i="19"/>
  <c r="G1199" i="19" s="1"/>
  <c r="B1199" i="19"/>
  <c r="H1199" i="19" s="1"/>
  <c r="C1199" i="19"/>
  <c r="I1199" i="19" s="1"/>
  <c r="D1199" i="19"/>
  <c r="J1199" i="19" s="1"/>
  <c r="E1199" i="19"/>
  <c r="K1199" i="19" s="1"/>
  <c r="A1200" i="19"/>
  <c r="G1200" i="19" s="1"/>
  <c r="B1200" i="19"/>
  <c r="H1200" i="19" s="1"/>
  <c r="C1200" i="19"/>
  <c r="I1200" i="19" s="1"/>
  <c r="D1200" i="19"/>
  <c r="J1200" i="19" s="1"/>
  <c r="E1200" i="19"/>
  <c r="K1200" i="19" s="1"/>
  <c r="A1201" i="19"/>
  <c r="G1201" i="19" s="1"/>
  <c r="B1201" i="19"/>
  <c r="H1201" i="19" s="1"/>
  <c r="C1201" i="19"/>
  <c r="I1201" i="19" s="1"/>
  <c r="D1201" i="19"/>
  <c r="J1201" i="19" s="1"/>
  <c r="E1201" i="19"/>
  <c r="K1201" i="19" s="1"/>
  <c r="A1202" i="19"/>
  <c r="G1202" i="19" s="1"/>
  <c r="B1202" i="19"/>
  <c r="H1202" i="19" s="1"/>
  <c r="C1202" i="19"/>
  <c r="I1202" i="19" s="1"/>
  <c r="D1202" i="19"/>
  <c r="J1202" i="19" s="1"/>
  <c r="E1202" i="19"/>
  <c r="K1202" i="19" s="1"/>
  <c r="A1203" i="19"/>
  <c r="G1203" i="19" s="1"/>
  <c r="B1203" i="19"/>
  <c r="H1203" i="19" s="1"/>
  <c r="C1203" i="19"/>
  <c r="I1203" i="19" s="1"/>
  <c r="D1203" i="19"/>
  <c r="J1203" i="19" s="1"/>
  <c r="E1203" i="19"/>
  <c r="K1203" i="19" s="1"/>
  <c r="A1204" i="19"/>
  <c r="G1204" i="19" s="1"/>
  <c r="B1204" i="19"/>
  <c r="H1204" i="19" s="1"/>
  <c r="C1204" i="19"/>
  <c r="I1204" i="19" s="1"/>
  <c r="D1204" i="19"/>
  <c r="J1204" i="19" s="1"/>
  <c r="E1204" i="19"/>
  <c r="K1204" i="19" s="1"/>
  <c r="A1205" i="19"/>
  <c r="G1205" i="19" s="1"/>
  <c r="B1205" i="19"/>
  <c r="H1205" i="19" s="1"/>
  <c r="C1205" i="19"/>
  <c r="I1205" i="19" s="1"/>
  <c r="D1205" i="19"/>
  <c r="J1205" i="19" s="1"/>
  <c r="E1205" i="19"/>
  <c r="K1205" i="19" s="1"/>
  <c r="A1206" i="19"/>
  <c r="G1206" i="19" s="1"/>
  <c r="B1206" i="19"/>
  <c r="H1206" i="19" s="1"/>
  <c r="C1206" i="19"/>
  <c r="I1206" i="19" s="1"/>
  <c r="D1206" i="19"/>
  <c r="J1206" i="19" s="1"/>
  <c r="E1206" i="19"/>
  <c r="K1206" i="19" s="1"/>
  <c r="A1207" i="19"/>
  <c r="G1207" i="19" s="1"/>
  <c r="B1207" i="19"/>
  <c r="H1207" i="19" s="1"/>
  <c r="C1207" i="19"/>
  <c r="I1207" i="19" s="1"/>
  <c r="D1207" i="19"/>
  <c r="J1207" i="19" s="1"/>
  <c r="E1207" i="19"/>
  <c r="K1207" i="19" s="1"/>
  <c r="A1208" i="19"/>
  <c r="G1208" i="19" s="1"/>
  <c r="B1208" i="19"/>
  <c r="H1208" i="19" s="1"/>
  <c r="C1208" i="19"/>
  <c r="I1208" i="19" s="1"/>
  <c r="D1208" i="19"/>
  <c r="J1208" i="19" s="1"/>
  <c r="E1208" i="19"/>
  <c r="K1208" i="19" s="1"/>
  <c r="A1209" i="19"/>
  <c r="G1209" i="19" s="1"/>
  <c r="B1209" i="19"/>
  <c r="H1209" i="19" s="1"/>
  <c r="C1209" i="19"/>
  <c r="I1209" i="19" s="1"/>
  <c r="D1209" i="19"/>
  <c r="J1209" i="19" s="1"/>
  <c r="E1209" i="19"/>
  <c r="K1209" i="19" s="1"/>
  <c r="A1210" i="19"/>
  <c r="G1210" i="19" s="1"/>
  <c r="B1210" i="19"/>
  <c r="H1210" i="19" s="1"/>
  <c r="C1210" i="19"/>
  <c r="I1210" i="19" s="1"/>
  <c r="D1210" i="19"/>
  <c r="J1210" i="19" s="1"/>
  <c r="E1210" i="19"/>
  <c r="K1210" i="19" s="1"/>
  <c r="A1211" i="19"/>
  <c r="G1211" i="19" s="1"/>
  <c r="B1211" i="19"/>
  <c r="H1211" i="19" s="1"/>
  <c r="C1211" i="19"/>
  <c r="I1211" i="19" s="1"/>
  <c r="D1211" i="19"/>
  <c r="J1211" i="19" s="1"/>
  <c r="E1211" i="19"/>
  <c r="K1211" i="19" s="1"/>
  <c r="A1212" i="19"/>
  <c r="G1212" i="19" s="1"/>
  <c r="B1212" i="19"/>
  <c r="H1212" i="19" s="1"/>
  <c r="C1212" i="19"/>
  <c r="I1212" i="19" s="1"/>
  <c r="D1212" i="19"/>
  <c r="J1212" i="19" s="1"/>
  <c r="E1212" i="19"/>
  <c r="K1212" i="19" s="1"/>
  <c r="A1213" i="19"/>
  <c r="G1213" i="19" s="1"/>
  <c r="B1213" i="19"/>
  <c r="H1213" i="19" s="1"/>
  <c r="C1213" i="19"/>
  <c r="I1213" i="19" s="1"/>
  <c r="D1213" i="19"/>
  <c r="J1213" i="19" s="1"/>
  <c r="E1213" i="19"/>
  <c r="K1213" i="19" s="1"/>
  <c r="A1214" i="19"/>
  <c r="G1214" i="19" s="1"/>
  <c r="B1214" i="19"/>
  <c r="H1214" i="19" s="1"/>
  <c r="C1214" i="19"/>
  <c r="I1214" i="19" s="1"/>
  <c r="D1214" i="19"/>
  <c r="J1214" i="19" s="1"/>
  <c r="E1214" i="19"/>
  <c r="K1214" i="19" s="1"/>
  <c r="A1215" i="19"/>
  <c r="G1215" i="19" s="1"/>
  <c r="B1215" i="19"/>
  <c r="H1215" i="19" s="1"/>
  <c r="C1215" i="19"/>
  <c r="I1215" i="19" s="1"/>
  <c r="D1215" i="19"/>
  <c r="J1215" i="19" s="1"/>
  <c r="E1215" i="19"/>
  <c r="K1215" i="19" s="1"/>
  <c r="A1216" i="19"/>
  <c r="G1216" i="19" s="1"/>
  <c r="B1216" i="19"/>
  <c r="H1216" i="19" s="1"/>
  <c r="C1216" i="19"/>
  <c r="I1216" i="19" s="1"/>
  <c r="D1216" i="19"/>
  <c r="J1216" i="19" s="1"/>
  <c r="E1216" i="19"/>
  <c r="K1216" i="19" s="1"/>
  <c r="A1217" i="19"/>
  <c r="G1217" i="19" s="1"/>
  <c r="B1217" i="19"/>
  <c r="H1217" i="19" s="1"/>
  <c r="C1217" i="19"/>
  <c r="I1217" i="19" s="1"/>
  <c r="D1217" i="19"/>
  <c r="J1217" i="19" s="1"/>
  <c r="E1217" i="19"/>
  <c r="K1217" i="19" s="1"/>
  <c r="A1218" i="19"/>
  <c r="G1218" i="19" s="1"/>
  <c r="B1218" i="19"/>
  <c r="H1218" i="19" s="1"/>
  <c r="C1218" i="19"/>
  <c r="I1218" i="19" s="1"/>
  <c r="D1218" i="19"/>
  <c r="J1218" i="19" s="1"/>
  <c r="E1218" i="19"/>
  <c r="K1218" i="19" s="1"/>
  <c r="A1219" i="19"/>
  <c r="G1219" i="19" s="1"/>
  <c r="B1219" i="19"/>
  <c r="H1219" i="19" s="1"/>
  <c r="C1219" i="19"/>
  <c r="I1219" i="19" s="1"/>
  <c r="D1219" i="19"/>
  <c r="J1219" i="19" s="1"/>
  <c r="E1219" i="19"/>
  <c r="K1219" i="19" s="1"/>
  <c r="A1220" i="19"/>
  <c r="G1220" i="19" s="1"/>
  <c r="B1220" i="19"/>
  <c r="H1220" i="19" s="1"/>
  <c r="C1220" i="19"/>
  <c r="I1220" i="19" s="1"/>
  <c r="D1220" i="19"/>
  <c r="J1220" i="19" s="1"/>
  <c r="E1220" i="19"/>
  <c r="K1220" i="19" s="1"/>
  <c r="A1221" i="19"/>
  <c r="G1221" i="19" s="1"/>
  <c r="B1221" i="19"/>
  <c r="H1221" i="19" s="1"/>
  <c r="C1221" i="19"/>
  <c r="I1221" i="19" s="1"/>
  <c r="D1221" i="19"/>
  <c r="J1221" i="19" s="1"/>
  <c r="E1221" i="19"/>
  <c r="K1221" i="19" s="1"/>
  <c r="A1222" i="19"/>
  <c r="G1222" i="19" s="1"/>
  <c r="B1222" i="19"/>
  <c r="H1222" i="19" s="1"/>
  <c r="C1222" i="19"/>
  <c r="I1222" i="19" s="1"/>
  <c r="D1222" i="19"/>
  <c r="J1222" i="19" s="1"/>
  <c r="E1222" i="19"/>
  <c r="K1222" i="19" s="1"/>
  <c r="A1223" i="19"/>
  <c r="G1223" i="19" s="1"/>
  <c r="B1223" i="19"/>
  <c r="H1223" i="19" s="1"/>
  <c r="C1223" i="19"/>
  <c r="I1223" i="19" s="1"/>
  <c r="D1223" i="19"/>
  <c r="J1223" i="19" s="1"/>
  <c r="E1223" i="19"/>
  <c r="K1223" i="19" s="1"/>
  <c r="A1224" i="19"/>
  <c r="G1224" i="19" s="1"/>
  <c r="B1224" i="19"/>
  <c r="H1224" i="19" s="1"/>
  <c r="C1224" i="19"/>
  <c r="I1224" i="19" s="1"/>
  <c r="D1224" i="19"/>
  <c r="J1224" i="19" s="1"/>
  <c r="E1224" i="19"/>
  <c r="K1224" i="19" s="1"/>
  <c r="A1225" i="19"/>
  <c r="G1225" i="19" s="1"/>
  <c r="B1225" i="19"/>
  <c r="H1225" i="19" s="1"/>
  <c r="C1225" i="19"/>
  <c r="I1225" i="19" s="1"/>
  <c r="D1225" i="19"/>
  <c r="J1225" i="19" s="1"/>
  <c r="E1225" i="19"/>
  <c r="K1225" i="19" s="1"/>
  <c r="A1226" i="19"/>
  <c r="G1226" i="19" s="1"/>
  <c r="B1226" i="19"/>
  <c r="H1226" i="19" s="1"/>
  <c r="C1226" i="19"/>
  <c r="I1226" i="19" s="1"/>
  <c r="D1226" i="19"/>
  <c r="J1226" i="19" s="1"/>
  <c r="E1226" i="19"/>
  <c r="K1226" i="19" s="1"/>
  <c r="A1227" i="19"/>
  <c r="G1227" i="19" s="1"/>
  <c r="B1227" i="19"/>
  <c r="H1227" i="19" s="1"/>
  <c r="C1227" i="19"/>
  <c r="I1227" i="19" s="1"/>
  <c r="D1227" i="19"/>
  <c r="J1227" i="19" s="1"/>
  <c r="E1227" i="19"/>
  <c r="K1227" i="19" s="1"/>
  <c r="A1228" i="19"/>
  <c r="G1228" i="19" s="1"/>
  <c r="B1228" i="19"/>
  <c r="H1228" i="19" s="1"/>
  <c r="C1228" i="19"/>
  <c r="I1228" i="19" s="1"/>
  <c r="D1228" i="19"/>
  <c r="J1228" i="19" s="1"/>
  <c r="E1228" i="19"/>
  <c r="K1228" i="19" s="1"/>
  <c r="A1229" i="19"/>
  <c r="G1229" i="19" s="1"/>
  <c r="B1229" i="19"/>
  <c r="H1229" i="19" s="1"/>
  <c r="C1229" i="19"/>
  <c r="I1229" i="19" s="1"/>
  <c r="D1229" i="19"/>
  <c r="J1229" i="19" s="1"/>
  <c r="E1229" i="19"/>
  <c r="K1229" i="19" s="1"/>
  <c r="A1230" i="19"/>
  <c r="G1230" i="19" s="1"/>
  <c r="B1230" i="19"/>
  <c r="H1230" i="19" s="1"/>
  <c r="C1230" i="19"/>
  <c r="I1230" i="19" s="1"/>
  <c r="D1230" i="19"/>
  <c r="J1230" i="19" s="1"/>
  <c r="E1230" i="19"/>
  <c r="K1230" i="19" s="1"/>
  <c r="A1231" i="19"/>
  <c r="G1231" i="19" s="1"/>
  <c r="B1231" i="19"/>
  <c r="H1231" i="19" s="1"/>
  <c r="C1231" i="19"/>
  <c r="I1231" i="19" s="1"/>
  <c r="D1231" i="19"/>
  <c r="J1231" i="19" s="1"/>
  <c r="E1231" i="19"/>
  <c r="K1231" i="19" s="1"/>
  <c r="A1232" i="19"/>
  <c r="G1232" i="19" s="1"/>
  <c r="B1232" i="19"/>
  <c r="H1232" i="19" s="1"/>
  <c r="C1232" i="19"/>
  <c r="I1232" i="19" s="1"/>
  <c r="D1232" i="19"/>
  <c r="J1232" i="19" s="1"/>
  <c r="E1232" i="19"/>
  <c r="K1232" i="19" s="1"/>
  <c r="A1233" i="19"/>
  <c r="G1233" i="19" s="1"/>
  <c r="B1233" i="19"/>
  <c r="H1233" i="19" s="1"/>
  <c r="C1233" i="19"/>
  <c r="I1233" i="19" s="1"/>
  <c r="D1233" i="19"/>
  <c r="J1233" i="19" s="1"/>
  <c r="E1233" i="19"/>
  <c r="K1233" i="19" s="1"/>
  <c r="A1234" i="19"/>
  <c r="G1234" i="19" s="1"/>
  <c r="B1234" i="19"/>
  <c r="H1234" i="19" s="1"/>
  <c r="C1234" i="19"/>
  <c r="I1234" i="19" s="1"/>
  <c r="D1234" i="19"/>
  <c r="J1234" i="19" s="1"/>
  <c r="E1234" i="19"/>
  <c r="K1234" i="19" s="1"/>
  <c r="A1235" i="19"/>
  <c r="G1235" i="19" s="1"/>
  <c r="B1235" i="19"/>
  <c r="H1235" i="19" s="1"/>
  <c r="C1235" i="19"/>
  <c r="I1235" i="19" s="1"/>
  <c r="D1235" i="19"/>
  <c r="J1235" i="19" s="1"/>
  <c r="E1235" i="19"/>
  <c r="K1235" i="19" s="1"/>
  <c r="A1236" i="19"/>
  <c r="G1236" i="19" s="1"/>
  <c r="B1236" i="19"/>
  <c r="H1236" i="19" s="1"/>
  <c r="C1236" i="19"/>
  <c r="I1236" i="19" s="1"/>
  <c r="D1236" i="19"/>
  <c r="J1236" i="19" s="1"/>
  <c r="E1236" i="19"/>
  <c r="K1236" i="19" s="1"/>
  <c r="A1237" i="19"/>
  <c r="G1237" i="19" s="1"/>
  <c r="B1237" i="19"/>
  <c r="H1237" i="19" s="1"/>
  <c r="C1237" i="19"/>
  <c r="I1237" i="19" s="1"/>
  <c r="D1237" i="19"/>
  <c r="J1237" i="19" s="1"/>
  <c r="E1237" i="19"/>
  <c r="K1237" i="19" s="1"/>
  <c r="A1238" i="19"/>
  <c r="G1238" i="19" s="1"/>
  <c r="B1238" i="19"/>
  <c r="H1238" i="19" s="1"/>
  <c r="C1238" i="19"/>
  <c r="I1238" i="19" s="1"/>
  <c r="D1238" i="19"/>
  <c r="J1238" i="19" s="1"/>
  <c r="E1238" i="19"/>
  <c r="K1238" i="19" s="1"/>
  <c r="A1239" i="19"/>
  <c r="G1239" i="19" s="1"/>
  <c r="B1239" i="19"/>
  <c r="H1239" i="19" s="1"/>
  <c r="C1239" i="19"/>
  <c r="I1239" i="19" s="1"/>
  <c r="D1239" i="19"/>
  <c r="J1239" i="19" s="1"/>
  <c r="E1239" i="19"/>
  <c r="K1239" i="19" s="1"/>
  <c r="A1240" i="19"/>
  <c r="G1240" i="19" s="1"/>
  <c r="B1240" i="19"/>
  <c r="H1240" i="19" s="1"/>
  <c r="C1240" i="19"/>
  <c r="I1240" i="19" s="1"/>
  <c r="D1240" i="19"/>
  <c r="J1240" i="19" s="1"/>
  <c r="E1240" i="19"/>
  <c r="K1240" i="19" s="1"/>
  <c r="A1241" i="19"/>
  <c r="G1241" i="19" s="1"/>
  <c r="B1241" i="19"/>
  <c r="H1241" i="19" s="1"/>
  <c r="C1241" i="19"/>
  <c r="I1241" i="19" s="1"/>
  <c r="D1241" i="19"/>
  <c r="J1241" i="19" s="1"/>
  <c r="E1241" i="19"/>
  <c r="K1241" i="19" s="1"/>
  <c r="A1242" i="19"/>
  <c r="G1242" i="19" s="1"/>
  <c r="B1242" i="19"/>
  <c r="H1242" i="19" s="1"/>
  <c r="C1242" i="19"/>
  <c r="I1242" i="19" s="1"/>
  <c r="D1242" i="19"/>
  <c r="J1242" i="19" s="1"/>
  <c r="E1242" i="19"/>
  <c r="K1242" i="19" s="1"/>
  <c r="A1243" i="19"/>
  <c r="G1243" i="19" s="1"/>
  <c r="B1243" i="19"/>
  <c r="H1243" i="19" s="1"/>
  <c r="C1243" i="19"/>
  <c r="I1243" i="19" s="1"/>
  <c r="D1243" i="19"/>
  <c r="J1243" i="19" s="1"/>
  <c r="E1243" i="19"/>
  <c r="K1243" i="19" s="1"/>
  <c r="A1244" i="19"/>
  <c r="G1244" i="19" s="1"/>
  <c r="B1244" i="19"/>
  <c r="H1244" i="19" s="1"/>
  <c r="C1244" i="19"/>
  <c r="I1244" i="19" s="1"/>
  <c r="D1244" i="19"/>
  <c r="J1244" i="19" s="1"/>
  <c r="E1244" i="19"/>
  <c r="K1244" i="19" s="1"/>
  <c r="A1245" i="19"/>
  <c r="G1245" i="19" s="1"/>
  <c r="B1245" i="19"/>
  <c r="H1245" i="19" s="1"/>
  <c r="C1245" i="19"/>
  <c r="I1245" i="19" s="1"/>
  <c r="D1245" i="19"/>
  <c r="J1245" i="19" s="1"/>
  <c r="E1245" i="19"/>
  <c r="K1245" i="19" s="1"/>
  <c r="A1246" i="19"/>
  <c r="G1246" i="19" s="1"/>
  <c r="B1246" i="19"/>
  <c r="H1246" i="19" s="1"/>
  <c r="C1246" i="19"/>
  <c r="I1246" i="19" s="1"/>
  <c r="D1246" i="19"/>
  <c r="J1246" i="19" s="1"/>
  <c r="E1246" i="19"/>
  <c r="K1246" i="19" s="1"/>
  <c r="A1247" i="19"/>
  <c r="G1247" i="19" s="1"/>
  <c r="B1247" i="19"/>
  <c r="H1247" i="19" s="1"/>
  <c r="C1247" i="19"/>
  <c r="I1247" i="19" s="1"/>
  <c r="D1247" i="19"/>
  <c r="J1247" i="19" s="1"/>
  <c r="E1247" i="19"/>
  <c r="K1247" i="19" s="1"/>
  <c r="A1248" i="19"/>
  <c r="G1248" i="19" s="1"/>
  <c r="B1248" i="19"/>
  <c r="H1248" i="19" s="1"/>
  <c r="C1248" i="19"/>
  <c r="I1248" i="19" s="1"/>
  <c r="D1248" i="19"/>
  <c r="J1248" i="19" s="1"/>
  <c r="E1248" i="19"/>
  <c r="K1248" i="19" s="1"/>
  <c r="A1249" i="19"/>
  <c r="G1249" i="19" s="1"/>
  <c r="B1249" i="19"/>
  <c r="H1249" i="19" s="1"/>
  <c r="C1249" i="19"/>
  <c r="I1249" i="19" s="1"/>
  <c r="D1249" i="19"/>
  <c r="J1249" i="19" s="1"/>
  <c r="E1249" i="19"/>
  <c r="K1249" i="19" s="1"/>
  <c r="A1250" i="19"/>
  <c r="G1250" i="19" s="1"/>
  <c r="B1250" i="19"/>
  <c r="H1250" i="19" s="1"/>
  <c r="C1250" i="19"/>
  <c r="I1250" i="19" s="1"/>
  <c r="D1250" i="19"/>
  <c r="J1250" i="19" s="1"/>
  <c r="E1250" i="19"/>
  <c r="K1250" i="19" s="1"/>
  <c r="A1251" i="19"/>
  <c r="G1251" i="19" s="1"/>
  <c r="B1251" i="19"/>
  <c r="H1251" i="19" s="1"/>
  <c r="C1251" i="19"/>
  <c r="I1251" i="19" s="1"/>
  <c r="D1251" i="19"/>
  <c r="J1251" i="19" s="1"/>
  <c r="E1251" i="19"/>
  <c r="K1251" i="19" s="1"/>
  <c r="A1252" i="19"/>
  <c r="G1252" i="19" s="1"/>
  <c r="B1252" i="19"/>
  <c r="H1252" i="19" s="1"/>
  <c r="C1252" i="19"/>
  <c r="I1252" i="19" s="1"/>
  <c r="D1252" i="19"/>
  <c r="J1252" i="19" s="1"/>
  <c r="E1252" i="19"/>
  <c r="K1252" i="19" s="1"/>
  <c r="A1253" i="19"/>
  <c r="G1253" i="19" s="1"/>
  <c r="B1253" i="19"/>
  <c r="H1253" i="19" s="1"/>
  <c r="C1253" i="19"/>
  <c r="I1253" i="19" s="1"/>
  <c r="D1253" i="19"/>
  <c r="J1253" i="19" s="1"/>
  <c r="E1253" i="19"/>
  <c r="K1253" i="19" s="1"/>
  <c r="A1254" i="19"/>
  <c r="G1254" i="19" s="1"/>
  <c r="B1254" i="19"/>
  <c r="H1254" i="19" s="1"/>
  <c r="C1254" i="19"/>
  <c r="I1254" i="19" s="1"/>
  <c r="D1254" i="19"/>
  <c r="J1254" i="19" s="1"/>
  <c r="E1254" i="19"/>
  <c r="K1254" i="19" s="1"/>
  <c r="A1255" i="19"/>
  <c r="G1255" i="19" s="1"/>
  <c r="B1255" i="19"/>
  <c r="H1255" i="19" s="1"/>
  <c r="C1255" i="19"/>
  <c r="I1255" i="19" s="1"/>
  <c r="D1255" i="19"/>
  <c r="J1255" i="19" s="1"/>
  <c r="E1255" i="19"/>
  <c r="K1255" i="19" s="1"/>
  <c r="A1256" i="19"/>
  <c r="G1256" i="19" s="1"/>
  <c r="B1256" i="19"/>
  <c r="H1256" i="19" s="1"/>
  <c r="C1256" i="19"/>
  <c r="I1256" i="19" s="1"/>
  <c r="D1256" i="19"/>
  <c r="J1256" i="19" s="1"/>
  <c r="E1256" i="19"/>
  <c r="K1256" i="19" s="1"/>
  <c r="A1257" i="19"/>
  <c r="G1257" i="19" s="1"/>
  <c r="B1257" i="19"/>
  <c r="H1257" i="19" s="1"/>
  <c r="C1257" i="19"/>
  <c r="I1257" i="19" s="1"/>
  <c r="D1257" i="19"/>
  <c r="J1257" i="19" s="1"/>
  <c r="E1257" i="19"/>
  <c r="K1257" i="19" s="1"/>
  <c r="A1258" i="19"/>
  <c r="G1258" i="19" s="1"/>
  <c r="B1258" i="19"/>
  <c r="H1258" i="19" s="1"/>
  <c r="C1258" i="19"/>
  <c r="I1258" i="19" s="1"/>
  <c r="D1258" i="19"/>
  <c r="J1258" i="19" s="1"/>
  <c r="E1258" i="19"/>
  <c r="K1258" i="19" s="1"/>
  <c r="A1259" i="19"/>
  <c r="G1259" i="19" s="1"/>
  <c r="B1259" i="19"/>
  <c r="H1259" i="19" s="1"/>
  <c r="C1259" i="19"/>
  <c r="I1259" i="19" s="1"/>
  <c r="D1259" i="19"/>
  <c r="J1259" i="19" s="1"/>
  <c r="E1259" i="19"/>
  <c r="K1259" i="19" s="1"/>
  <c r="A1260" i="19"/>
  <c r="G1260" i="19" s="1"/>
  <c r="B1260" i="19"/>
  <c r="H1260" i="19" s="1"/>
  <c r="C1260" i="19"/>
  <c r="I1260" i="19" s="1"/>
  <c r="D1260" i="19"/>
  <c r="J1260" i="19" s="1"/>
  <c r="E1260" i="19"/>
  <c r="K1260" i="19" s="1"/>
  <c r="A1261" i="19"/>
  <c r="G1261" i="19" s="1"/>
  <c r="B1261" i="19"/>
  <c r="H1261" i="19" s="1"/>
  <c r="C1261" i="19"/>
  <c r="I1261" i="19" s="1"/>
  <c r="D1261" i="19"/>
  <c r="J1261" i="19" s="1"/>
  <c r="E1261" i="19"/>
  <c r="K1261" i="19" s="1"/>
  <c r="A1262" i="19"/>
  <c r="G1262" i="19" s="1"/>
  <c r="B1262" i="19"/>
  <c r="H1262" i="19" s="1"/>
  <c r="C1262" i="19"/>
  <c r="I1262" i="19" s="1"/>
  <c r="D1262" i="19"/>
  <c r="J1262" i="19" s="1"/>
  <c r="E1262" i="19"/>
  <c r="K1262" i="19" s="1"/>
  <c r="A1263" i="19"/>
  <c r="G1263" i="19" s="1"/>
  <c r="B1263" i="19"/>
  <c r="H1263" i="19" s="1"/>
  <c r="C1263" i="19"/>
  <c r="I1263" i="19" s="1"/>
  <c r="D1263" i="19"/>
  <c r="J1263" i="19" s="1"/>
  <c r="E1263" i="19"/>
  <c r="K1263" i="19" s="1"/>
  <c r="A1264" i="19"/>
  <c r="G1264" i="19" s="1"/>
  <c r="B1264" i="19"/>
  <c r="H1264" i="19" s="1"/>
  <c r="C1264" i="19"/>
  <c r="I1264" i="19" s="1"/>
  <c r="D1264" i="19"/>
  <c r="J1264" i="19" s="1"/>
  <c r="E1264" i="19"/>
  <c r="K1264" i="19" s="1"/>
  <c r="A1265" i="19"/>
  <c r="G1265" i="19" s="1"/>
  <c r="B1265" i="19"/>
  <c r="H1265" i="19" s="1"/>
  <c r="C1265" i="19"/>
  <c r="I1265" i="19" s="1"/>
  <c r="D1265" i="19"/>
  <c r="J1265" i="19" s="1"/>
  <c r="E1265" i="19"/>
  <c r="K1265" i="19" s="1"/>
  <c r="A1266" i="19"/>
  <c r="G1266" i="19" s="1"/>
  <c r="B1266" i="19"/>
  <c r="H1266" i="19" s="1"/>
  <c r="C1266" i="19"/>
  <c r="I1266" i="19" s="1"/>
  <c r="D1266" i="19"/>
  <c r="J1266" i="19" s="1"/>
  <c r="E1266" i="19"/>
  <c r="K1266" i="19" s="1"/>
  <c r="A1267" i="19"/>
  <c r="G1267" i="19" s="1"/>
  <c r="B1267" i="19"/>
  <c r="H1267" i="19" s="1"/>
  <c r="C1267" i="19"/>
  <c r="I1267" i="19" s="1"/>
  <c r="D1267" i="19"/>
  <c r="J1267" i="19" s="1"/>
  <c r="E1267" i="19"/>
  <c r="K1267" i="19" s="1"/>
  <c r="A1268" i="19"/>
  <c r="G1268" i="19" s="1"/>
  <c r="B1268" i="19"/>
  <c r="H1268" i="19" s="1"/>
  <c r="C1268" i="19"/>
  <c r="I1268" i="19" s="1"/>
  <c r="D1268" i="19"/>
  <c r="J1268" i="19" s="1"/>
  <c r="E1268" i="19"/>
  <c r="K1268" i="19" s="1"/>
  <c r="A1269" i="19"/>
  <c r="G1269" i="19" s="1"/>
  <c r="B1269" i="19"/>
  <c r="H1269" i="19" s="1"/>
  <c r="C1269" i="19"/>
  <c r="I1269" i="19" s="1"/>
  <c r="D1269" i="19"/>
  <c r="J1269" i="19" s="1"/>
  <c r="E1269" i="19"/>
  <c r="K1269" i="19" s="1"/>
  <c r="A1270" i="19"/>
  <c r="G1270" i="19" s="1"/>
  <c r="B1270" i="19"/>
  <c r="H1270" i="19" s="1"/>
  <c r="C1270" i="19"/>
  <c r="I1270" i="19" s="1"/>
  <c r="D1270" i="19"/>
  <c r="J1270" i="19" s="1"/>
  <c r="E1270" i="19"/>
  <c r="K1270" i="19" s="1"/>
  <c r="A1271" i="19"/>
  <c r="G1271" i="19" s="1"/>
  <c r="B1271" i="19"/>
  <c r="H1271" i="19" s="1"/>
  <c r="C1271" i="19"/>
  <c r="I1271" i="19" s="1"/>
  <c r="D1271" i="19"/>
  <c r="J1271" i="19" s="1"/>
  <c r="E1271" i="19"/>
  <c r="K1271" i="19" s="1"/>
  <c r="A1272" i="19"/>
  <c r="G1272" i="19" s="1"/>
  <c r="B1272" i="19"/>
  <c r="H1272" i="19" s="1"/>
  <c r="C1272" i="19"/>
  <c r="I1272" i="19" s="1"/>
  <c r="D1272" i="19"/>
  <c r="J1272" i="19" s="1"/>
  <c r="E1272" i="19"/>
  <c r="K1272" i="19" s="1"/>
  <c r="A1273" i="19"/>
  <c r="G1273" i="19" s="1"/>
  <c r="B1273" i="19"/>
  <c r="H1273" i="19" s="1"/>
  <c r="C1273" i="19"/>
  <c r="I1273" i="19" s="1"/>
  <c r="D1273" i="19"/>
  <c r="J1273" i="19" s="1"/>
  <c r="E1273" i="19"/>
  <c r="K1273" i="19" s="1"/>
  <c r="A1274" i="19"/>
  <c r="G1274" i="19" s="1"/>
  <c r="B1274" i="19"/>
  <c r="H1274" i="19" s="1"/>
  <c r="C1274" i="19"/>
  <c r="I1274" i="19" s="1"/>
  <c r="D1274" i="19"/>
  <c r="J1274" i="19" s="1"/>
  <c r="E1274" i="19"/>
  <c r="K1274" i="19" s="1"/>
  <c r="A1275" i="19"/>
  <c r="G1275" i="19" s="1"/>
  <c r="B1275" i="19"/>
  <c r="H1275" i="19" s="1"/>
  <c r="C1275" i="19"/>
  <c r="I1275" i="19" s="1"/>
  <c r="D1275" i="19"/>
  <c r="J1275" i="19" s="1"/>
  <c r="E1275" i="19"/>
  <c r="K1275" i="19" s="1"/>
  <c r="A1276" i="19"/>
  <c r="G1276" i="19" s="1"/>
  <c r="B1276" i="19"/>
  <c r="H1276" i="19" s="1"/>
  <c r="C1276" i="19"/>
  <c r="I1276" i="19" s="1"/>
  <c r="D1276" i="19"/>
  <c r="J1276" i="19" s="1"/>
  <c r="E1276" i="19"/>
  <c r="K1276" i="19" s="1"/>
  <c r="A1277" i="19"/>
  <c r="G1277" i="19" s="1"/>
  <c r="B1277" i="19"/>
  <c r="H1277" i="19" s="1"/>
  <c r="C1277" i="19"/>
  <c r="I1277" i="19" s="1"/>
  <c r="D1277" i="19"/>
  <c r="J1277" i="19" s="1"/>
  <c r="E1277" i="19"/>
  <c r="K1277" i="19" s="1"/>
  <c r="A1278" i="19"/>
  <c r="G1278" i="19" s="1"/>
  <c r="B1278" i="19"/>
  <c r="H1278" i="19" s="1"/>
  <c r="C1278" i="19"/>
  <c r="I1278" i="19" s="1"/>
  <c r="D1278" i="19"/>
  <c r="J1278" i="19" s="1"/>
  <c r="E1278" i="19"/>
  <c r="K1278" i="19" s="1"/>
  <c r="A1279" i="19"/>
  <c r="G1279" i="19" s="1"/>
  <c r="B1279" i="19"/>
  <c r="H1279" i="19" s="1"/>
  <c r="C1279" i="19"/>
  <c r="I1279" i="19" s="1"/>
  <c r="D1279" i="19"/>
  <c r="J1279" i="19" s="1"/>
  <c r="E1279" i="19"/>
  <c r="K1279" i="19" s="1"/>
  <c r="A1280" i="19"/>
  <c r="G1280" i="19" s="1"/>
  <c r="B1280" i="19"/>
  <c r="H1280" i="19" s="1"/>
  <c r="C1280" i="19"/>
  <c r="I1280" i="19" s="1"/>
  <c r="D1280" i="19"/>
  <c r="J1280" i="19" s="1"/>
  <c r="E1280" i="19"/>
  <c r="K1280" i="19" s="1"/>
  <c r="A1281" i="19"/>
  <c r="G1281" i="19" s="1"/>
  <c r="B1281" i="19"/>
  <c r="H1281" i="19" s="1"/>
  <c r="C1281" i="19"/>
  <c r="I1281" i="19" s="1"/>
  <c r="D1281" i="19"/>
  <c r="J1281" i="19" s="1"/>
  <c r="E1281" i="19"/>
  <c r="K1281" i="19" s="1"/>
  <c r="A1282" i="19"/>
  <c r="G1282" i="19" s="1"/>
  <c r="B1282" i="19"/>
  <c r="H1282" i="19" s="1"/>
  <c r="C1282" i="19"/>
  <c r="I1282" i="19" s="1"/>
  <c r="D1282" i="19"/>
  <c r="J1282" i="19" s="1"/>
  <c r="E1282" i="19"/>
  <c r="K1282" i="19" s="1"/>
  <c r="A1283" i="19"/>
  <c r="G1283" i="19" s="1"/>
  <c r="B1283" i="19"/>
  <c r="H1283" i="19" s="1"/>
  <c r="C1283" i="19"/>
  <c r="I1283" i="19" s="1"/>
  <c r="D1283" i="19"/>
  <c r="J1283" i="19" s="1"/>
  <c r="E1283" i="19"/>
  <c r="K1283" i="19" s="1"/>
  <c r="A1284" i="19"/>
  <c r="G1284" i="19" s="1"/>
  <c r="B1284" i="19"/>
  <c r="H1284" i="19" s="1"/>
  <c r="C1284" i="19"/>
  <c r="I1284" i="19" s="1"/>
  <c r="D1284" i="19"/>
  <c r="J1284" i="19" s="1"/>
  <c r="E1284" i="19"/>
  <c r="K1284" i="19" s="1"/>
  <c r="A1285" i="19"/>
  <c r="G1285" i="19" s="1"/>
  <c r="B1285" i="19"/>
  <c r="H1285" i="19" s="1"/>
  <c r="C1285" i="19"/>
  <c r="I1285" i="19" s="1"/>
  <c r="D1285" i="19"/>
  <c r="J1285" i="19" s="1"/>
  <c r="E1285" i="19"/>
  <c r="K1285" i="19" s="1"/>
  <c r="A1286" i="19"/>
  <c r="G1286" i="19" s="1"/>
  <c r="B1286" i="19"/>
  <c r="H1286" i="19" s="1"/>
  <c r="C1286" i="19"/>
  <c r="I1286" i="19" s="1"/>
  <c r="D1286" i="19"/>
  <c r="J1286" i="19" s="1"/>
  <c r="E1286" i="19"/>
  <c r="K1286" i="19" s="1"/>
  <c r="A1287" i="19"/>
  <c r="G1287" i="19" s="1"/>
  <c r="B1287" i="19"/>
  <c r="H1287" i="19" s="1"/>
  <c r="C1287" i="19"/>
  <c r="I1287" i="19" s="1"/>
  <c r="D1287" i="19"/>
  <c r="J1287" i="19" s="1"/>
  <c r="E1287" i="19"/>
  <c r="K1287" i="19" s="1"/>
  <c r="A1288" i="19"/>
  <c r="G1288" i="19" s="1"/>
  <c r="B1288" i="19"/>
  <c r="H1288" i="19" s="1"/>
  <c r="C1288" i="19"/>
  <c r="I1288" i="19" s="1"/>
  <c r="D1288" i="19"/>
  <c r="J1288" i="19" s="1"/>
  <c r="E1288" i="19"/>
  <c r="K1288" i="19" s="1"/>
  <c r="A1289" i="19"/>
  <c r="G1289" i="19" s="1"/>
  <c r="B1289" i="19"/>
  <c r="H1289" i="19" s="1"/>
  <c r="C1289" i="19"/>
  <c r="I1289" i="19" s="1"/>
  <c r="D1289" i="19"/>
  <c r="J1289" i="19" s="1"/>
  <c r="E1289" i="19"/>
  <c r="K1289" i="19" s="1"/>
  <c r="A1290" i="19"/>
  <c r="G1290" i="19" s="1"/>
  <c r="B1290" i="19"/>
  <c r="H1290" i="19" s="1"/>
  <c r="C1290" i="19"/>
  <c r="I1290" i="19" s="1"/>
  <c r="D1290" i="19"/>
  <c r="J1290" i="19" s="1"/>
  <c r="E1290" i="19"/>
  <c r="K1290" i="19" s="1"/>
  <c r="A1291" i="19"/>
  <c r="G1291" i="19" s="1"/>
  <c r="B1291" i="19"/>
  <c r="H1291" i="19" s="1"/>
  <c r="C1291" i="19"/>
  <c r="I1291" i="19" s="1"/>
  <c r="D1291" i="19"/>
  <c r="J1291" i="19" s="1"/>
  <c r="E1291" i="19"/>
  <c r="K1291" i="19" s="1"/>
  <c r="A1292" i="19"/>
  <c r="G1292" i="19" s="1"/>
  <c r="B1292" i="19"/>
  <c r="H1292" i="19" s="1"/>
  <c r="C1292" i="19"/>
  <c r="I1292" i="19" s="1"/>
  <c r="D1292" i="19"/>
  <c r="J1292" i="19" s="1"/>
  <c r="E1292" i="19"/>
  <c r="K1292" i="19" s="1"/>
  <c r="A1293" i="19"/>
  <c r="G1293" i="19" s="1"/>
  <c r="B1293" i="19"/>
  <c r="H1293" i="19" s="1"/>
  <c r="C1293" i="19"/>
  <c r="I1293" i="19" s="1"/>
  <c r="D1293" i="19"/>
  <c r="J1293" i="19" s="1"/>
  <c r="E1293" i="19"/>
  <c r="K1293" i="19" s="1"/>
  <c r="A1294" i="19"/>
  <c r="G1294" i="19" s="1"/>
  <c r="B1294" i="19"/>
  <c r="H1294" i="19" s="1"/>
  <c r="C1294" i="19"/>
  <c r="I1294" i="19" s="1"/>
  <c r="D1294" i="19"/>
  <c r="J1294" i="19" s="1"/>
  <c r="E1294" i="19"/>
  <c r="K1294" i="19" s="1"/>
  <c r="A1295" i="19"/>
  <c r="G1295" i="19" s="1"/>
  <c r="B1295" i="19"/>
  <c r="H1295" i="19" s="1"/>
  <c r="C1295" i="19"/>
  <c r="I1295" i="19" s="1"/>
  <c r="D1295" i="19"/>
  <c r="J1295" i="19" s="1"/>
  <c r="E1295" i="19"/>
  <c r="K1295" i="19" s="1"/>
  <c r="A1296" i="19"/>
  <c r="G1296" i="19" s="1"/>
  <c r="B1296" i="19"/>
  <c r="H1296" i="19" s="1"/>
  <c r="C1296" i="19"/>
  <c r="I1296" i="19" s="1"/>
  <c r="D1296" i="19"/>
  <c r="J1296" i="19" s="1"/>
  <c r="E1296" i="19"/>
  <c r="K1296" i="19" s="1"/>
  <c r="A1297" i="19"/>
  <c r="G1297" i="19" s="1"/>
  <c r="B1297" i="19"/>
  <c r="H1297" i="19" s="1"/>
  <c r="C1297" i="19"/>
  <c r="I1297" i="19" s="1"/>
  <c r="D1297" i="19"/>
  <c r="J1297" i="19" s="1"/>
  <c r="E1297" i="19"/>
  <c r="K1297" i="19" s="1"/>
  <c r="A1298" i="19"/>
  <c r="G1298" i="19" s="1"/>
  <c r="B1298" i="19"/>
  <c r="H1298" i="19" s="1"/>
  <c r="C1298" i="19"/>
  <c r="I1298" i="19" s="1"/>
  <c r="D1298" i="19"/>
  <c r="J1298" i="19" s="1"/>
  <c r="E1298" i="19"/>
  <c r="K1298" i="19" s="1"/>
  <c r="A1299" i="19"/>
  <c r="G1299" i="19" s="1"/>
  <c r="B1299" i="19"/>
  <c r="H1299" i="19" s="1"/>
  <c r="C1299" i="19"/>
  <c r="I1299" i="19" s="1"/>
  <c r="D1299" i="19"/>
  <c r="J1299" i="19" s="1"/>
  <c r="E1299" i="19"/>
  <c r="K1299" i="19" s="1"/>
  <c r="A1300" i="19"/>
  <c r="G1300" i="19" s="1"/>
  <c r="B1300" i="19"/>
  <c r="H1300" i="19" s="1"/>
  <c r="C1300" i="19"/>
  <c r="I1300" i="19" s="1"/>
  <c r="D1300" i="19"/>
  <c r="J1300" i="19" s="1"/>
  <c r="E1300" i="19"/>
  <c r="K1300" i="19" s="1"/>
  <c r="A1301" i="19"/>
  <c r="G1301" i="19" s="1"/>
  <c r="B1301" i="19"/>
  <c r="H1301" i="19" s="1"/>
  <c r="C1301" i="19"/>
  <c r="I1301" i="19" s="1"/>
  <c r="D1301" i="19"/>
  <c r="J1301" i="19" s="1"/>
  <c r="E1301" i="19"/>
  <c r="K1301" i="19" s="1"/>
  <c r="A1302" i="19"/>
  <c r="G1302" i="19" s="1"/>
  <c r="B1302" i="19"/>
  <c r="H1302" i="19" s="1"/>
  <c r="C1302" i="19"/>
  <c r="I1302" i="19" s="1"/>
  <c r="D1302" i="19"/>
  <c r="J1302" i="19" s="1"/>
  <c r="E1302" i="19"/>
  <c r="K1302" i="19" s="1"/>
  <c r="A1303" i="19"/>
  <c r="G1303" i="19" s="1"/>
  <c r="B1303" i="19"/>
  <c r="H1303" i="19" s="1"/>
  <c r="C1303" i="19"/>
  <c r="I1303" i="19" s="1"/>
  <c r="D1303" i="19"/>
  <c r="J1303" i="19" s="1"/>
  <c r="E1303" i="19"/>
  <c r="K1303" i="19" s="1"/>
  <c r="A1304" i="19"/>
  <c r="G1304" i="19" s="1"/>
  <c r="B1304" i="19"/>
  <c r="H1304" i="19" s="1"/>
  <c r="C1304" i="19"/>
  <c r="I1304" i="19" s="1"/>
  <c r="D1304" i="19"/>
  <c r="J1304" i="19" s="1"/>
  <c r="E1304" i="19"/>
  <c r="K1304" i="19" s="1"/>
  <c r="A1305" i="19"/>
  <c r="G1305" i="19" s="1"/>
  <c r="B1305" i="19"/>
  <c r="H1305" i="19" s="1"/>
  <c r="C1305" i="19"/>
  <c r="I1305" i="19" s="1"/>
  <c r="D1305" i="19"/>
  <c r="J1305" i="19" s="1"/>
  <c r="E1305" i="19"/>
  <c r="K1305" i="19" s="1"/>
  <c r="A1306" i="19"/>
  <c r="G1306" i="19" s="1"/>
  <c r="B1306" i="19"/>
  <c r="H1306" i="19" s="1"/>
  <c r="C1306" i="19"/>
  <c r="I1306" i="19" s="1"/>
  <c r="D1306" i="19"/>
  <c r="J1306" i="19" s="1"/>
  <c r="E1306" i="19"/>
  <c r="K1306" i="19" s="1"/>
  <c r="A1307" i="19"/>
  <c r="G1307" i="19" s="1"/>
  <c r="B1307" i="19"/>
  <c r="H1307" i="19" s="1"/>
  <c r="C1307" i="19"/>
  <c r="I1307" i="19" s="1"/>
  <c r="D1307" i="19"/>
  <c r="J1307" i="19" s="1"/>
  <c r="E1307" i="19"/>
  <c r="K1307" i="19" s="1"/>
  <c r="A1308" i="19"/>
  <c r="G1308" i="19" s="1"/>
  <c r="B1308" i="19"/>
  <c r="H1308" i="19" s="1"/>
  <c r="C1308" i="19"/>
  <c r="I1308" i="19" s="1"/>
  <c r="D1308" i="19"/>
  <c r="J1308" i="19" s="1"/>
  <c r="E1308" i="19"/>
  <c r="K1308" i="19" s="1"/>
  <c r="A1309" i="19"/>
  <c r="G1309" i="19" s="1"/>
  <c r="B1309" i="19"/>
  <c r="H1309" i="19" s="1"/>
  <c r="C1309" i="19"/>
  <c r="I1309" i="19" s="1"/>
  <c r="D1309" i="19"/>
  <c r="J1309" i="19" s="1"/>
  <c r="E1309" i="19"/>
  <c r="K1309" i="19" s="1"/>
  <c r="A1310" i="19"/>
  <c r="G1310" i="19" s="1"/>
  <c r="B1310" i="19"/>
  <c r="H1310" i="19" s="1"/>
  <c r="C1310" i="19"/>
  <c r="I1310" i="19" s="1"/>
  <c r="D1310" i="19"/>
  <c r="J1310" i="19" s="1"/>
  <c r="E1310" i="19"/>
  <c r="K1310" i="19" s="1"/>
  <c r="A1311" i="19"/>
  <c r="G1311" i="19" s="1"/>
  <c r="B1311" i="19"/>
  <c r="H1311" i="19" s="1"/>
  <c r="C1311" i="19"/>
  <c r="I1311" i="19" s="1"/>
  <c r="D1311" i="19"/>
  <c r="J1311" i="19" s="1"/>
  <c r="E1311" i="19"/>
  <c r="K1311" i="19" s="1"/>
  <c r="A1312" i="19"/>
  <c r="G1312" i="19" s="1"/>
  <c r="B1312" i="19"/>
  <c r="H1312" i="19" s="1"/>
  <c r="C1312" i="19"/>
  <c r="I1312" i="19" s="1"/>
  <c r="D1312" i="19"/>
  <c r="J1312" i="19" s="1"/>
  <c r="E1312" i="19"/>
  <c r="K1312" i="19" s="1"/>
  <c r="A1313" i="19"/>
  <c r="G1313" i="19" s="1"/>
  <c r="B1313" i="19"/>
  <c r="H1313" i="19" s="1"/>
  <c r="C1313" i="19"/>
  <c r="I1313" i="19" s="1"/>
  <c r="D1313" i="19"/>
  <c r="J1313" i="19" s="1"/>
  <c r="E1313" i="19"/>
  <c r="K1313" i="19" s="1"/>
  <c r="A1314" i="19"/>
  <c r="G1314" i="19" s="1"/>
  <c r="B1314" i="19"/>
  <c r="H1314" i="19" s="1"/>
  <c r="C1314" i="19"/>
  <c r="I1314" i="19" s="1"/>
  <c r="D1314" i="19"/>
  <c r="J1314" i="19" s="1"/>
  <c r="E1314" i="19"/>
  <c r="K1314" i="19" s="1"/>
  <c r="A1315" i="19"/>
  <c r="G1315" i="19" s="1"/>
  <c r="B1315" i="19"/>
  <c r="H1315" i="19" s="1"/>
  <c r="C1315" i="19"/>
  <c r="I1315" i="19" s="1"/>
  <c r="D1315" i="19"/>
  <c r="J1315" i="19" s="1"/>
  <c r="E1315" i="19"/>
  <c r="K1315" i="19" s="1"/>
  <c r="A1316" i="19"/>
  <c r="G1316" i="19" s="1"/>
  <c r="B1316" i="19"/>
  <c r="H1316" i="19" s="1"/>
  <c r="C1316" i="19"/>
  <c r="I1316" i="19" s="1"/>
  <c r="D1316" i="19"/>
  <c r="J1316" i="19" s="1"/>
  <c r="E1316" i="19"/>
  <c r="K1316" i="19" s="1"/>
  <c r="A1317" i="19"/>
  <c r="G1317" i="19" s="1"/>
  <c r="B1317" i="19"/>
  <c r="H1317" i="19" s="1"/>
  <c r="C1317" i="19"/>
  <c r="I1317" i="19" s="1"/>
  <c r="D1317" i="19"/>
  <c r="J1317" i="19" s="1"/>
  <c r="E1317" i="19"/>
  <c r="K1317" i="19" s="1"/>
  <c r="A1318" i="19"/>
  <c r="G1318" i="19" s="1"/>
  <c r="B1318" i="19"/>
  <c r="H1318" i="19" s="1"/>
  <c r="C1318" i="19"/>
  <c r="I1318" i="19" s="1"/>
  <c r="D1318" i="19"/>
  <c r="J1318" i="19" s="1"/>
  <c r="E1318" i="19"/>
  <c r="K1318" i="19" s="1"/>
  <c r="A1319" i="19"/>
  <c r="G1319" i="19" s="1"/>
  <c r="B1319" i="19"/>
  <c r="H1319" i="19" s="1"/>
  <c r="C1319" i="19"/>
  <c r="I1319" i="19" s="1"/>
  <c r="D1319" i="19"/>
  <c r="J1319" i="19" s="1"/>
  <c r="E1319" i="19"/>
  <c r="K1319" i="19" s="1"/>
  <c r="A1320" i="19"/>
  <c r="G1320" i="19" s="1"/>
  <c r="B1320" i="19"/>
  <c r="H1320" i="19" s="1"/>
  <c r="C1320" i="19"/>
  <c r="I1320" i="19" s="1"/>
  <c r="D1320" i="19"/>
  <c r="J1320" i="19" s="1"/>
  <c r="E1320" i="19"/>
  <c r="K1320" i="19" s="1"/>
  <c r="A1321" i="19"/>
  <c r="G1321" i="19" s="1"/>
  <c r="B1321" i="19"/>
  <c r="H1321" i="19" s="1"/>
  <c r="C1321" i="19"/>
  <c r="I1321" i="19" s="1"/>
  <c r="D1321" i="19"/>
  <c r="J1321" i="19" s="1"/>
  <c r="E1321" i="19"/>
  <c r="K1321" i="19" s="1"/>
  <c r="A1322" i="19"/>
  <c r="G1322" i="19" s="1"/>
  <c r="B1322" i="19"/>
  <c r="H1322" i="19" s="1"/>
  <c r="C1322" i="19"/>
  <c r="I1322" i="19" s="1"/>
  <c r="D1322" i="19"/>
  <c r="J1322" i="19" s="1"/>
  <c r="E1322" i="19"/>
  <c r="K1322" i="19" s="1"/>
  <c r="A1323" i="19"/>
  <c r="G1323" i="19" s="1"/>
  <c r="B1323" i="19"/>
  <c r="H1323" i="19" s="1"/>
  <c r="C1323" i="19"/>
  <c r="I1323" i="19" s="1"/>
  <c r="D1323" i="19"/>
  <c r="J1323" i="19" s="1"/>
  <c r="E1323" i="19"/>
  <c r="K1323" i="19" s="1"/>
  <c r="A1324" i="19"/>
  <c r="G1324" i="19" s="1"/>
  <c r="B1324" i="19"/>
  <c r="H1324" i="19" s="1"/>
  <c r="C1324" i="19"/>
  <c r="I1324" i="19" s="1"/>
  <c r="D1324" i="19"/>
  <c r="J1324" i="19" s="1"/>
  <c r="E1324" i="19"/>
  <c r="K1324" i="19" s="1"/>
  <c r="A1325" i="19"/>
  <c r="G1325" i="19" s="1"/>
  <c r="B1325" i="19"/>
  <c r="H1325" i="19" s="1"/>
  <c r="C1325" i="19"/>
  <c r="I1325" i="19" s="1"/>
  <c r="D1325" i="19"/>
  <c r="J1325" i="19" s="1"/>
  <c r="E1325" i="19"/>
  <c r="K1325" i="19" s="1"/>
  <c r="A1326" i="19"/>
  <c r="G1326" i="19" s="1"/>
  <c r="B1326" i="19"/>
  <c r="H1326" i="19" s="1"/>
  <c r="C1326" i="19"/>
  <c r="I1326" i="19" s="1"/>
  <c r="D1326" i="19"/>
  <c r="J1326" i="19" s="1"/>
  <c r="E1326" i="19"/>
  <c r="K1326" i="19" s="1"/>
  <c r="A1327" i="19"/>
  <c r="G1327" i="19" s="1"/>
  <c r="B1327" i="19"/>
  <c r="H1327" i="19" s="1"/>
  <c r="C1327" i="19"/>
  <c r="I1327" i="19" s="1"/>
  <c r="D1327" i="19"/>
  <c r="J1327" i="19" s="1"/>
  <c r="E1327" i="19"/>
  <c r="K1327" i="19" s="1"/>
  <c r="A1328" i="19"/>
  <c r="G1328" i="19" s="1"/>
  <c r="B1328" i="19"/>
  <c r="H1328" i="19" s="1"/>
  <c r="C1328" i="19"/>
  <c r="I1328" i="19" s="1"/>
  <c r="D1328" i="19"/>
  <c r="J1328" i="19" s="1"/>
  <c r="E1328" i="19"/>
  <c r="K1328" i="19" s="1"/>
  <c r="A1329" i="19"/>
  <c r="G1329" i="19" s="1"/>
  <c r="B1329" i="19"/>
  <c r="H1329" i="19" s="1"/>
  <c r="C1329" i="19"/>
  <c r="I1329" i="19" s="1"/>
  <c r="D1329" i="19"/>
  <c r="J1329" i="19" s="1"/>
  <c r="E1329" i="19"/>
  <c r="K1329" i="19" s="1"/>
  <c r="A1330" i="19"/>
  <c r="G1330" i="19" s="1"/>
  <c r="B1330" i="19"/>
  <c r="H1330" i="19" s="1"/>
  <c r="C1330" i="19"/>
  <c r="I1330" i="19" s="1"/>
  <c r="D1330" i="19"/>
  <c r="J1330" i="19" s="1"/>
  <c r="E1330" i="19"/>
  <c r="K1330" i="19" s="1"/>
  <c r="A1331" i="19"/>
  <c r="G1331" i="19" s="1"/>
  <c r="B1331" i="19"/>
  <c r="H1331" i="19" s="1"/>
  <c r="C1331" i="19"/>
  <c r="I1331" i="19" s="1"/>
  <c r="D1331" i="19"/>
  <c r="J1331" i="19" s="1"/>
  <c r="E1331" i="19"/>
  <c r="K1331" i="19" s="1"/>
  <c r="A1332" i="19"/>
  <c r="G1332" i="19" s="1"/>
  <c r="B1332" i="19"/>
  <c r="H1332" i="19" s="1"/>
  <c r="C1332" i="19"/>
  <c r="I1332" i="19" s="1"/>
  <c r="D1332" i="19"/>
  <c r="J1332" i="19" s="1"/>
  <c r="E1332" i="19"/>
  <c r="K1332" i="19" s="1"/>
  <c r="A1333" i="19"/>
  <c r="G1333" i="19" s="1"/>
  <c r="B1333" i="19"/>
  <c r="H1333" i="19" s="1"/>
  <c r="C1333" i="19"/>
  <c r="I1333" i="19" s="1"/>
  <c r="D1333" i="19"/>
  <c r="J1333" i="19" s="1"/>
  <c r="E1333" i="19"/>
  <c r="K1333" i="19" s="1"/>
  <c r="A1334" i="19"/>
  <c r="G1334" i="19" s="1"/>
  <c r="B1334" i="19"/>
  <c r="H1334" i="19" s="1"/>
  <c r="C1334" i="19"/>
  <c r="I1334" i="19" s="1"/>
  <c r="D1334" i="19"/>
  <c r="J1334" i="19" s="1"/>
  <c r="E1334" i="19"/>
  <c r="K1334" i="19" s="1"/>
  <c r="A1335" i="19"/>
  <c r="G1335" i="19" s="1"/>
  <c r="B1335" i="19"/>
  <c r="H1335" i="19" s="1"/>
  <c r="C1335" i="19"/>
  <c r="I1335" i="19" s="1"/>
  <c r="D1335" i="19"/>
  <c r="J1335" i="19" s="1"/>
  <c r="E1335" i="19"/>
  <c r="K1335" i="19" s="1"/>
  <c r="A1336" i="19"/>
  <c r="G1336" i="19" s="1"/>
  <c r="B1336" i="19"/>
  <c r="H1336" i="19" s="1"/>
  <c r="C1336" i="19"/>
  <c r="I1336" i="19" s="1"/>
  <c r="D1336" i="19"/>
  <c r="J1336" i="19" s="1"/>
  <c r="E1336" i="19"/>
  <c r="K1336" i="19" s="1"/>
  <c r="A1337" i="19"/>
  <c r="G1337" i="19" s="1"/>
  <c r="B1337" i="19"/>
  <c r="H1337" i="19" s="1"/>
  <c r="C1337" i="19"/>
  <c r="I1337" i="19" s="1"/>
  <c r="D1337" i="19"/>
  <c r="J1337" i="19" s="1"/>
  <c r="E1337" i="19"/>
  <c r="K1337" i="19" s="1"/>
  <c r="A1338" i="19"/>
  <c r="G1338" i="19" s="1"/>
  <c r="B1338" i="19"/>
  <c r="H1338" i="19" s="1"/>
  <c r="C1338" i="19"/>
  <c r="I1338" i="19" s="1"/>
  <c r="D1338" i="19"/>
  <c r="J1338" i="19" s="1"/>
  <c r="E1338" i="19"/>
  <c r="K1338" i="19" s="1"/>
  <c r="A1339" i="19"/>
  <c r="G1339" i="19" s="1"/>
  <c r="B1339" i="19"/>
  <c r="H1339" i="19" s="1"/>
  <c r="C1339" i="19"/>
  <c r="I1339" i="19" s="1"/>
  <c r="D1339" i="19"/>
  <c r="J1339" i="19" s="1"/>
  <c r="E1339" i="19"/>
  <c r="K1339" i="19" s="1"/>
  <c r="A1340" i="19"/>
  <c r="G1340" i="19" s="1"/>
  <c r="B1340" i="19"/>
  <c r="H1340" i="19" s="1"/>
  <c r="C1340" i="19"/>
  <c r="I1340" i="19" s="1"/>
  <c r="D1340" i="19"/>
  <c r="J1340" i="19" s="1"/>
  <c r="E1340" i="19"/>
  <c r="K1340" i="19" s="1"/>
  <c r="A1341" i="19"/>
  <c r="G1341" i="19" s="1"/>
  <c r="B1341" i="19"/>
  <c r="H1341" i="19" s="1"/>
  <c r="C1341" i="19"/>
  <c r="I1341" i="19" s="1"/>
  <c r="D1341" i="19"/>
  <c r="J1341" i="19" s="1"/>
  <c r="E1341" i="19"/>
  <c r="K1341" i="19" s="1"/>
  <c r="A1342" i="19"/>
  <c r="G1342" i="19" s="1"/>
  <c r="B1342" i="19"/>
  <c r="H1342" i="19" s="1"/>
  <c r="C1342" i="19"/>
  <c r="I1342" i="19" s="1"/>
  <c r="D1342" i="19"/>
  <c r="J1342" i="19" s="1"/>
  <c r="E1342" i="19"/>
  <c r="K1342" i="19" s="1"/>
  <c r="A1343" i="19"/>
  <c r="G1343" i="19" s="1"/>
  <c r="B1343" i="19"/>
  <c r="H1343" i="19" s="1"/>
  <c r="C1343" i="19"/>
  <c r="I1343" i="19" s="1"/>
  <c r="D1343" i="19"/>
  <c r="J1343" i="19" s="1"/>
  <c r="E1343" i="19"/>
  <c r="K1343" i="19" s="1"/>
  <c r="A1344" i="19"/>
  <c r="G1344" i="19" s="1"/>
  <c r="B1344" i="19"/>
  <c r="H1344" i="19" s="1"/>
  <c r="C1344" i="19"/>
  <c r="I1344" i="19" s="1"/>
  <c r="D1344" i="19"/>
  <c r="J1344" i="19" s="1"/>
  <c r="E1344" i="19"/>
  <c r="K1344" i="19" s="1"/>
  <c r="A1345" i="19"/>
  <c r="G1345" i="19" s="1"/>
  <c r="B1345" i="19"/>
  <c r="H1345" i="19" s="1"/>
  <c r="C1345" i="19"/>
  <c r="I1345" i="19" s="1"/>
  <c r="D1345" i="19"/>
  <c r="J1345" i="19" s="1"/>
  <c r="E1345" i="19"/>
  <c r="K1345" i="19" s="1"/>
  <c r="A1346" i="19"/>
  <c r="G1346" i="19" s="1"/>
  <c r="B1346" i="19"/>
  <c r="H1346" i="19" s="1"/>
  <c r="C1346" i="19"/>
  <c r="I1346" i="19" s="1"/>
  <c r="D1346" i="19"/>
  <c r="J1346" i="19" s="1"/>
  <c r="E1346" i="19"/>
  <c r="K1346" i="19" s="1"/>
  <c r="A1347" i="19"/>
  <c r="G1347" i="19" s="1"/>
  <c r="B1347" i="19"/>
  <c r="H1347" i="19" s="1"/>
  <c r="C1347" i="19"/>
  <c r="I1347" i="19" s="1"/>
  <c r="D1347" i="19"/>
  <c r="J1347" i="19" s="1"/>
  <c r="E1347" i="19"/>
  <c r="K1347" i="19" s="1"/>
  <c r="A1348" i="19"/>
  <c r="G1348" i="19" s="1"/>
  <c r="B1348" i="19"/>
  <c r="H1348" i="19" s="1"/>
  <c r="C1348" i="19"/>
  <c r="I1348" i="19" s="1"/>
  <c r="D1348" i="19"/>
  <c r="J1348" i="19" s="1"/>
  <c r="E1348" i="19"/>
  <c r="K1348" i="19" s="1"/>
  <c r="A1349" i="19"/>
  <c r="G1349" i="19" s="1"/>
  <c r="B1349" i="19"/>
  <c r="H1349" i="19" s="1"/>
  <c r="C1349" i="19"/>
  <c r="I1349" i="19" s="1"/>
  <c r="D1349" i="19"/>
  <c r="J1349" i="19" s="1"/>
  <c r="E1349" i="19"/>
  <c r="K1349" i="19" s="1"/>
  <c r="A1350" i="19"/>
  <c r="G1350" i="19" s="1"/>
  <c r="B1350" i="19"/>
  <c r="H1350" i="19" s="1"/>
  <c r="C1350" i="19"/>
  <c r="I1350" i="19" s="1"/>
  <c r="D1350" i="19"/>
  <c r="J1350" i="19" s="1"/>
  <c r="E1350" i="19"/>
  <c r="K1350" i="19" s="1"/>
  <c r="A1351" i="19"/>
  <c r="G1351" i="19" s="1"/>
  <c r="B1351" i="19"/>
  <c r="H1351" i="19" s="1"/>
  <c r="C1351" i="19"/>
  <c r="I1351" i="19" s="1"/>
  <c r="D1351" i="19"/>
  <c r="J1351" i="19" s="1"/>
  <c r="E1351" i="19"/>
  <c r="K1351" i="19" s="1"/>
  <c r="A1352" i="19"/>
  <c r="G1352" i="19" s="1"/>
  <c r="B1352" i="19"/>
  <c r="H1352" i="19" s="1"/>
  <c r="C1352" i="19"/>
  <c r="I1352" i="19" s="1"/>
  <c r="D1352" i="19"/>
  <c r="J1352" i="19" s="1"/>
  <c r="E1352" i="19"/>
  <c r="K1352" i="19" s="1"/>
  <c r="A1353" i="19"/>
  <c r="G1353" i="19" s="1"/>
  <c r="B1353" i="19"/>
  <c r="H1353" i="19" s="1"/>
  <c r="C1353" i="19"/>
  <c r="I1353" i="19" s="1"/>
  <c r="D1353" i="19"/>
  <c r="J1353" i="19" s="1"/>
  <c r="E1353" i="19"/>
  <c r="K1353" i="19" s="1"/>
  <c r="A1354" i="19"/>
  <c r="G1354" i="19" s="1"/>
  <c r="B1354" i="19"/>
  <c r="H1354" i="19" s="1"/>
  <c r="C1354" i="19"/>
  <c r="I1354" i="19" s="1"/>
  <c r="D1354" i="19"/>
  <c r="J1354" i="19" s="1"/>
  <c r="E1354" i="19"/>
  <c r="K1354" i="19" s="1"/>
  <c r="A1355" i="19"/>
  <c r="G1355" i="19" s="1"/>
  <c r="B1355" i="19"/>
  <c r="H1355" i="19" s="1"/>
  <c r="C1355" i="19"/>
  <c r="I1355" i="19" s="1"/>
  <c r="D1355" i="19"/>
  <c r="J1355" i="19" s="1"/>
  <c r="E1355" i="19"/>
  <c r="K1355" i="19" s="1"/>
  <c r="A1356" i="19"/>
  <c r="G1356" i="19" s="1"/>
  <c r="B1356" i="19"/>
  <c r="H1356" i="19" s="1"/>
  <c r="C1356" i="19"/>
  <c r="I1356" i="19" s="1"/>
  <c r="D1356" i="19"/>
  <c r="J1356" i="19" s="1"/>
  <c r="E1356" i="19"/>
  <c r="K1356" i="19" s="1"/>
  <c r="A1357" i="19"/>
  <c r="G1357" i="19" s="1"/>
  <c r="B1357" i="19"/>
  <c r="H1357" i="19" s="1"/>
  <c r="C1357" i="19"/>
  <c r="I1357" i="19" s="1"/>
  <c r="D1357" i="19"/>
  <c r="J1357" i="19" s="1"/>
  <c r="E1357" i="19"/>
  <c r="K1357" i="19" s="1"/>
  <c r="A1358" i="19"/>
  <c r="G1358" i="19" s="1"/>
  <c r="B1358" i="19"/>
  <c r="H1358" i="19" s="1"/>
  <c r="C1358" i="19"/>
  <c r="I1358" i="19" s="1"/>
  <c r="D1358" i="19"/>
  <c r="J1358" i="19" s="1"/>
  <c r="E1358" i="19"/>
  <c r="K1358" i="19" s="1"/>
  <c r="A1359" i="19"/>
  <c r="G1359" i="19" s="1"/>
  <c r="B1359" i="19"/>
  <c r="H1359" i="19" s="1"/>
  <c r="C1359" i="19"/>
  <c r="I1359" i="19" s="1"/>
  <c r="D1359" i="19"/>
  <c r="J1359" i="19" s="1"/>
  <c r="E1359" i="19"/>
  <c r="K1359" i="19" s="1"/>
  <c r="A1360" i="19"/>
  <c r="G1360" i="19" s="1"/>
  <c r="B1360" i="19"/>
  <c r="H1360" i="19" s="1"/>
  <c r="C1360" i="19"/>
  <c r="I1360" i="19" s="1"/>
  <c r="D1360" i="19"/>
  <c r="J1360" i="19" s="1"/>
  <c r="E1360" i="19"/>
  <c r="K1360" i="19" s="1"/>
  <c r="A1361" i="19"/>
  <c r="G1361" i="19" s="1"/>
  <c r="B1361" i="19"/>
  <c r="H1361" i="19" s="1"/>
  <c r="C1361" i="19"/>
  <c r="I1361" i="19" s="1"/>
  <c r="D1361" i="19"/>
  <c r="J1361" i="19" s="1"/>
  <c r="E1361" i="19"/>
  <c r="K1361" i="19" s="1"/>
  <c r="A1362" i="19"/>
  <c r="G1362" i="19" s="1"/>
  <c r="B1362" i="19"/>
  <c r="H1362" i="19" s="1"/>
  <c r="C1362" i="19"/>
  <c r="I1362" i="19" s="1"/>
  <c r="D1362" i="19"/>
  <c r="J1362" i="19" s="1"/>
  <c r="E1362" i="19"/>
  <c r="K1362" i="19" s="1"/>
  <c r="A1363" i="19"/>
  <c r="G1363" i="19" s="1"/>
  <c r="B1363" i="19"/>
  <c r="H1363" i="19" s="1"/>
  <c r="C1363" i="19"/>
  <c r="I1363" i="19" s="1"/>
  <c r="D1363" i="19"/>
  <c r="J1363" i="19" s="1"/>
  <c r="E1363" i="19"/>
  <c r="K1363" i="19" s="1"/>
  <c r="A1364" i="19"/>
  <c r="G1364" i="19" s="1"/>
  <c r="B1364" i="19"/>
  <c r="H1364" i="19" s="1"/>
  <c r="C1364" i="19"/>
  <c r="I1364" i="19" s="1"/>
  <c r="D1364" i="19"/>
  <c r="J1364" i="19" s="1"/>
  <c r="E1364" i="19"/>
  <c r="K1364" i="19" s="1"/>
  <c r="A1365" i="19"/>
  <c r="G1365" i="19" s="1"/>
  <c r="B1365" i="19"/>
  <c r="H1365" i="19" s="1"/>
  <c r="C1365" i="19"/>
  <c r="I1365" i="19" s="1"/>
  <c r="D1365" i="19"/>
  <c r="J1365" i="19" s="1"/>
  <c r="E1365" i="19"/>
  <c r="K1365" i="19" s="1"/>
  <c r="A1366" i="19"/>
  <c r="G1366" i="19" s="1"/>
  <c r="B1366" i="19"/>
  <c r="H1366" i="19" s="1"/>
  <c r="C1366" i="19"/>
  <c r="I1366" i="19" s="1"/>
  <c r="D1366" i="19"/>
  <c r="J1366" i="19" s="1"/>
  <c r="E1366" i="19"/>
  <c r="K1366" i="19" s="1"/>
  <c r="A1367" i="19"/>
  <c r="G1367" i="19" s="1"/>
  <c r="B1367" i="19"/>
  <c r="H1367" i="19" s="1"/>
  <c r="C1367" i="19"/>
  <c r="I1367" i="19" s="1"/>
  <c r="D1367" i="19"/>
  <c r="J1367" i="19" s="1"/>
  <c r="E1367" i="19"/>
  <c r="K1367" i="19" s="1"/>
  <c r="A1368" i="19"/>
  <c r="G1368" i="19" s="1"/>
  <c r="B1368" i="19"/>
  <c r="H1368" i="19" s="1"/>
  <c r="C1368" i="19"/>
  <c r="I1368" i="19" s="1"/>
  <c r="D1368" i="19"/>
  <c r="J1368" i="19" s="1"/>
  <c r="E1368" i="19"/>
  <c r="K1368" i="19" s="1"/>
  <c r="A1369" i="19"/>
  <c r="G1369" i="19" s="1"/>
  <c r="B1369" i="19"/>
  <c r="H1369" i="19" s="1"/>
  <c r="C1369" i="19"/>
  <c r="I1369" i="19" s="1"/>
  <c r="D1369" i="19"/>
  <c r="J1369" i="19" s="1"/>
  <c r="E1369" i="19"/>
  <c r="K1369" i="19" s="1"/>
  <c r="A1370" i="19"/>
  <c r="G1370" i="19" s="1"/>
  <c r="B1370" i="19"/>
  <c r="H1370" i="19" s="1"/>
  <c r="C1370" i="19"/>
  <c r="I1370" i="19" s="1"/>
  <c r="D1370" i="19"/>
  <c r="J1370" i="19" s="1"/>
  <c r="E1370" i="19"/>
  <c r="K1370" i="19" s="1"/>
  <c r="A1371" i="19"/>
  <c r="G1371" i="19" s="1"/>
  <c r="B1371" i="19"/>
  <c r="H1371" i="19" s="1"/>
  <c r="C1371" i="19"/>
  <c r="I1371" i="19" s="1"/>
  <c r="D1371" i="19"/>
  <c r="J1371" i="19" s="1"/>
  <c r="E1371" i="19"/>
  <c r="K1371" i="19" s="1"/>
  <c r="A1372" i="19"/>
  <c r="G1372" i="19" s="1"/>
  <c r="B1372" i="19"/>
  <c r="H1372" i="19" s="1"/>
  <c r="C1372" i="19"/>
  <c r="I1372" i="19" s="1"/>
  <c r="D1372" i="19"/>
  <c r="J1372" i="19" s="1"/>
  <c r="E1372" i="19"/>
  <c r="K1372" i="19" s="1"/>
  <c r="A1373" i="19"/>
  <c r="G1373" i="19" s="1"/>
  <c r="B1373" i="19"/>
  <c r="H1373" i="19" s="1"/>
  <c r="C1373" i="19"/>
  <c r="I1373" i="19" s="1"/>
  <c r="D1373" i="19"/>
  <c r="J1373" i="19" s="1"/>
  <c r="E1373" i="19"/>
  <c r="K1373" i="19" s="1"/>
  <c r="A1374" i="19"/>
  <c r="G1374" i="19" s="1"/>
  <c r="B1374" i="19"/>
  <c r="H1374" i="19" s="1"/>
  <c r="C1374" i="19"/>
  <c r="I1374" i="19" s="1"/>
  <c r="D1374" i="19"/>
  <c r="J1374" i="19" s="1"/>
  <c r="E1374" i="19"/>
  <c r="K1374" i="19" s="1"/>
  <c r="A1375" i="19"/>
  <c r="G1375" i="19" s="1"/>
  <c r="B1375" i="19"/>
  <c r="H1375" i="19" s="1"/>
  <c r="C1375" i="19"/>
  <c r="I1375" i="19" s="1"/>
  <c r="D1375" i="19"/>
  <c r="J1375" i="19" s="1"/>
  <c r="E1375" i="19"/>
  <c r="K1375" i="19" s="1"/>
  <c r="A1376" i="19"/>
  <c r="G1376" i="19" s="1"/>
  <c r="B1376" i="19"/>
  <c r="H1376" i="19" s="1"/>
  <c r="C1376" i="19"/>
  <c r="I1376" i="19" s="1"/>
  <c r="D1376" i="19"/>
  <c r="J1376" i="19" s="1"/>
  <c r="E1376" i="19"/>
  <c r="K1376" i="19" s="1"/>
  <c r="A1377" i="19"/>
  <c r="G1377" i="19" s="1"/>
  <c r="B1377" i="19"/>
  <c r="H1377" i="19" s="1"/>
  <c r="C1377" i="19"/>
  <c r="I1377" i="19" s="1"/>
  <c r="D1377" i="19"/>
  <c r="J1377" i="19" s="1"/>
  <c r="E1377" i="19"/>
  <c r="K1377" i="19" s="1"/>
  <c r="A1378" i="19"/>
  <c r="G1378" i="19" s="1"/>
  <c r="B1378" i="19"/>
  <c r="H1378" i="19" s="1"/>
  <c r="C1378" i="19"/>
  <c r="I1378" i="19" s="1"/>
  <c r="D1378" i="19"/>
  <c r="J1378" i="19" s="1"/>
  <c r="E1378" i="19"/>
  <c r="K1378" i="19" s="1"/>
  <c r="A1379" i="19"/>
  <c r="G1379" i="19" s="1"/>
  <c r="B1379" i="19"/>
  <c r="H1379" i="19" s="1"/>
  <c r="C1379" i="19"/>
  <c r="I1379" i="19" s="1"/>
  <c r="D1379" i="19"/>
  <c r="J1379" i="19" s="1"/>
  <c r="E1379" i="19"/>
  <c r="K1379" i="19" s="1"/>
  <c r="A1380" i="19"/>
  <c r="G1380" i="19" s="1"/>
  <c r="B1380" i="19"/>
  <c r="H1380" i="19" s="1"/>
  <c r="C1380" i="19"/>
  <c r="I1380" i="19" s="1"/>
  <c r="D1380" i="19"/>
  <c r="J1380" i="19" s="1"/>
  <c r="E1380" i="19"/>
  <c r="K1380" i="19" s="1"/>
  <c r="A1381" i="19"/>
  <c r="G1381" i="19" s="1"/>
  <c r="B1381" i="19"/>
  <c r="H1381" i="19" s="1"/>
  <c r="C1381" i="19"/>
  <c r="I1381" i="19" s="1"/>
  <c r="D1381" i="19"/>
  <c r="J1381" i="19" s="1"/>
  <c r="E1381" i="19"/>
  <c r="K1381" i="19" s="1"/>
  <c r="A1382" i="19"/>
  <c r="G1382" i="19" s="1"/>
  <c r="B1382" i="19"/>
  <c r="H1382" i="19" s="1"/>
  <c r="C1382" i="19"/>
  <c r="I1382" i="19" s="1"/>
  <c r="D1382" i="19"/>
  <c r="J1382" i="19" s="1"/>
  <c r="E1382" i="19"/>
  <c r="K1382" i="19" s="1"/>
  <c r="A1383" i="19"/>
  <c r="G1383" i="19" s="1"/>
  <c r="B1383" i="19"/>
  <c r="H1383" i="19" s="1"/>
  <c r="C1383" i="19"/>
  <c r="I1383" i="19" s="1"/>
  <c r="D1383" i="19"/>
  <c r="J1383" i="19" s="1"/>
  <c r="E1383" i="19"/>
  <c r="K1383" i="19" s="1"/>
  <c r="A1384" i="19"/>
  <c r="G1384" i="19" s="1"/>
  <c r="B1384" i="19"/>
  <c r="H1384" i="19" s="1"/>
  <c r="C1384" i="19"/>
  <c r="I1384" i="19" s="1"/>
  <c r="D1384" i="19"/>
  <c r="J1384" i="19" s="1"/>
  <c r="E1384" i="19"/>
  <c r="K1384" i="19" s="1"/>
  <c r="A1385" i="19"/>
  <c r="G1385" i="19" s="1"/>
  <c r="B1385" i="19"/>
  <c r="H1385" i="19" s="1"/>
  <c r="C1385" i="19"/>
  <c r="I1385" i="19" s="1"/>
  <c r="D1385" i="19"/>
  <c r="J1385" i="19" s="1"/>
  <c r="E1385" i="19"/>
  <c r="K1385" i="19" s="1"/>
  <c r="A1386" i="19"/>
  <c r="G1386" i="19" s="1"/>
  <c r="B1386" i="19"/>
  <c r="H1386" i="19" s="1"/>
  <c r="C1386" i="19"/>
  <c r="I1386" i="19" s="1"/>
  <c r="D1386" i="19"/>
  <c r="J1386" i="19" s="1"/>
  <c r="E1386" i="19"/>
  <c r="K1386" i="19" s="1"/>
  <c r="A1387" i="19"/>
  <c r="G1387" i="19" s="1"/>
  <c r="B1387" i="19"/>
  <c r="H1387" i="19" s="1"/>
  <c r="C1387" i="19"/>
  <c r="I1387" i="19" s="1"/>
  <c r="D1387" i="19"/>
  <c r="J1387" i="19" s="1"/>
  <c r="E1387" i="19"/>
  <c r="K1387" i="19" s="1"/>
  <c r="A1388" i="19"/>
  <c r="G1388" i="19" s="1"/>
  <c r="B1388" i="19"/>
  <c r="H1388" i="19" s="1"/>
  <c r="C1388" i="19"/>
  <c r="I1388" i="19" s="1"/>
  <c r="D1388" i="19"/>
  <c r="J1388" i="19" s="1"/>
  <c r="E1388" i="19"/>
  <c r="K1388" i="19" s="1"/>
  <c r="A1389" i="19"/>
  <c r="G1389" i="19" s="1"/>
  <c r="B1389" i="19"/>
  <c r="H1389" i="19" s="1"/>
  <c r="C1389" i="19"/>
  <c r="I1389" i="19" s="1"/>
  <c r="D1389" i="19"/>
  <c r="J1389" i="19" s="1"/>
  <c r="E1389" i="19"/>
  <c r="K1389" i="19" s="1"/>
  <c r="A1390" i="19"/>
  <c r="G1390" i="19" s="1"/>
  <c r="B1390" i="19"/>
  <c r="H1390" i="19" s="1"/>
  <c r="C1390" i="19"/>
  <c r="I1390" i="19" s="1"/>
  <c r="D1390" i="19"/>
  <c r="J1390" i="19" s="1"/>
  <c r="E1390" i="19"/>
  <c r="K1390" i="19" s="1"/>
  <c r="A1391" i="19"/>
  <c r="G1391" i="19" s="1"/>
  <c r="B1391" i="19"/>
  <c r="H1391" i="19" s="1"/>
  <c r="C1391" i="19"/>
  <c r="I1391" i="19" s="1"/>
  <c r="D1391" i="19"/>
  <c r="J1391" i="19" s="1"/>
  <c r="E1391" i="19"/>
  <c r="K1391" i="19" s="1"/>
  <c r="A1392" i="19"/>
  <c r="G1392" i="19" s="1"/>
  <c r="B1392" i="19"/>
  <c r="H1392" i="19" s="1"/>
  <c r="C1392" i="19"/>
  <c r="I1392" i="19" s="1"/>
  <c r="D1392" i="19"/>
  <c r="J1392" i="19" s="1"/>
  <c r="E1392" i="19"/>
  <c r="K1392" i="19" s="1"/>
  <c r="A1393" i="19"/>
  <c r="G1393" i="19" s="1"/>
  <c r="B1393" i="19"/>
  <c r="H1393" i="19" s="1"/>
  <c r="C1393" i="19"/>
  <c r="I1393" i="19" s="1"/>
  <c r="D1393" i="19"/>
  <c r="J1393" i="19" s="1"/>
  <c r="E1393" i="19"/>
  <c r="K1393" i="19" s="1"/>
  <c r="A1394" i="19"/>
  <c r="G1394" i="19" s="1"/>
  <c r="B1394" i="19"/>
  <c r="H1394" i="19" s="1"/>
  <c r="C1394" i="19"/>
  <c r="I1394" i="19" s="1"/>
  <c r="D1394" i="19"/>
  <c r="J1394" i="19" s="1"/>
  <c r="E1394" i="19"/>
  <c r="K1394" i="19" s="1"/>
  <c r="A1395" i="19"/>
  <c r="G1395" i="19" s="1"/>
  <c r="B1395" i="19"/>
  <c r="H1395" i="19" s="1"/>
  <c r="C1395" i="19"/>
  <c r="I1395" i="19" s="1"/>
  <c r="D1395" i="19"/>
  <c r="J1395" i="19" s="1"/>
  <c r="E1395" i="19"/>
  <c r="K1395" i="19" s="1"/>
  <c r="A1396" i="19"/>
  <c r="G1396" i="19" s="1"/>
  <c r="B1396" i="19"/>
  <c r="H1396" i="19" s="1"/>
  <c r="C1396" i="19"/>
  <c r="I1396" i="19" s="1"/>
  <c r="D1396" i="19"/>
  <c r="J1396" i="19" s="1"/>
  <c r="E1396" i="19"/>
  <c r="K1396" i="19" s="1"/>
  <c r="A1397" i="19"/>
  <c r="G1397" i="19" s="1"/>
  <c r="B1397" i="19"/>
  <c r="H1397" i="19" s="1"/>
  <c r="C1397" i="19"/>
  <c r="I1397" i="19" s="1"/>
  <c r="D1397" i="19"/>
  <c r="J1397" i="19" s="1"/>
  <c r="E1397" i="19"/>
  <c r="K1397" i="19" s="1"/>
  <c r="A1398" i="19"/>
  <c r="G1398" i="19" s="1"/>
  <c r="B1398" i="19"/>
  <c r="H1398" i="19" s="1"/>
  <c r="C1398" i="19"/>
  <c r="I1398" i="19" s="1"/>
  <c r="D1398" i="19"/>
  <c r="J1398" i="19" s="1"/>
  <c r="E1398" i="19"/>
  <c r="K1398" i="19" s="1"/>
  <c r="A1399" i="19"/>
  <c r="G1399" i="19" s="1"/>
  <c r="B1399" i="19"/>
  <c r="H1399" i="19" s="1"/>
  <c r="C1399" i="19"/>
  <c r="I1399" i="19" s="1"/>
  <c r="D1399" i="19"/>
  <c r="J1399" i="19" s="1"/>
  <c r="E1399" i="19"/>
  <c r="K1399" i="19" s="1"/>
  <c r="A1400" i="19"/>
  <c r="G1400" i="19" s="1"/>
  <c r="B1400" i="19"/>
  <c r="H1400" i="19" s="1"/>
  <c r="C1400" i="19"/>
  <c r="I1400" i="19" s="1"/>
  <c r="D1400" i="19"/>
  <c r="J1400" i="19" s="1"/>
  <c r="E1400" i="19"/>
  <c r="K1400" i="19" s="1"/>
  <c r="A1401" i="19"/>
  <c r="G1401" i="19" s="1"/>
  <c r="B1401" i="19"/>
  <c r="H1401" i="19" s="1"/>
  <c r="C1401" i="19"/>
  <c r="I1401" i="19" s="1"/>
  <c r="D1401" i="19"/>
  <c r="J1401" i="19" s="1"/>
  <c r="E1401" i="19"/>
  <c r="K1401" i="19" s="1"/>
  <c r="A1402" i="19"/>
  <c r="G1402" i="19" s="1"/>
  <c r="B1402" i="19"/>
  <c r="H1402" i="19" s="1"/>
  <c r="C1402" i="19"/>
  <c r="I1402" i="19" s="1"/>
  <c r="D1402" i="19"/>
  <c r="J1402" i="19" s="1"/>
  <c r="E1402" i="19"/>
  <c r="K1402" i="19" s="1"/>
  <c r="A1403" i="19"/>
  <c r="G1403" i="19" s="1"/>
  <c r="B1403" i="19"/>
  <c r="H1403" i="19" s="1"/>
  <c r="C1403" i="19"/>
  <c r="I1403" i="19" s="1"/>
  <c r="D1403" i="19"/>
  <c r="J1403" i="19" s="1"/>
  <c r="E1403" i="19"/>
  <c r="K1403" i="19" s="1"/>
  <c r="A1404" i="19"/>
  <c r="G1404" i="19" s="1"/>
  <c r="B1404" i="19"/>
  <c r="H1404" i="19" s="1"/>
  <c r="C1404" i="19"/>
  <c r="I1404" i="19" s="1"/>
  <c r="D1404" i="19"/>
  <c r="J1404" i="19" s="1"/>
  <c r="E1404" i="19"/>
  <c r="K1404" i="19" s="1"/>
  <c r="A1405" i="19"/>
  <c r="G1405" i="19" s="1"/>
  <c r="B1405" i="19"/>
  <c r="H1405" i="19" s="1"/>
  <c r="C1405" i="19"/>
  <c r="I1405" i="19" s="1"/>
  <c r="D1405" i="19"/>
  <c r="J1405" i="19" s="1"/>
  <c r="E1405" i="19"/>
  <c r="K1405" i="19" s="1"/>
  <c r="A1406" i="19"/>
  <c r="G1406" i="19" s="1"/>
  <c r="B1406" i="19"/>
  <c r="H1406" i="19" s="1"/>
  <c r="C1406" i="19"/>
  <c r="I1406" i="19" s="1"/>
  <c r="D1406" i="19"/>
  <c r="J1406" i="19" s="1"/>
  <c r="E1406" i="19"/>
  <c r="K1406" i="19" s="1"/>
  <c r="A1407" i="19"/>
  <c r="G1407" i="19" s="1"/>
  <c r="B1407" i="19"/>
  <c r="H1407" i="19" s="1"/>
  <c r="C1407" i="19"/>
  <c r="I1407" i="19" s="1"/>
  <c r="D1407" i="19"/>
  <c r="J1407" i="19" s="1"/>
  <c r="E1407" i="19"/>
  <c r="K1407" i="19" s="1"/>
  <c r="A1408" i="19"/>
  <c r="G1408" i="19" s="1"/>
  <c r="B1408" i="19"/>
  <c r="H1408" i="19" s="1"/>
  <c r="C1408" i="19"/>
  <c r="I1408" i="19" s="1"/>
  <c r="D1408" i="19"/>
  <c r="J1408" i="19" s="1"/>
  <c r="E1408" i="19"/>
  <c r="K1408" i="19" s="1"/>
  <c r="A1409" i="19"/>
  <c r="G1409" i="19" s="1"/>
  <c r="B1409" i="19"/>
  <c r="H1409" i="19" s="1"/>
  <c r="C1409" i="19"/>
  <c r="I1409" i="19" s="1"/>
  <c r="D1409" i="19"/>
  <c r="J1409" i="19" s="1"/>
  <c r="E1409" i="19"/>
  <c r="K1409" i="19" s="1"/>
  <c r="A1410" i="19"/>
  <c r="G1410" i="19" s="1"/>
  <c r="B1410" i="19"/>
  <c r="H1410" i="19" s="1"/>
  <c r="C1410" i="19"/>
  <c r="I1410" i="19" s="1"/>
  <c r="D1410" i="19"/>
  <c r="J1410" i="19" s="1"/>
  <c r="E1410" i="19"/>
  <c r="K1410" i="19" s="1"/>
  <c r="A1411" i="19"/>
  <c r="G1411" i="19" s="1"/>
  <c r="B1411" i="19"/>
  <c r="H1411" i="19" s="1"/>
  <c r="C1411" i="19"/>
  <c r="I1411" i="19" s="1"/>
  <c r="D1411" i="19"/>
  <c r="J1411" i="19" s="1"/>
  <c r="E1411" i="19"/>
  <c r="K1411" i="19" s="1"/>
  <c r="A1412" i="19"/>
  <c r="G1412" i="19" s="1"/>
  <c r="B1412" i="19"/>
  <c r="H1412" i="19" s="1"/>
  <c r="C1412" i="19"/>
  <c r="I1412" i="19" s="1"/>
  <c r="D1412" i="19"/>
  <c r="J1412" i="19" s="1"/>
  <c r="E1412" i="19"/>
  <c r="K1412" i="19" s="1"/>
  <c r="A1413" i="19"/>
  <c r="G1413" i="19" s="1"/>
  <c r="B1413" i="19"/>
  <c r="H1413" i="19" s="1"/>
  <c r="C1413" i="19"/>
  <c r="I1413" i="19" s="1"/>
  <c r="D1413" i="19"/>
  <c r="J1413" i="19" s="1"/>
  <c r="E1413" i="19"/>
  <c r="K1413" i="19" s="1"/>
  <c r="A1414" i="19"/>
  <c r="G1414" i="19" s="1"/>
  <c r="B1414" i="19"/>
  <c r="H1414" i="19" s="1"/>
  <c r="C1414" i="19"/>
  <c r="I1414" i="19" s="1"/>
  <c r="D1414" i="19"/>
  <c r="J1414" i="19" s="1"/>
  <c r="E1414" i="19"/>
  <c r="K1414" i="19" s="1"/>
  <c r="A1415" i="19"/>
  <c r="G1415" i="19" s="1"/>
  <c r="B1415" i="19"/>
  <c r="H1415" i="19" s="1"/>
  <c r="C1415" i="19"/>
  <c r="I1415" i="19" s="1"/>
  <c r="D1415" i="19"/>
  <c r="J1415" i="19" s="1"/>
  <c r="E1415" i="19"/>
  <c r="K1415" i="19" s="1"/>
  <c r="A1416" i="19"/>
  <c r="G1416" i="19" s="1"/>
  <c r="B1416" i="19"/>
  <c r="H1416" i="19" s="1"/>
  <c r="C1416" i="19"/>
  <c r="I1416" i="19" s="1"/>
  <c r="D1416" i="19"/>
  <c r="J1416" i="19" s="1"/>
  <c r="E1416" i="19"/>
  <c r="K1416" i="19" s="1"/>
  <c r="A1417" i="19"/>
  <c r="G1417" i="19" s="1"/>
  <c r="B1417" i="19"/>
  <c r="H1417" i="19" s="1"/>
  <c r="C1417" i="19"/>
  <c r="I1417" i="19" s="1"/>
  <c r="D1417" i="19"/>
  <c r="J1417" i="19" s="1"/>
  <c r="E1417" i="19"/>
  <c r="K1417" i="19" s="1"/>
  <c r="A1418" i="19"/>
  <c r="G1418" i="19" s="1"/>
  <c r="B1418" i="19"/>
  <c r="H1418" i="19" s="1"/>
  <c r="C1418" i="19"/>
  <c r="I1418" i="19" s="1"/>
  <c r="D1418" i="19"/>
  <c r="J1418" i="19" s="1"/>
  <c r="E1418" i="19"/>
  <c r="K1418" i="19" s="1"/>
  <c r="A1419" i="19"/>
  <c r="G1419" i="19" s="1"/>
  <c r="B1419" i="19"/>
  <c r="H1419" i="19" s="1"/>
  <c r="C1419" i="19"/>
  <c r="I1419" i="19" s="1"/>
  <c r="D1419" i="19"/>
  <c r="J1419" i="19" s="1"/>
  <c r="E1419" i="19"/>
  <c r="K1419" i="19" s="1"/>
  <c r="A1420" i="19"/>
  <c r="G1420" i="19" s="1"/>
  <c r="B1420" i="19"/>
  <c r="H1420" i="19" s="1"/>
  <c r="C1420" i="19"/>
  <c r="I1420" i="19" s="1"/>
  <c r="D1420" i="19"/>
  <c r="J1420" i="19" s="1"/>
  <c r="E1420" i="19"/>
  <c r="K1420" i="19" s="1"/>
  <c r="A1421" i="19"/>
  <c r="G1421" i="19" s="1"/>
  <c r="B1421" i="19"/>
  <c r="H1421" i="19" s="1"/>
  <c r="C1421" i="19"/>
  <c r="I1421" i="19" s="1"/>
  <c r="D1421" i="19"/>
  <c r="J1421" i="19" s="1"/>
  <c r="E1421" i="19"/>
  <c r="K1421" i="19" s="1"/>
  <c r="A1422" i="19"/>
  <c r="G1422" i="19" s="1"/>
  <c r="B1422" i="19"/>
  <c r="H1422" i="19" s="1"/>
  <c r="C1422" i="19"/>
  <c r="I1422" i="19" s="1"/>
  <c r="D1422" i="19"/>
  <c r="J1422" i="19" s="1"/>
  <c r="E1422" i="19"/>
  <c r="K1422" i="19" s="1"/>
  <c r="A1423" i="19"/>
  <c r="G1423" i="19" s="1"/>
  <c r="B1423" i="19"/>
  <c r="H1423" i="19" s="1"/>
  <c r="C1423" i="19"/>
  <c r="I1423" i="19" s="1"/>
  <c r="D1423" i="19"/>
  <c r="J1423" i="19" s="1"/>
  <c r="E1423" i="19"/>
  <c r="K1423" i="19" s="1"/>
  <c r="A1424" i="19"/>
  <c r="G1424" i="19" s="1"/>
  <c r="B1424" i="19"/>
  <c r="H1424" i="19" s="1"/>
  <c r="C1424" i="19"/>
  <c r="I1424" i="19" s="1"/>
  <c r="D1424" i="19"/>
  <c r="J1424" i="19" s="1"/>
  <c r="E1424" i="19"/>
  <c r="K1424" i="19" s="1"/>
  <c r="A1425" i="19"/>
  <c r="G1425" i="19" s="1"/>
  <c r="B1425" i="19"/>
  <c r="H1425" i="19" s="1"/>
  <c r="C1425" i="19"/>
  <c r="I1425" i="19" s="1"/>
  <c r="D1425" i="19"/>
  <c r="J1425" i="19" s="1"/>
  <c r="E1425" i="19"/>
  <c r="K1425" i="19" s="1"/>
  <c r="A1426" i="19"/>
  <c r="G1426" i="19" s="1"/>
  <c r="B1426" i="19"/>
  <c r="H1426" i="19" s="1"/>
  <c r="C1426" i="19"/>
  <c r="I1426" i="19" s="1"/>
  <c r="D1426" i="19"/>
  <c r="J1426" i="19" s="1"/>
  <c r="E1426" i="19"/>
  <c r="K1426" i="19" s="1"/>
  <c r="A1427" i="19"/>
  <c r="G1427" i="19" s="1"/>
  <c r="B1427" i="19"/>
  <c r="H1427" i="19" s="1"/>
  <c r="C1427" i="19"/>
  <c r="I1427" i="19" s="1"/>
  <c r="D1427" i="19"/>
  <c r="J1427" i="19" s="1"/>
  <c r="E1427" i="19"/>
  <c r="K1427" i="19" s="1"/>
  <c r="A1428" i="19"/>
  <c r="G1428" i="19" s="1"/>
  <c r="B1428" i="19"/>
  <c r="H1428" i="19" s="1"/>
  <c r="C1428" i="19"/>
  <c r="I1428" i="19" s="1"/>
  <c r="D1428" i="19"/>
  <c r="J1428" i="19" s="1"/>
  <c r="E1428" i="19"/>
  <c r="K1428" i="19" s="1"/>
  <c r="A1429" i="19"/>
  <c r="G1429" i="19" s="1"/>
  <c r="B1429" i="19"/>
  <c r="H1429" i="19" s="1"/>
  <c r="C1429" i="19"/>
  <c r="I1429" i="19" s="1"/>
  <c r="D1429" i="19"/>
  <c r="J1429" i="19" s="1"/>
  <c r="E1429" i="19"/>
  <c r="K1429" i="19" s="1"/>
  <c r="A1430" i="19"/>
  <c r="G1430" i="19" s="1"/>
  <c r="B1430" i="19"/>
  <c r="H1430" i="19" s="1"/>
  <c r="C1430" i="19"/>
  <c r="I1430" i="19" s="1"/>
  <c r="D1430" i="19"/>
  <c r="J1430" i="19" s="1"/>
  <c r="E1430" i="19"/>
  <c r="K1430" i="19" s="1"/>
  <c r="A1431" i="19"/>
  <c r="G1431" i="19" s="1"/>
  <c r="B1431" i="19"/>
  <c r="H1431" i="19" s="1"/>
  <c r="C1431" i="19"/>
  <c r="I1431" i="19" s="1"/>
  <c r="D1431" i="19"/>
  <c r="J1431" i="19" s="1"/>
  <c r="E1431" i="19"/>
  <c r="K1431" i="19" s="1"/>
  <c r="A1432" i="19"/>
  <c r="G1432" i="19" s="1"/>
  <c r="B1432" i="19"/>
  <c r="H1432" i="19" s="1"/>
  <c r="C1432" i="19"/>
  <c r="I1432" i="19" s="1"/>
  <c r="D1432" i="19"/>
  <c r="J1432" i="19" s="1"/>
  <c r="E1432" i="19"/>
  <c r="K1432" i="19" s="1"/>
  <c r="A1433" i="19"/>
  <c r="G1433" i="19" s="1"/>
  <c r="B1433" i="19"/>
  <c r="H1433" i="19" s="1"/>
  <c r="C1433" i="19"/>
  <c r="I1433" i="19" s="1"/>
  <c r="D1433" i="19"/>
  <c r="J1433" i="19" s="1"/>
  <c r="E1433" i="19"/>
  <c r="K1433" i="19" s="1"/>
  <c r="A1434" i="19"/>
  <c r="G1434" i="19" s="1"/>
  <c r="B1434" i="19"/>
  <c r="H1434" i="19" s="1"/>
  <c r="C1434" i="19"/>
  <c r="I1434" i="19" s="1"/>
  <c r="D1434" i="19"/>
  <c r="J1434" i="19" s="1"/>
  <c r="E1434" i="19"/>
  <c r="K1434" i="19" s="1"/>
  <c r="A1435" i="19"/>
  <c r="G1435" i="19" s="1"/>
  <c r="B1435" i="19"/>
  <c r="H1435" i="19" s="1"/>
  <c r="C1435" i="19"/>
  <c r="I1435" i="19" s="1"/>
  <c r="D1435" i="19"/>
  <c r="J1435" i="19" s="1"/>
  <c r="E1435" i="19"/>
  <c r="K1435" i="19" s="1"/>
  <c r="A1436" i="19"/>
  <c r="G1436" i="19" s="1"/>
  <c r="B1436" i="19"/>
  <c r="H1436" i="19" s="1"/>
  <c r="C1436" i="19"/>
  <c r="I1436" i="19" s="1"/>
  <c r="D1436" i="19"/>
  <c r="J1436" i="19" s="1"/>
  <c r="E1436" i="19"/>
  <c r="K1436" i="19" s="1"/>
  <c r="A1437" i="19"/>
  <c r="G1437" i="19" s="1"/>
  <c r="B1437" i="19"/>
  <c r="H1437" i="19" s="1"/>
  <c r="C1437" i="19"/>
  <c r="I1437" i="19" s="1"/>
  <c r="D1437" i="19"/>
  <c r="J1437" i="19" s="1"/>
  <c r="E1437" i="19"/>
  <c r="K1437" i="19" s="1"/>
  <c r="A1438" i="19"/>
  <c r="G1438" i="19" s="1"/>
  <c r="B1438" i="19"/>
  <c r="H1438" i="19" s="1"/>
  <c r="C1438" i="19"/>
  <c r="I1438" i="19" s="1"/>
  <c r="D1438" i="19"/>
  <c r="J1438" i="19" s="1"/>
  <c r="E1438" i="19"/>
  <c r="K1438" i="19" s="1"/>
  <c r="A1439" i="19"/>
  <c r="G1439" i="19" s="1"/>
  <c r="B1439" i="19"/>
  <c r="H1439" i="19" s="1"/>
  <c r="C1439" i="19"/>
  <c r="I1439" i="19" s="1"/>
  <c r="D1439" i="19"/>
  <c r="J1439" i="19" s="1"/>
  <c r="E1439" i="19"/>
  <c r="K1439" i="19" s="1"/>
  <c r="A1440" i="19"/>
  <c r="G1440" i="19" s="1"/>
  <c r="B1440" i="19"/>
  <c r="H1440" i="19" s="1"/>
  <c r="C1440" i="19"/>
  <c r="I1440" i="19" s="1"/>
  <c r="D1440" i="19"/>
  <c r="J1440" i="19" s="1"/>
  <c r="E1440" i="19"/>
  <c r="K1440" i="19" s="1"/>
  <c r="A1441" i="19"/>
  <c r="G1441" i="19" s="1"/>
  <c r="B1441" i="19"/>
  <c r="H1441" i="19" s="1"/>
  <c r="C1441" i="19"/>
  <c r="I1441" i="19" s="1"/>
  <c r="D1441" i="19"/>
  <c r="J1441" i="19" s="1"/>
  <c r="E1441" i="19"/>
  <c r="K1441" i="19" s="1"/>
  <c r="A1442" i="19"/>
  <c r="G1442" i="19" s="1"/>
  <c r="B1442" i="19"/>
  <c r="H1442" i="19" s="1"/>
  <c r="C1442" i="19"/>
  <c r="I1442" i="19" s="1"/>
  <c r="D1442" i="19"/>
  <c r="J1442" i="19" s="1"/>
  <c r="E1442" i="19"/>
  <c r="K1442" i="19" s="1"/>
  <c r="A1443" i="19"/>
  <c r="G1443" i="19" s="1"/>
  <c r="B1443" i="19"/>
  <c r="H1443" i="19" s="1"/>
  <c r="C1443" i="19"/>
  <c r="I1443" i="19" s="1"/>
  <c r="D1443" i="19"/>
  <c r="J1443" i="19" s="1"/>
  <c r="E1443" i="19"/>
  <c r="K1443" i="19" s="1"/>
  <c r="A1444" i="19"/>
  <c r="G1444" i="19" s="1"/>
  <c r="B1444" i="19"/>
  <c r="H1444" i="19" s="1"/>
  <c r="C1444" i="19"/>
  <c r="I1444" i="19" s="1"/>
  <c r="D1444" i="19"/>
  <c r="J1444" i="19" s="1"/>
  <c r="E1444" i="19"/>
  <c r="K1444" i="19" s="1"/>
  <c r="A1445" i="19"/>
  <c r="G1445" i="19" s="1"/>
  <c r="B1445" i="19"/>
  <c r="H1445" i="19" s="1"/>
  <c r="C1445" i="19"/>
  <c r="I1445" i="19" s="1"/>
  <c r="D1445" i="19"/>
  <c r="J1445" i="19" s="1"/>
  <c r="E1445" i="19"/>
  <c r="K1445" i="19" s="1"/>
  <c r="A1446" i="19"/>
  <c r="G1446" i="19" s="1"/>
  <c r="B1446" i="19"/>
  <c r="H1446" i="19" s="1"/>
  <c r="C1446" i="19"/>
  <c r="I1446" i="19" s="1"/>
  <c r="D1446" i="19"/>
  <c r="J1446" i="19" s="1"/>
  <c r="E1446" i="19"/>
  <c r="K1446" i="19" s="1"/>
  <c r="A1447" i="19"/>
  <c r="G1447" i="19" s="1"/>
  <c r="B1447" i="19"/>
  <c r="H1447" i="19" s="1"/>
  <c r="C1447" i="19"/>
  <c r="I1447" i="19" s="1"/>
  <c r="D1447" i="19"/>
  <c r="J1447" i="19" s="1"/>
  <c r="E1447" i="19"/>
  <c r="K1447" i="19" s="1"/>
  <c r="A1448" i="19"/>
  <c r="G1448" i="19" s="1"/>
  <c r="B1448" i="19"/>
  <c r="H1448" i="19" s="1"/>
  <c r="C1448" i="19"/>
  <c r="I1448" i="19" s="1"/>
  <c r="D1448" i="19"/>
  <c r="J1448" i="19" s="1"/>
  <c r="E1448" i="19"/>
  <c r="K1448" i="19" s="1"/>
  <c r="A1449" i="19"/>
  <c r="G1449" i="19" s="1"/>
  <c r="B1449" i="19"/>
  <c r="H1449" i="19" s="1"/>
  <c r="C1449" i="19"/>
  <c r="I1449" i="19" s="1"/>
  <c r="D1449" i="19"/>
  <c r="J1449" i="19" s="1"/>
  <c r="E1449" i="19"/>
  <c r="K1449" i="19" s="1"/>
  <c r="A1450" i="19"/>
  <c r="G1450" i="19" s="1"/>
  <c r="B1450" i="19"/>
  <c r="H1450" i="19" s="1"/>
  <c r="C1450" i="19"/>
  <c r="I1450" i="19" s="1"/>
  <c r="D1450" i="19"/>
  <c r="J1450" i="19" s="1"/>
  <c r="E1450" i="19"/>
  <c r="K1450" i="19" s="1"/>
  <c r="A1451" i="19"/>
  <c r="G1451" i="19" s="1"/>
  <c r="B1451" i="19"/>
  <c r="H1451" i="19" s="1"/>
  <c r="C1451" i="19"/>
  <c r="I1451" i="19" s="1"/>
  <c r="D1451" i="19"/>
  <c r="J1451" i="19" s="1"/>
  <c r="E1451" i="19"/>
  <c r="K1451" i="19" s="1"/>
  <c r="A1452" i="19"/>
  <c r="G1452" i="19" s="1"/>
  <c r="B1452" i="19"/>
  <c r="H1452" i="19" s="1"/>
  <c r="C1452" i="19"/>
  <c r="I1452" i="19" s="1"/>
  <c r="D1452" i="19"/>
  <c r="J1452" i="19" s="1"/>
  <c r="E1452" i="19"/>
  <c r="K1452" i="19" s="1"/>
  <c r="A1453" i="19"/>
  <c r="G1453" i="19" s="1"/>
  <c r="B1453" i="19"/>
  <c r="H1453" i="19" s="1"/>
  <c r="C1453" i="19"/>
  <c r="I1453" i="19" s="1"/>
  <c r="D1453" i="19"/>
  <c r="J1453" i="19" s="1"/>
  <c r="E1453" i="19"/>
  <c r="K1453" i="19" s="1"/>
  <c r="A1454" i="19"/>
  <c r="G1454" i="19" s="1"/>
  <c r="B1454" i="19"/>
  <c r="H1454" i="19" s="1"/>
  <c r="C1454" i="19"/>
  <c r="I1454" i="19" s="1"/>
  <c r="D1454" i="19"/>
  <c r="J1454" i="19" s="1"/>
  <c r="E1454" i="19"/>
  <c r="K1454" i="19" s="1"/>
  <c r="A1455" i="19"/>
  <c r="G1455" i="19" s="1"/>
  <c r="B1455" i="19"/>
  <c r="H1455" i="19" s="1"/>
  <c r="C1455" i="19"/>
  <c r="I1455" i="19" s="1"/>
  <c r="D1455" i="19"/>
  <c r="J1455" i="19" s="1"/>
  <c r="E1455" i="19"/>
  <c r="K1455" i="19" s="1"/>
  <c r="A1456" i="19"/>
  <c r="G1456" i="19" s="1"/>
  <c r="B1456" i="19"/>
  <c r="H1456" i="19" s="1"/>
  <c r="C1456" i="19"/>
  <c r="I1456" i="19" s="1"/>
  <c r="D1456" i="19"/>
  <c r="J1456" i="19" s="1"/>
  <c r="E1456" i="19"/>
  <c r="K1456" i="19" s="1"/>
  <c r="A1457" i="19"/>
  <c r="G1457" i="19" s="1"/>
  <c r="B1457" i="19"/>
  <c r="H1457" i="19" s="1"/>
  <c r="C1457" i="19"/>
  <c r="I1457" i="19" s="1"/>
  <c r="D1457" i="19"/>
  <c r="J1457" i="19" s="1"/>
  <c r="E1457" i="19"/>
  <c r="K1457" i="19" s="1"/>
  <c r="A1458" i="19"/>
  <c r="G1458" i="19" s="1"/>
  <c r="B1458" i="19"/>
  <c r="H1458" i="19" s="1"/>
  <c r="C1458" i="19"/>
  <c r="I1458" i="19" s="1"/>
  <c r="D1458" i="19"/>
  <c r="J1458" i="19" s="1"/>
  <c r="E1458" i="19"/>
  <c r="K1458" i="19" s="1"/>
  <c r="A1459" i="19"/>
  <c r="G1459" i="19" s="1"/>
  <c r="B1459" i="19"/>
  <c r="H1459" i="19" s="1"/>
  <c r="C1459" i="19"/>
  <c r="I1459" i="19" s="1"/>
  <c r="D1459" i="19"/>
  <c r="J1459" i="19" s="1"/>
  <c r="E1459" i="19"/>
  <c r="K1459" i="19" s="1"/>
  <c r="A1460" i="19"/>
  <c r="G1460" i="19" s="1"/>
  <c r="B1460" i="19"/>
  <c r="H1460" i="19" s="1"/>
  <c r="C1460" i="19"/>
  <c r="I1460" i="19" s="1"/>
  <c r="D1460" i="19"/>
  <c r="J1460" i="19" s="1"/>
  <c r="E1460" i="19"/>
  <c r="K1460" i="19" s="1"/>
  <c r="A1461" i="19"/>
  <c r="G1461" i="19" s="1"/>
  <c r="B1461" i="19"/>
  <c r="H1461" i="19" s="1"/>
  <c r="C1461" i="19"/>
  <c r="I1461" i="19" s="1"/>
  <c r="D1461" i="19"/>
  <c r="J1461" i="19" s="1"/>
  <c r="E1461" i="19"/>
  <c r="K1461" i="19" s="1"/>
  <c r="A1462" i="19"/>
  <c r="G1462" i="19" s="1"/>
  <c r="B1462" i="19"/>
  <c r="H1462" i="19" s="1"/>
  <c r="C1462" i="19"/>
  <c r="I1462" i="19" s="1"/>
  <c r="D1462" i="19"/>
  <c r="J1462" i="19" s="1"/>
  <c r="E1462" i="19"/>
  <c r="K1462" i="19" s="1"/>
  <c r="A1463" i="19"/>
  <c r="G1463" i="19" s="1"/>
  <c r="B1463" i="19"/>
  <c r="H1463" i="19" s="1"/>
  <c r="C1463" i="19"/>
  <c r="I1463" i="19" s="1"/>
  <c r="D1463" i="19"/>
  <c r="J1463" i="19" s="1"/>
  <c r="E1463" i="19"/>
  <c r="K1463" i="19" s="1"/>
  <c r="A1464" i="19"/>
  <c r="G1464" i="19" s="1"/>
  <c r="B1464" i="19"/>
  <c r="H1464" i="19" s="1"/>
  <c r="C1464" i="19"/>
  <c r="I1464" i="19" s="1"/>
  <c r="D1464" i="19"/>
  <c r="J1464" i="19" s="1"/>
  <c r="E1464" i="19"/>
  <c r="K1464" i="19" s="1"/>
  <c r="A1465" i="19"/>
  <c r="G1465" i="19" s="1"/>
  <c r="B1465" i="19"/>
  <c r="H1465" i="19" s="1"/>
  <c r="C1465" i="19"/>
  <c r="I1465" i="19" s="1"/>
  <c r="D1465" i="19"/>
  <c r="J1465" i="19" s="1"/>
  <c r="E1465" i="19"/>
  <c r="K1465" i="19" s="1"/>
  <c r="A1466" i="19"/>
  <c r="G1466" i="19" s="1"/>
  <c r="B1466" i="19"/>
  <c r="H1466" i="19" s="1"/>
  <c r="C1466" i="19"/>
  <c r="I1466" i="19" s="1"/>
  <c r="D1466" i="19"/>
  <c r="J1466" i="19" s="1"/>
  <c r="E1466" i="19"/>
  <c r="K1466" i="19" s="1"/>
  <c r="A1467" i="19"/>
  <c r="G1467" i="19" s="1"/>
  <c r="B1467" i="19"/>
  <c r="H1467" i="19" s="1"/>
  <c r="C1467" i="19"/>
  <c r="I1467" i="19" s="1"/>
  <c r="D1467" i="19"/>
  <c r="J1467" i="19" s="1"/>
  <c r="E1467" i="19"/>
  <c r="K1467" i="19" s="1"/>
  <c r="A1468" i="19"/>
  <c r="G1468" i="19" s="1"/>
  <c r="B1468" i="19"/>
  <c r="H1468" i="19" s="1"/>
  <c r="C1468" i="19"/>
  <c r="I1468" i="19" s="1"/>
  <c r="D1468" i="19"/>
  <c r="J1468" i="19" s="1"/>
  <c r="E1468" i="19"/>
  <c r="K1468" i="19" s="1"/>
  <c r="A1469" i="19"/>
  <c r="G1469" i="19" s="1"/>
  <c r="B1469" i="19"/>
  <c r="H1469" i="19" s="1"/>
  <c r="C1469" i="19"/>
  <c r="I1469" i="19" s="1"/>
  <c r="D1469" i="19"/>
  <c r="J1469" i="19" s="1"/>
  <c r="E1469" i="19"/>
  <c r="K1469" i="19" s="1"/>
  <c r="A1470" i="19"/>
  <c r="G1470" i="19" s="1"/>
  <c r="B1470" i="19"/>
  <c r="H1470" i="19" s="1"/>
  <c r="C1470" i="19"/>
  <c r="I1470" i="19" s="1"/>
  <c r="D1470" i="19"/>
  <c r="J1470" i="19" s="1"/>
  <c r="E1470" i="19"/>
  <c r="K1470" i="19" s="1"/>
  <c r="A1471" i="19"/>
  <c r="G1471" i="19" s="1"/>
  <c r="B1471" i="19"/>
  <c r="H1471" i="19" s="1"/>
  <c r="C1471" i="19"/>
  <c r="I1471" i="19" s="1"/>
  <c r="D1471" i="19"/>
  <c r="J1471" i="19" s="1"/>
  <c r="E1471" i="19"/>
  <c r="K1471" i="19" s="1"/>
  <c r="A1472" i="19"/>
  <c r="G1472" i="19" s="1"/>
  <c r="B1472" i="19"/>
  <c r="H1472" i="19" s="1"/>
  <c r="C1472" i="19"/>
  <c r="I1472" i="19" s="1"/>
  <c r="D1472" i="19"/>
  <c r="J1472" i="19" s="1"/>
  <c r="E1472" i="19"/>
  <c r="K1472" i="19" s="1"/>
  <c r="A1473" i="19"/>
  <c r="G1473" i="19" s="1"/>
  <c r="B1473" i="19"/>
  <c r="H1473" i="19" s="1"/>
  <c r="C1473" i="19"/>
  <c r="I1473" i="19" s="1"/>
  <c r="D1473" i="19"/>
  <c r="J1473" i="19" s="1"/>
  <c r="E1473" i="19"/>
  <c r="K1473" i="19" s="1"/>
  <c r="A1474" i="19"/>
  <c r="G1474" i="19" s="1"/>
  <c r="B1474" i="19"/>
  <c r="H1474" i="19" s="1"/>
  <c r="C1474" i="19"/>
  <c r="I1474" i="19" s="1"/>
  <c r="D1474" i="19"/>
  <c r="J1474" i="19" s="1"/>
  <c r="E1474" i="19"/>
  <c r="K1474" i="19" s="1"/>
  <c r="A1475" i="19"/>
  <c r="G1475" i="19" s="1"/>
  <c r="B1475" i="19"/>
  <c r="H1475" i="19" s="1"/>
  <c r="C1475" i="19"/>
  <c r="I1475" i="19" s="1"/>
  <c r="D1475" i="19"/>
  <c r="J1475" i="19" s="1"/>
  <c r="E1475" i="19"/>
  <c r="K1475" i="19" s="1"/>
  <c r="A1476" i="19"/>
  <c r="G1476" i="19" s="1"/>
  <c r="B1476" i="19"/>
  <c r="H1476" i="19" s="1"/>
  <c r="C1476" i="19"/>
  <c r="I1476" i="19" s="1"/>
  <c r="D1476" i="19"/>
  <c r="J1476" i="19" s="1"/>
  <c r="E1476" i="19"/>
  <c r="K1476" i="19" s="1"/>
  <c r="A1477" i="19"/>
  <c r="G1477" i="19" s="1"/>
  <c r="B1477" i="19"/>
  <c r="H1477" i="19" s="1"/>
  <c r="C1477" i="19"/>
  <c r="I1477" i="19" s="1"/>
  <c r="D1477" i="19"/>
  <c r="J1477" i="19" s="1"/>
  <c r="E1477" i="19"/>
  <c r="K1477" i="19" s="1"/>
  <c r="A1478" i="19"/>
  <c r="G1478" i="19" s="1"/>
  <c r="B1478" i="19"/>
  <c r="H1478" i="19" s="1"/>
  <c r="C1478" i="19"/>
  <c r="I1478" i="19" s="1"/>
  <c r="D1478" i="19"/>
  <c r="J1478" i="19" s="1"/>
  <c r="E1478" i="19"/>
  <c r="K1478" i="19" s="1"/>
  <c r="A1479" i="19"/>
  <c r="G1479" i="19" s="1"/>
  <c r="B1479" i="19"/>
  <c r="H1479" i="19" s="1"/>
  <c r="C1479" i="19"/>
  <c r="I1479" i="19" s="1"/>
  <c r="D1479" i="19"/>
  <c r="J1479" i="19" s="1"/>
  <c r="E1479" i="19"/>
  <c r="K1479" i="19" s="1"/>
  <c r="A1480" i="19"/>
  <c r="G1480" i="19" s="1"/>
  <c r="B1480" i="19"/>
  <c r="H1480" i="19" s="1"/>
  <c r="C1480" i="19"/>
  <c r="I1480" i="19" s="1"/>
  <c r="D1480" i="19"/>
  <c r="J1480" i="19" s="1"/>
  <c r="E1480" i="19"/>
  <c r="K1480" i="19" s="1"/>
  <c r="A1481" i="19"/>
  <c r="G1481" i="19" s="1"/>
  <c r="B1481" i="19"/>
  <c r="H1481" i="19" s="1"/>
  <c r="C1481" i="19"/>
  <c r="I1481" i="19" s="1"/>
  <c r="D1481" i="19"/>
  <c r="J1481" i="19" s="1"/>
  <c r="E1481" i="19"/>
  <c r="K1481" i="19" s="1"/>
  <c r="A1482" i="19"/>
  <c r="G1482" i="19" s="1"/>
  <c r="B1482" i="19"/>
  <c r="H1482" i="19" s="1"/>
  <c r="C1482" i="19"/>
  <c r="I1482" i="19" s="1"/>
  <c r="D1482" i="19"/>
  <c r="J1482" i="19" s="1"/>
  <c r="E1482" i="19"/>
  <c r="K1482" i="19" s="1"/>
  <c r="A1483" i="19"/>
  <c r="G1483" i="19" s="1"/>
  <c r="B1483" i="19"/>
  <c r="H1483" i="19" s="1"/>
  <c r="C1483" i="19"/>
  <c r="I1483" i="19" s="1"/>
  <c r="D1483" i="19"/>
  <c r="J1483" i="19" s="1"/>
  <c r="E1483" i="19"/>
  <c r="K1483" i="19" s="1"/>
  <c r="A1484" i="19"/>
  <c r="G1484" i="19" s="1"/>
  <c r="B1484" i="19"/>
  <c r="H1484" i="19" s="1"/>
  <c r="C1484" i="19"/>
  <c r="I1484" i="19" s="1"/>
  <c r="D1484" i="19"/>
  <c r="J1484" i="19" s="1"/>
  <c r="E1484" i="19"/>
  <c r="K1484" i="19" s="1"/>
  <c r="A1485" i="19"/>
  <c r="G1485" i="19" s="1"/>
  <c r="B1485" i="19"/>
  <c r="H1485" i="19" s="1"/>
  <c r="C1485" i="19"/>
  <c r="I1485" i="19" s="1"/>
  <c r="D1485" i="19"/>
  <c r="J1485" i="19" s="1"/>
  <c r="E1485" i="19"/>
  <c r="K1485" i="19" s="1"/>
  <c r="A1486" i="19"/>
  <c r="G1486" i="19" s="1"/>
  <c r="B1486" i="19"/>
  <c r="H1486" i="19" s="1"/>
  <c r="C1486" i="19"/>
  <c r="I1486" i="19" s="1"/>
  <c r="D1486" i="19"/>
  <c r="J1486" i="19" s="1"/>
  <c r="E1486" i="19"/>
  <c r="K1486" i="19" s="1"/>
  <c r="A1487" i="19"/>
  <c r="G1487" i="19" s="1"/>
  <c r="B1487" i="19"/>
  <c r="H1487" i="19" s="1"/>
  <c r="C1487" i="19"/>
  <c r="I1487" i="19" s="1"/>
  <c r="D1487" i="19"/>
  <c r="J1487" i="19" s="1"/>
  <c r="E1487" i="19"/>
  <c r="K1487" i="19" s="1"/>
  <c r="A1488" i="19"/>
  <c r="G1488" i="19" s="1"/>
  <c r="B1488" i="19"/>
  <c r="H1488" i="19" s="1"/>
  <c r="C1488" i="19"/>
  <c r="I1488" i="19" s="1"/>
  <c r="D1488" i="19"/>
  <c r="J1488" i="19" s="1"/>
  <c r="E1488" i="19"/>
  <c r="K1488" i="19" s="1"/>
  <c r="A1489" i="19"/>
  <c r="G1489" i="19" s="1"/>
  <c r="B1489" i="19"/>
  <c r="H1489" i="19" s="1"/>
  <c r="C1489" i="19"/>
  <c r="I1489" i="19" s="1"/>
  <c r="D1489" i="19"/>
  <c r="J1489" i="19" s="1"/>
  <c r="E1489" i="19"/>
  <c r="K1489" i="19" s="1"/>
  <c r="A1490" i="19"/>
  <c r="G1490" i="19" s="1"/>
  <c r="B1490" i="19"/>
  <c r="H1490" i="19" s="1"/>
  <c r="C1490" i="19"/>
  <c r="I1490" i="19" s="1"/>
  <c r="D1490" i="19"/>
  <c r="J1490" i="19" s="1"/>
  <c r="E1490" i="19"/>
  <c r="K1490" i="19" s="1"/>
  <c r="A1491" i="19"/>
  <c r="G1491" i="19" s="1"/>
  <c r="B1491" i="19"/>
  <c r="H1491" i="19" s="1"/>
  <c r="C1491" i="19"/>
  <c r="I1491" i="19" s="1"/>
  <c r="D1491" i="19"/>
  <c r="J1491" i="19" s="1"/>
  <c r="E1491" i="19"/>
  <c r="K1491" i="19" s="1"/>
  <c r="A1492" i="19"/>
  <c r="G1492" i="19" s="1"/>
  <c r="B1492" i="19"/>
  <c r="H1492" i="19" s="1"/>
  <c r="C1492" i="19"/>
  <c r="I1492" i="19" s="1"/>
  <c r="D1492" i="19"/>
  <c r="J1492" i="19" s="1"/>
  <c r="E1492" i="19"/>
  <c r="K1492" i="19" s="1"/>
  <c r="A1493" i="19"/>
  <c r="G1493" i="19" s="1"/>
  <c r="B1493" i="19"/>
  <c r="H1493" i="19" s="1"/>
  <c r="C1493" i="19"/>
  <c r="I1493" i="19" s="1"/>
  <c r="D1493" i="19"/>
  <c r="J1493" i="19" s="1"/>
  <c r="E1493" i="19"/>
  <c r="K1493" i="19" s="1"/>
  <c r="A1494" i="19"/>
  <c r="G1494" i="19" s="1"/>
  <c r="B1494" i="19"/>
  <c r="H1494" i="19" s="1"/>
  <c r="C1494" i="19"/>
  <c r="I1494" i="19" s="1"/>
  <c r="D1494" i="19"/>
  <c r="J1494" i="19" s="1"/>
  <c r="E1494" i="19"/>
  <c r="K1494" i="19" s="1"/>
  <c r="A1495" i="19"/>
  <c r="G1495" i="19" s="1"/>
  <c r="B1495" i="19"/>
  <c r="H1495" i="19" s="1"/>
  <c r="C1495" i="19"/>
  <c r="I1495" i="19" s="1"/>
  <c r="D1495" i="19"/>
  <c r="J1495" i="19" s="1"/>
  <c r="E1495" i="19"/>
  <c r="K1495" i="19" s="1"/>
  <c r="A1496" i="19"/>
  <c r="G1496" i="19" s="1"/>
  <c r="B1496" i="19"/>
  <c r="H1496" i="19" s="1"/>
  <c r="C1496" i="19"/>
  <c r="I1496" i="19" s="1"/>
  <c r="D1496" i="19"/>
  <c r="J1496" i="19" s="1"/>
  <c r="E1496" i="19"/>
  <c r="K1496" i="19" s="1"/>
  <c r="A1497" i="19"/>
  <c r="G1497" i="19" s="1"/>
  <c r="B1497" i="19"/>
  <c r="H1497" i="19" s="1"/>
  <c r="C1497" i="19"/>
  <c r="I1497" i="19" s="1"/>
  <c r="D1497" i="19"/>
  <c r="J1497" i="19" s="1"/>
  <c r="E1497" i="19"/>
  <c r="K1497" i="19" s="1"/>
  <c r="A1498" i="19"/>
  <c r="G1498" i="19" s="1"/>
  <c r="B1498" i="19"/>
  <c r="H1498" i="19" s="1"/>
  <c r="C1498" i="19"/>
  <c r="I1498" i="19" s="1"/>
  <c r="D1498" i="19"/>
  <c r="J1498" i="19" s="1"/>
  <c r="E1498" i="19"/>
  <c r="K1498" i="19" s="1"/>
  <c r="A1499" i="19"/>
  <c r="G1499" i="19" s="1"/>
  <c r="B1499" i="19"/>
  <c r="H1499" i="19" s="1"/>
  <c r="C1499" i="19"/>
  <c r="I1499" i="19" s="1"/>
  <c r="D1499" i="19"/>
  <c r="J1499" i="19" s="1"/>
  <c r="E1499" i="19"/>
  <c r="K1499" i="19" s="1"/>
  <c r="A1500" i="19"/>
  <c r="G1500" i="19" s="1"/>
  <c r="B1500" i="19"/>
  <c r="H1500" i="19" s="1"/>
  <c r="C1500" i="19"/>
  <c r="I1500" i="19" s="1"/>
  <c r="D1500" i="19"/>
  <c r="J1500" i="19" s="1"/>
  <c r="E1500" i="19"/>
  <c r="K1500" i="19" s="1"/>
  <c r="A1501" i="19"/>
  <c r="G1501" i="19" s="1"/>
  <c r="B1501" i="19"/>
  <c r="H1501" i="19" s="1"/>
  <c r="C1501" i="19"/>
  <c r="I1501" i="19" s="1"/>
  <c r="D1501" i="19"/>
  <c r="J1501" i="19" s="1"/>
  <c r="E1501" i="19"/>
  <c r="K1501" i="19" s="1"/>
  <c r="A1502" i="19"/>
  <c r="G1502" i="19" s="1"/>
  <c r="B1502" i="19"/>
  <c r="H1502" i="19" s="1"/>
  <c r="C1502" i="19"/>
  <c r="I1502" i="19" s="1"/>
  <c r="D1502" i="19"/>
  <c r="J1502" i="19" s="1"/>
  <c r="E1502" i="19"/>
  <c r="K1502" i="19" s="1"/>
  <c r="A1503" i="19"/>
  <c r="G1503" i="19" s="1"/>
  <c r="B1503" i="19"/>
  <c r="H1503" i="19" s="1"/>
  <c r="C1503" i="19"/>
  <c r="I1503" i="19" s="1"/>
  <c r="D1503" i="19"/>
  <c r="J1503" i="19" s="1"/>
  <c r="E1503" i="19"/>
  <c r="K1503" i="19" s="1"/>
  <c r="A1504" i="19"/>
  <c r="G1504" i="19" s="1"/>
  <c r="B1504" i="19"/>
  <c r="H1504" i="19" s="1"/>
  <c r="C1504" i="19"/>
  <c r="I1504" i="19" s="1"/>
  <c r="D1504" i="19"/>
  <c r="J1504" i="19" s="1"/>
  <c r="E1504" i="19"/>
  <c r="K1504" i="19" s="1"/>
  <c r="A1505" i="19"/>
  <c r="G1505" i="19" s="1"/>
  <c r="B1505" i="19"/>
  <c r="H1505" i="19" s="1"/>
  <c r="C1505" i="19"/>
  <c r="I1505" i="19" s="1"/>
  <c r="D1505" i="19"/>
  <c r="J1505" i="19" s="1"/>
  <c r="E1505" i="19"/>
  <c r="K1505" i="19" s="1"/>
  <c r="A1506" i="19"/>
  <c r="G1506" i="19" s="1"/>
  <c r="B1506" i="19"/>
  <c r="H1506" i="19" s="1"/>
  <c r="C1506" i="19"/>
  <c r="I1506" i="19" s="1"/>
  <c r="D1506" i="19"/>
  <c r="J1506" i="19" s="1"/>
  <c r="E1506" i="19"/>
  <c r="K1506" i="19" s="1"/>
  <c r="A1507" i="19"/>
  <c r="G1507" i="19" s="1"/>
  <c r="B1507" i="19"/>
  <c r="H1507" i="19" s="1"/>
  <c r="C1507" i="19"/>
  <c r="I1507" i="19" s="1"/>
  <c r="D1507" i="19"/>
  <c r="J1507" i="19" s="1"/>
  <c r="E1507" i="19"/>
  <c r="K1507" i="19" s="1"/>
  <c r="A1508" i="19"/>
  <c r="G1508" i="19" s="1"/>
  <c r="B1508" i="19"/>
  <c r="H1508" i="19" s="1"/>
  <c r="C1508" i="19"/>
  <c r="I1508" i="19" s="1"/>
  <c r="D1508" i="19"/>
  <c r="J1508" i="19" s="1"/>
  <c r="E1508" i="19"/>
  <c r="K1508" i="19" s="1"/>
  <c r="A1509" i="19"/>
  <c r="G1509" i="19" s="1"/>
  <c r="B1509" i="19"/>
  <c r="H1509" i="19" s="1"/>
  <c r="C1509" i="19"/>
  <c r="I1509" i="19" s="1"/>
  <c r="D1509" i="19"/>
  <c r="J1509" i="19" s="1"/>
  <c r="E1509" i="19"/>
  <c r="K1509" i="19" s="1"/>
  <c r="A1510" i="19"/>
  <c r="G1510" i="19" s="1"/>
  <c r="B1510" i="19"/>
  <c r="H1510" i="19" s="1"/>
  <c r="C1510" i="19"/>
  <c r="I1510" i="19" s="1"/>
  <c r="D1510" i="19"/>
  <c r="J1510" i="19" s="1"/>
  <c r="E1510" i="19"/>
  <c r="K1510" i="19" s="1"/>
  <c r="A1511" i="19"/>
  <c r="G1511" i="19" s="1"/>
  <c r="B1511" i="19"/>
  <c r="H1511" i="19" s="1"/>
  <c r="C1511" i="19"/>
  <c r="I1511" i="19" s="1"/>
  <c r="D1511" i="19"/>
  <c r="J1511" i="19" s="1"/>
  <c r="E1511" i="19"/>
  <c r="K1511" i="19" s="1"/>
  <c r="A1512" i="19"/>
  <c r="G1512" i="19" s="1"/>
  <c r="B1512" i="19"/>
  <c r="H1512" i="19" s="1"/>
  <c r="C1512" i="19"/>
  <c r="I1512" i="19" s="1"/>
  <c r="D1512" i="19"/>
  <c r="J1512" i="19" s="1"/>
  <c r="E1512" i="19"/>
  <c r="K1512" i="19" s="1"/>
  <c r="A1513" i="19"/>
  <c r="G1513" i="19" s="1"/>
  <c r="B1513" i="19"/>
  <c r="H1513" i="19" s="1"/>
  <c r="C1513" i="19"/>
  <c r="I1513" i="19" s="1"/>
  <c r="D1513" i="19"/>
  <c r="J1513" i="19" s="1"/>
  <c r="E1513" i="19"/>
  <c r="K1513" i="19" s="1"/>
  <c r="A1514" i="19"/>
  <c r="G1514" i="19" s="1"/>
  <c r="B1514" i="19"/>
  <c r="H1514" i="19" s="1"/>
  <c r="C1514" i="19"/>
  <c r="I1514" i="19" s="1"/>
  <c r="D1514" i="19"/>
  <c r="J1514" i="19" s="1"/>
  <c r="E1514" i="19"/>
  <c r="K1514" i="19" s="1"/>
  <c r="A1515" i="19"/>
  <c r="G1515" i="19" s="1"/>
  <c r="B1515" i="19"/>
  <c r="H1515" i="19" s="1"/>
  <c r="C1515" i="19"/>
  <c r="I1515" i="19" s="1"/>
  <c r="D1515" i="19"/>
  <c r="J1515" i="19" s="1"/>
  <c r="E1515" i="19"/>
  <c r="K1515" i="19" s="1"/>
  <c r="A1516" i="19"/>
  <c r="G1516" i="19" s="1"/>
  <c r="B1516" i="19"/>
  <c r="H1516" i="19" s="1"/>
  <c r="C1516" i="19"/>
  <c r="I1516" i="19" s="1"/>
  <c r="D1516" i="19"/>
  <c r="J1516" i="19" s="1"/>
  <c r="E1516" i="19"/>
  <c r="K1516" i="19" s="1"/>
  <c r="A1517" i="19"/>
  <c r="G1517" i="19" s="1"/>
  <c r="B1517" i="19"/>
  <c r="H1517" i="19" s="1"/>
  <c r="C1517" i="19"/>
  <c r="I1517" i="19" s="1"/>
  <c r="D1517" i="19"/>
  <c r="J1517" i="19" s="1"/>
  <c r="E1517" i="19"/>
  <c r="K1517" i="19" s="1"/>
  <c r="A1518" i="19"/>
  <c r="G1518" i="19" s="1"/>
  <c r="B1518" i="19"/>
  <c r="H1518" i="19" s="1"/>
  <c r="C1518" i="19"/>
  <c r="I1518" i="19" s="1"/>
  <c r="D1518" i="19"/>
  <c r="J1518" i="19" s="1"/>
  <c r="E1518" i="19"/>
  <c r="K1518" i="19" s="1"/>
  <c r="A1519" i="19"/>
  <c r="G1519" i="19" s="1"/>
  <c r="B1519" i="19"/>
  <c r="H1519" i="19" s="1"/>
  <c r="C1519" i="19"/>
  <c r="I1519" i="19" s="1"/>
  <c r="D1519" i="19"/>
  <c r="J1519" i="19" s="1"/>
  <c r="E1519" i="19"/>
  <c r="K1519" i="19" s="1"/>
  <c r="A1520" i="19"/>
  <c r="G1520" i="19" s="1"/>
  <c r="B1520" i="19"/>
  <c r="H1520" i="19" s="1"/>
  <c r="C1520" i="19"/>
  <c r="I1520" i="19" s="1"/>
  <c r="D1520" i="19"/>
  <c r="J1520" i="19" s="1"/>
  <c r="E1520" i="19"/>
  <c r="K1520" i="19" s="1"/>
  <c r="A1521" i="19"/>
  <c r="G1521" i="19" s="1"/>
  <c r="B1521" i="19"/>
  <c r="H1521" i="19" s="1"/>
  <c r="C1521" i="19"/>
  <c r="I1521" i="19" s="1"/>
  <c r="D1521" i="19"/>
  <c r="J1521" i="19" s="1"/>
  <c r="E1521" i="19"/>
  <c r="K1521" i="19" s="1"/>
  <c r="A1522" i="19"/>
  <c r="G1522" i="19" s="1"/>
  <c r="B1522" i="19"/>
  <c r="H1522" i="19" s="1"/>
  <c r="C1522" i="19"/>
  <c r="I1522" i="19" s="1"/>
  <c r="D1522" i="19"/>
  <c r="J1522" i="19" s="1"/>
  <c r="E1522" i="19"/>
  <c r="K1522" i="19" s="1"/>
  <c r="A1523" i="19"/>
  <c r="G1523" i="19" s="1"/>
  <c r="B1523" i="19"/>
  <c r="H1523" i="19" s="1"/>
  <c r="C1523" i="19"/>
  <c r="I1523" i="19" s="1"/>
  <c r="D1523" i="19"/>
  <c r="J1523" i="19" s="1"/>
  <c r="E1523" i="19"/>
  <c r="K1523" i="19" s="1"/>
  <c r="A1524" i="19"/>
  <c r="G1524" i="19" s="1"/>
  <c r="B1524" i="19"/>
  <c r="H1524" i="19" s="1"/>
  <c r="C1524" i="19"/>
  <c r="I1524" i="19" s="1"/>
  <c r="D1524" i="19"/>
  <c r="J1524" i="19" s="1"/>
  <c r="E1524" i="19"/>
  <c r="K1524" i="19" s="1"/>
  <c r="A1525" i="19"/>
  <c r="G1525" i="19" s="1"/>
  <c r="B1525" i="19"/>
  <c r="H1525" i="19" s="1"/>
  <c r="C1525" i="19"/>
  <c r="I1525" i="19" s="1"/>
  <c r="D1525" i="19"/>
  <c r="J1525" i="19" s="1"/>
  <c r="E1525" i="19"/>
  <c r="K1525" i="19" s="1"/>
  <c r="A1526" i="19"/>
  <c r="G1526" i="19" s="1"/>
  <c r="B1526" i="19"/>
  <c r="H1526" i="19" s="1"/>
  <c r="C1526" i="19"/>
  <c r="I1526" i="19" s="1"/>
  <c r="D1526" i="19"/>
  <c r="J1526" i="19" s="1"/>
  <c r="E1526" i="19"/>
  <c r="K1526" i="19" s="1"/>
  <c r="A1527" i="19"/>
  <c r="G1527" i="19" s="1"/>
  <c r="B1527" i="19"/>
  <c r="H1527" i="19" s="1"/>
  <c r="C1527" i="19"/>
  <c r="I1527" i="19" s="1"/>
  <c r="D1527" i="19"/>
  <c r="J1527" i="19" s="1"/>
  <c r="E1527" i="19"/>
  <c r="K1527" i="19" s="1"/>
  <c r="A1528" i="19"/>
  <c r="G1528" i="19" s="1"/>
  <c r="B1528" i="19"/>
  <c r="H1528" i="19" s="1"/>
  <c r="C1528" i="19"/>
  <c r="I1528" i="19" s="1"/>
  <c r="D1528" i="19"/>
  <c r="J1528" i="19" s="1"/>
  <c r="E1528" i="19"/>
  <c r="K1528" i="19" s="1"/>
  <c r="A1529" i="19"/>
  <c r="G1529" i="19" s="1"/>
  <c r="B1529" i="19"/>
  <c r="H1529" i="19" s="1"/>
  <c r="C1529" i="19"/>
  <c r="I1529" i="19" s="1"/>
  <c r="D1529" i="19"/>
  <c r="J1529" i="19" s="1"/>
  <c r="E1529" i="19"/>
  <c r="K1529" i="19" s="1"/>
  <c r="A1530" i="19"/>
  <c r="G1530" i="19" s="1"/>
  <c r="B1530" i="19"/>
  <c r="H1530" i="19" s="1"/>
  <c r="C1530" i="19"/>
  <c r="I1530" i="19" s="1"/>
  <c r="D1530" i="19"/>
  <c r="J1530" i="19" s="1"/>
  <c r="E1530" i="19"/>
  <c r="K1530" i="19" s="1"/>
  <c r="A1531" i="19"/>
  <c r="G1531" i="19" s="1"/>
  <c r="B1531" i="19"/>
  <c r="H1531" i="19" s="1"/>
  <c r="C1531" i="19"/>
  <c r="I1531" i="19" s="1"/>
  <c r="D1531" i="19"/>
  <c r="J1531" i="19" s="1"/>
  <c r="E1531" i="19"/>
  <c r="K1531" i="19" s="1"/>
  <c r="A1532" i="19"/>
  <c r="G1532" i="19" s="1"/>
  <c r="B1532" i="19"/>
  <c r="H1532" i="19" s="1"/>
  <c r="C1532" i="19"/>
  <c r="I1532" i="19" s="1"/>
  <c r="D1532" i="19"/>
  <c r="J1532" i="19" s="1"/>
  <c r="E1532" i="19"/>
  <c r="K1532" i="19" s="1"/>
  <c r="A1533" i="19"/>
  <c r="G1533" i="19" s="1"/>
  <c r="B1533" i="19"/>
  <c r="H1533" i="19" s="1"/>
  <c r="C1533" i="19"/>
  <c r="I1533" i="19" s="1"/>
  <c r="D1533" i="19"/>
  <c r="J1533" i="19" s="1"/>
  <c r="E1533" i="19"/>
  <c r="K1533" i="19" s="1"/>
  <c r="A1534" i="19"/>
  <c r="G1534" i="19" s="1"/>
  <c r="B1534" i="19"/>
  <c r="H1534" i="19" s="1"/>
  <c r="C1534" i="19"/>
  <c r="I1534" i="19" s="1"/>
  <c r="D1534" i="19"/>
  <c r="J1534" i="19" s="1"/>
  <c r="E1534" i="19"/>
  <c r="K1534" i="19" s="1"/>
  <c r="A1535" i="19"/>
  <c r="G1535" i="19" s="1"/>
  <c r="B1535" i="19"/>
  <c r="H1535" i="19" s="1"/>
  <c r="C1535" i="19"/>
  <c r="I1535" i="19" s="1"/>
  <c r="D1535" i="19"/>
  <c r="J1535" i="19" s="1"/>
  <c r="E1535" i="19"/>
  <c r="K1535" i="19" s="1"/>
  <c r="A1536" i="19"/>
  <c r="G1536" i="19" s="1"/>
  <c r="B1536" i="19"/>
  <c r="H1536" i="19" s="1"/>
  <c r="C1536" i="19"/>
  <c r="I1536" i="19" s="1"/>
  <c r="D1536" i="19"/>
  <c r="J1536" i="19" s="1"/>
  <c r="E1536" i="19"/>
  <c r="K1536" i="19" s="1"/>
  <c r="A1537" i="19"/>
  <c r="G1537" i="19" s="1"/>
  <c r="B1537" i="19"/>
  <c r="H1537" i="19" s="1"/>
  <c r="C1537" i="19"/>
  <c r="I1537" i="19" s="1"/>
  <c r="D1537" i="19"/>
  <c r="J1537" i="19" s="1"/>
  <c r="E1537" i="19"/>
  <c r="K1537" i="19" s="1"/>
  <c r="A1538" i="19"/>
  <c r="G1538" i="19" s="1"/>
  <c r="B1538" i="19"/>
  <c r="H1538" i="19" s="1"/>
  <c r="C1538" i="19"/>
  <c r="I1538" i="19" s="1"/>
  <c r="D1538" i="19"/>
  <c r="J1538" i="19" s="1"/>
  <c r="E1538" i="19"/>
  <c r="K1538" i="19" s="1"/>
  <c r="A1539" i="19"/>
  <c r="G1539" i="19" s="1"/>
  <c r="B1539" i="19"/>
  <c r="H1539" i="19" s="1"/>
  <c r="C1539" i="19"/>
  <c r="I1539" i="19" s="1"/>
  <c r="D1539" i="19"/>
  <c r="J1539" i="19" s="1"/>
  <c r="E1539" i="19"/>
  <c r="K1539" i="19" s="1"/>
  <c r="A1540" i="19"/>
  <c r="G1540" i="19" s="1"/>
  <c r="B1540" i="19"/>
  <c r="H1540" i="19" s="1"/>
  <c r="C1540" i="19"/>
  <c r="I1540" i="19" s="1"/>
  <c r="D1540" i="19"/>
  <c r="J1540" i="19" s="1"/>
  <c r="E1540" i="19"/>
  <c r="K1540" i="19" s="1"/>
  <c r="A1541" i="19"/>
  <c r="G1541" i="19" s="1"/>
  <c r="B1541" i="19"/>
  <c r="H1541" i="19" s="1"/>
  <c r="C1541" i="19"/>
  <c r="I1541" i="19" s="1"/>
  <c r="D1541" i="19"/>
  <c r="J1541" i="19" s="1"/>
  <c r="E1541" i="19"/>
  <c r="K1541" i="19" s="1"/>
  <c r="A1542" i="19"/>
  <c r="G1542" i="19" s="1"/>
  <c r="B1542" i="19"/>
  <c r="H1542" i="19" s="1"/>
  <c r="C1542" i="19"/>
  <c r="I1542" i="19" s="1"/>
  <c r="D1542" i="19"/>
  <c r="J1542" i="19" s="1"/>
  <c r="E1542" i="19"/>
  <c r="K1542" i="19" s="1"/>
  <c r="A1543" i="19"/>
  <c r="G1543" i="19" s="1"/>
  <c r="B1543" i="19"/>
  <c r="H1543" i="19" s="1"/>
  <c r="C1543" i="19"/>
  <c r="I1543" i="19" s="1"/>
  <c r="D1543" i="19"/>
  <c r="J1543" i="19" s="1"/>
  <c r="E1543" i="19"/>
  <c r="K1543" i="19" s="1"/>
  <c r="A1544" i="19"/>
  <c r="G1544" i="19" s="1"/>
  <c r="B1544" i="19"/>
  <c r="H1544" i="19" s="1"/>
  <c r="C1544" i="19"/>
  <c r="I1544" i="19" s="1"/>
  <c r="D1544" i="19"/>
  <c r="J1544" i="19" s="1"/>
  <c r="E1544" i="19"/>
  <c r="K1544" i="19" s="1"/>
  <c r="A1545" i="19"/>
  <c r="G1545" i="19" s="1"/>
  <c r="B1545" i="19"/>
  <c r="H1545" i="19" s="1"/>
  <c r="C1545" i="19"/>
  <c r="I1545" i="19" s="1"/>
  <c r="D1545" i="19"/>
  <c r="J1545" i="19" s="1"/>
  <c r="E1545" i="19"/>
  <c r="K1545" i="19" s="1"/>
  <c r="A1546" i="19"/>
  <c r="G1546" i="19" s="1"/>
  <c r="B1546" i="19"/>
  <c r="H1546" i="19" s="1"/>
  <c r="C1546" i="19"/>
  <c r="I1546" i="19" s="1"/>
  <c r="D1546" i="19"/>
  <c r="J1546" i="19" s="1"/>
  <c r="E1546" i="19"/>
  <c r="K1546" i="19" s="1"/>
  <c r="A1547" i="19"/>
  <c r="G1547" i="19" s="1"/>
  <c r="B1547" i="19"/>
  <c r="H1547" i="19" s="1"/>
  <c r="C1547" i="19"/>
  <c r="I1547" i="19" s="1"/>
  <c r="D1547" i="19"/>
  <c r="J1547" i="19" s="1"/>
  <c r="E1547" i="19"/>
  <c r="K1547" i="19" s="1"/>
  <c r="A1548" i="19"/>
  <c r="G1548" i="19" s="1"/>
  <c r="B1548" i="19"/>
  <c r="H1548" i="19" s="1"/>
  <c r="C1548" i="19"/>
  <c r="I1548" i="19" s="1"/>
  <c r="D1548" i="19"/>
  <c r="J1548" i="19" s="1"/>
  <c r="E1548" i="19"/>
  <c r="K1548" i="19" s="1"/>
  <c r="A1549" i="19"/>
  <c r="G1549" i="19" s="1"/>
  <c r="B1549" i="19"/>
  <c r="H1549" i="19" s="1"/>
  <c r="C1549" i="19"/>
  <c r="I1549" i="19" s="1"/>
  <c r="D1549" i="19"/>
  <c r="J1549" i="19" s="1"/>
  <c r="E1549" i="19"/>
  <c r="K1549" i="19" s="1"/>
  <c r="A1550" i="19"/>
  <c r="G1550" i="19" s="1"/>
  <c r="B1550" i="19"/>
  <c r="H1550" i="19" s="1"/>
  <c r="C1550" i="19"/>
  <c r="I1550" i="19" s="1"/>
  <c r="D1550" i="19"/>
  <c r="J1550" i="19" s="1"/>
  <c r="E1550" i="19"/>
  <c r="K1550" i="19" s="1"/>
  <c r="A1551" i="19"/>
  <c r="G1551" i="19" s="1"/>
  <c r="B1551" i="19"/>
  <c r="H1551" i="19" s="1"/>
  <c r="C1551" i="19"/>
  <c r="I1551" i="19" s="1"/>
  <c r="D1551" i="19"/>
  <c r="J1551" i="19" s="1"/>
  <c r="E1551" i="19"/>
  <c r="K1551" i="19" s="1"/>
  <c r="A1552" i="19"/>
  <c r="G1552" i="19" s="1"/>
  <c r="B1552" i="19"/>
  <c r="H1552" i="19" s="1"/>
  <c r="C1552" i="19"/>
  <c r="I1552" i="19" s="1"/>
  <c r="D1552" i="19"/>
  <c r="J1552" i="19" s="1"/>
  <c r="E1552" i="19"/>
  <c r="K1552" i="19" s="1"/>
  <c r="A1553" i="19"/>
  <c r="G1553" i="19" s="1"/>
  <c r="B1553" i="19"/>
  <c r="H1553" i="19" s="1"/>
  <c r="C1553" i="19"/>
  <c r="I1553" i="19" s="1"/>
  <c r="D1553" i="19"/>
  <c r="J1553" i="19" s="1"/>
  <c r="E1553" i="19"/>
  <c r="K1553" i="19" s="1"/>
  <c r="A1554" i="19"/>
  <c r="G1554" i="19" s="1"/>
  <c r="B1554" i="19"/>
  <c r="H1554" i="19" s="1"/>
  <c r="C1554" i="19"/>
  <c r="I1554" i="19" s="1"/>
  <c r="D1554" i="19"/>
  <c r="J1554" i="19" s="1"/>
  <c r="E1554" i="19"/>
  <c r="K1554" i="19" s="1"/>
  <c r="A1555" i="19"/>
  <c r="G1555" i="19" s="1"/>
  <c r="B1555" i="19"/>
  <c r="H1555" i="19" s="1"/>
  <c r="C1555" i="19"/>
  <c r="I1555" i="19" s="1"/>
  <c r="D1555" i="19"/>
  <c r="J1555" i="19" s="1"/>
  <c r="E1555" i="19"/>
  <c r="K1555" i="19" s="1"/>
  <c r="A1556" i="19"/>
  <c r="G1556" i="19" s="1"/>
  <c r="B1556" i="19"/>
  <c r="H1556" i="19" s="1"/>
  <c r="C1556" i="19"/>
  <c r="I1556" i="19" s="1"/>
  <c r="D1556" i="19"/>
  <c r="J1556" i="19" s="1"/>
  <c r="E1556" i="19"/>
  <c r="K1556" i="19" s="1"/>
  <c r="A1557" i="19"/>
  <c r="G1557" i="19" s="1"/>
  <c r="B1557" i="19"/>
  <c r="H1557" i="19" s="1"/>
  <c r="C1557" i="19"/>
  <c r="I1557" i="19" s="1"/>
  <c r="D1557" i="19"/>
  <c r="J1557" i="19" s="1"/>
  <c r="E1557" i="19"/>
  <c r="K1557" i="19" s="1"/>
  <c r="A1558" i="19"/>
  <c r="G1558" i="19" s="1"/>
  <c r="B1558" i="19"/>
  <c r="H1558" i="19" s="1"/>
  <c r="C1558" i="19"/>
  <c r="I1558" i="19" s="1"/>
  <c r="D1558" i="19"/>
  <c r="J1558" i="19" s="1"/>
  <c r="E1558" i="19"/>
  <c r="K1558" i="19" s="1"/>
  <c r="A1559" i="19"/>
  <c r="G1559" i="19" s="1"/>
  <c r="B1559" i="19"/>
  <c r="H1559" i="19" s="1"/>
  <c r="C1559" i="19"/>
  <c r="I1559" i="19" s="1"/>
  <c r="D1559" i="19"/>
  <c r="J1559" i="19" s="1"/>
  <c r="E1559" i="19"/>
  <c r="K1559" i="19" s="1"/>
  <c r="A1560" i="19"/>
  <c r="G1560" i="19" s="1"/>
  <c r="B1560" i="19"/>
  <c r="H1560" i="19" s="1"/>
  <c r="C1560" i="19"/>
  <c r="I1560" i="19" s="1"/>
  <c r="D1560" i="19"/>
  <c r="J1560" i="19" s="1"/>
  <c r="E1560" i="19"/>
  <c r="K1560" i="19" s="1"/>
  <c r="A1561" i="19"/>
  <c r="G1561" i="19" s="1"/>
  <c r="B1561" i="19"/>
  <c r="H1561" i="19" s="1"/>
  <c r="C1561" i="19"/>
  <c r="I1561" i="19" s="1"/>
  <c r="D1561" i="19"/>
  <c r="J1561" i="19" s="1"/>
  <c r="E1561" i="19"/>
  <c r="K1561" i="19" s="1"/>
  <c r="A1562" i="19"/>
  <c r="G1562" i="19" s="1"/>
  <c r="B1562" i="19"/>
  <c r="H1562" i="19" s="1"/>
  <c r="C1562" i="19"/>
  <c r="I1562" i="19" s="1"/>
  <c r="D1562" i="19"/>
  <c r="J1562" i="19" s="1"/>
  <c r="E1562" i="19"/>
  <c r="K1562" i="19" s="1"/>
  <c r="A1563" i="19"/>
  <c r="G1563" i="19" s="1"/>
  <c r="B1563" i="19"/>
  <c r="H1563" i="19" s="1"/>
  <c r="C1563" i="19"/>
  <c r="I1563" i="19" s="1"/>
  <c r="D1563" i="19"/>
  <c r="J1563" i="19" s="1"/>
  <c r="E1563" i="19"/>
  <c r="K1563" i="19" s="1"/>
  <c r="A1564" i="19"/>
  <c r="G1564" i="19" s="1"/>
  <c r="B1564" i="19"/>
  <c r="H1564" i="19" s="1"/>
  <c r="C1564" i="19"/>
  <c r="I1564" i="19" s="1"/>
  <c r="D1564" i="19"/>
  <c r="J1564" i="19" s="1"/>
  <c r="E1564" i="19"/>
  <c r="K1564" i="19" s="1"/>
  <c r="A1565" i="19"/>
  <c r="G1565" i="19" s="1"/>
  <c r="B1565" i="19"/>
  <c r="H1565" i="19" s="1"/>
  <c r="C1565" i="19"/>
  <c r="I1565" i="19" s="1"/>
  <c r="D1565" i="19"/>
  <c r="J1565" i="19" s="1"/>
  <c r="E1565" i="19"/>
  <c r="K1565" i="19" s="1"/>
  <c r="A1566" i="19"/>
  <c r="G1566" i="19" s="1"/>
  <c r="B1566" i="19"/>
  <c r="H1566" i="19" s="1"/>
  <c r="C1566" i="19"/>
  <c r="I1566" i="19" s="1"/>
  <c r="D1566" i="19"/>
  <c r="J1566" i="19" s="1"/>
  <c r="E1566" i="19"/>
  <c r="K1566" i="19" s="1"/>
  <c r="A1567" i="19"/>
  <c r="G1567" i="19" s="1"/>
  <c r="B1567" i="19"/>
  <c r="H1567" i="19" s="1"/>
  <c r="C1567" i="19"/>
  <c r="I1567" i="19" s="1"/>
  <c r="D1567" i="19"/>
  <c r="J1567" i="19" s="1"/>
  <c r="E1567" i="19"/>
  <c r="K1567" i="19" s="1"/>
  <c r="A1568" i="19"/>
  <c r="G1568" i="19" s="1"/>
  <c r="B1568" i="19"/>
  <c r="H1568" i="19" s="1"/>
  <c r="C1568" i="19"/>
  <c r="I1568" i="19" s="1"/>
  <c r="D1568" i="19"/>
  <c r="J1568" i="19" s="1"/>
  <c r="E1568" i="19"/>
  <c r="K1568" i="19" s="1"/>
  <c r="A1569" i="19"/>
  <c r="G1569" i="19" s="1"/>
  <c r="B1569" i="19"/>
  <c r="H1569" i="19" s="1"/>
  <c r="C1569" i="19"/>
  <c r="I1569" i="19" s="1"/>
  <c r="D1569" i="19"/>
  <c r="J1569" i="19" s="1"/>
  <c r="E1569" i="19"/>
  <c r="K1569" i="19" s="1"/>
  <c r="A1570" i="19"/>
  <c r="G1570" i="19" s="1"/>
  <c r="B1570" i="19"/>
  <c r="H1570" i="19" s="1"/>
  <c r="C1570" i="19"/>
  <c r="I1570" i="19" s="1"/>
  <c r="D1570" i="19"/>
  <c r="J1570" i="19" s="1"/>
  <c r="E1570" i="19"/>
  <c r="K1570" i="19" s="1"/>
  <c r="A1571" i="19"/>
  <c r="G1571" i="19" s="1"/>
  <c r="B1571" i="19"/>
  <c r="H1571" i="19" s="1"/>
  <c r="C1571" i="19"/>
  <c r="I1571" i="19" s="1"/>
  <c r="D1571" i="19"/>
  <c r="J1571" i="19" s="1"/>
  <c r="E1571" i="19"/>
  <c r="K1571" i="19" s="1"/>
  <c r="A1572" i="19"/>
  <c r="G1572" i="19" s="1"/>
  <c r="B1572" i="19"/>
  <c r="H1572" i="19" s="1"/>
  <c r="C1572" i="19"/>
  <c r="I1572" i="19" s="1"/>
  <c r="D1572" i="19"/>
  <c r="J1572" i="19" s="1"/>
  <c r="E1572" i="19"/>
  <c r="K1572" i="19" s="1"/>
  <c r="A1573" i="19"/>
  <c r="G1573" i="19" s="1"/>
  <c r="B1573" i="19"/>
  <c r="H1573" i="19" s="1"/>
  <c r="C1573" i="19"/>
  <c r="I1573" i="19" s="1"/>
  <c r="D1573" i="19"/>
  <c r="J1573" i="19" s="1"/>
  <c r="E1573" i="19"/>
  <c r="K1573" i="19" s="1"/>
  <c r="A1574" i="19"/>
  <c r="G1574" i="19" s="1"/>
  <c r="B1574" i="19"/>
  <c r="H1574" i="19" s="1"/>
  <c r="C1574" i="19"/>
  <c r="I1574" i="19" s="1"/>
  <c r="D1574" i="19"/>
  <c r="J1574" i="19" s="1"/>
  <c r="E1574" i="19"/>
  <c r="K1574" i="19" s="1"/>
  <c r="A1575" i="19"/>
  <c r="G1575" i="19" s="1"/>
  <c r="B1575" i="19"/>
  <c r="H1575" i="19" s="1"/>
  <c r="C1575" i="19"/>
  <c r="I1575" i="19" s="1"/>
  <c r="D1575" i="19"/>
  <c r="J1575" i="19" s="1"/>
  <c r="E1575" i="19"/>
  <c r="K1575" i="19" s="1"/>
  <c r="A1576" i="19"/>
  <c r="G1576" i="19" s="1"/>
  <c r="B1576" i="19"/>
  <c r="H1576" i="19" s="1"/>
  <c r="C1576" i="19"/>
  <c r="I1576" i="19" s="1"/>
  <c r="D1576" i="19"/>
  <c r="J1576" i="19" s="1"/>
  <c r="E1576" i="19"/>
  <c r="K1576" i="19" s="1"/>
  <c r="A1577" i="19"/>
  <c r="G1577" i="19" s="1"/>
  <c r="B1577" i="19"/>
  <c r="H1577" i="19" s="1"/>
  <c r="C1577" i="19"/>
  <c r="I1577" i="19" s="1"/>
  <c r="D1577" i="19"/>
  <c r="J1577" i="19" s="1"/>
  <c r="E1577" i="19"/>
  <c r="K1577" i="19" s="1"/>
  <c r="A1578" i="19"/>
  <c r="G1578" i="19" s="1"/>
  <c r="B1578" i="19"/>
  <c r="H1578" i="19" s="1"/>
  <c r="C1578" i="19"/>
  <c r="I1578" i="19" s="1"/>
  <c r="D1578" i="19"/>
  <c r="J1578" i="19" s="1"/>
  <c r="E1578" i="19"/>
  <c r="K1578" i="19" s="1"/>
  <c r="A1579" i="19"/>
  <c r="G1579" i="19" s="1"/>
  <c r="B1579" i="19"/>
  <c r="H1579" i="19" s="1"/>
  <c r="C1579" i="19"/>
  <c r="I1579" i="19" s="1"/>
  <c r="D1579" i="19"/>
  <c r="J1579" i="19" s="1"/>
  <c r="E1579" i="19"/>
  <c r="K1579" i="19" s="1"/>
  <c r="A1580" i="19"/>
  <c r="G1580" i="19" s="1"/>
  <c r="B1580" i="19"/>
  <c r="H1580" i="19" s="1"/>
  <c r="C1580" i="19"/>
  <c r="I1580" i="19" s="1"/>
  <c r="D1580" i="19"/>
  <c r="J1580" i="19" s="1"/>
  <c r="E1580" i="19"/>
  <c r="K1580" i="19" s="1"/>
  <c r="A1581" i="19"/>
  <c r="G1581" i="19" s="1"/>
  <c r="B1581" i="19"/>
  <c r="H1581" i="19" s="1"/>
  <c r="C1581" i="19"/>
  <c r="I1581" i="19" s="1"/>
  <c r="D1581" i="19"/>
  <c r="J1581" i="19" s="1"/>
  <c r="E1581" i="19"/>
  <c r="K1581" i="19" s="1"/>
  <c r="A1582" i="19"/>
  <c r="G1582" i="19" s="1"/>
  <c r="B1582" i="19"/>
  <c r="H1582" i="19" s="1"/>
  <c r="C1582" i="19"/>
  <c r="I1582" i="19" s="1"/>
  <c r="D1582" i="19"/>
  <c r="J1582" i="19" s="1"/>
  <c r="E1582" i="19"/>
  <c r="K1582" i="19" s="1"/>
  <c r="A1583" i="19"/>
  <c r="G1583" i="19" s="1"/>
  <c r="B1583" i="19"/>
  <c r="H1583" i="19" s="1"/>
  <c r="C1583" i="19"/>
  <c r="I1583" i="19" s="1"/>
  <c r="D1583" i="19"/>
  <c r="J1583" i="19" s="1"/>
  <c r="E1583" i="19"/>
  <c r="K1583" i="19" s="1"/>
  <c r="A1584" i="19"/>
  <c r="G1584" i="19" s="1"/>
  <c r="B1584" i="19"/>
  <c r="H1584" i="19" s="1"/>
  <c r="C1584" i="19"/>
  <c r="I1584" i="19" s="1"/>
  <c r="D1584" i="19"/>
  <c r="J1584" i="19" s="1"/>
  <c r="E1584" i="19"/>
  <c r="K1584" i="19" s="1"/>
  <c r="A1585" i="19"/>
  <c r="G1585" i="19" s="1"/>
  <c r="B1585" i="19"/>
  <c r="H1585" i="19" s="1"/>
  <c r="C1585" i="19"/>
  <c r="I1585" i="19" s="1"/>
  <c r="D1585" i="19"/>
  <c r="J1585" i="19" s="1"/>
  <c r="E1585" i="19"/>
  <c r="K1585" i="19" s="1"/>
  <c r="A1586" i="19"/>
  <c r="G1586" i="19" s="1"/>
  <c r="B1586" i="19"/>
  <c r="H1586" i="19" s="1"/>
  <c r="C1586" i="19"/>
  <c r="I1586" i="19" s="1"/>
  <c r="D1586" i="19"/>
  <c r="J1586" i="19" s="1"/>
  <c r="E1586" i="19"/>
  <c r="K1586" i="19" s="1"/>
  <c r="A1587" i="19"/>
  <c r="G1587" i="19" s="1"/>
  <c r="B1587" i="19"/>
  <c r="H1587" i="19" s="1"/>
  <c r="C1587" i="19"/>
  <c r="I1587" i="19" s="1"/>
  <c r="D1587" i="19"/>
  <c r="J1587" i="19" s="1"/>
  <c r="E1587" i="19"/>
  <c r="K1587" i="19" s="1"/>
  <c r="A1588" i="19"/>
  <c r="G1588" i="19" s="1"/>
  <c r="B1588" i="19"/>
  <c r="H1588" i="19" s="1"/>
  <c r="C1588" i="19"/>
  <c r="I1588" i="19" s="1"/>
  <c r="D1588" i="19"/>
  <c r="J1588" i="19" s="1"/>
  <c r="E1588" i="19"/>
  <c r="K1588" i="19" s="1"/>
  <c r="A1589" i="19"/>
  <c r="G1589" i="19" s="1"/>
  <c r="B1589" i="19"/>
  <c r="H1589" i="19" s="1"/>
  <c r="C1589" i="19"/>
  <c r="I1589" i="19" s="1"/>
  <c r="D1589" i="19"/>
  <c r="J1589" i="19" s="1"/>
  <c r="E1589" i="19"/>
  <c r="K1589" i="19" s="1"/>
  <c r="A1590" i="19"/>
  <c r="G1590" i="19" s="1"/>
  <c r="B1590" i="19"/>
  <c r="H1590" i="19" s="1"/>
  <c r="C1590" i="19"/>
  <c r="I1590" i="19" s="1"/>
  <c r="D1590" i="19"/>
  <c r="J1590" i="19" s="1"/>
  <c r="E1590" i="19"/>
  <c r="K1590" i="19" s="1"/>
  <c r="A1591" i="19"/>
  <c r="G1591" i="19" s="1"/>
  <c r="B1591" i="19"/>
  <c r="H1591" i="19" s="1"/>
  <c r="C1591" i="19"/>
  <c r="I1591" i="19" s="1"/>
  <c r="D1591" i="19"/>
  <c r="J1591" i="19" s="1"/>
  <c r="E1591" i="19"/>
  <c r="K1591" i="19" s="1"/>
  <c r="A1592" i="19"/>
  <c r="G1592" i="19" s="1"/>
  <c r="B1592" i="19"/>
  <c r="H1592" i="19" s="1"/>
  <c r="C1592" i="19"/>
  <c r="I1592" i="19" s="1"/>
  <c r="D1592" i="19"/>
  <c r="J1592" i="19" s="1"/>
  <c r="E1592" i="19"/>
  <c r="K1592" i="19" s="1"/>
  <c r="A1593" i="19"/>
  <c r="G1593" i="19" s="1"/>
  <c r="B1593" i="19"/>
  <c r="H1593" i="19" s="1"/>
  <c r="C1593" i="19"/>
  <c r="I1593" i="19" s="1"/>
  <c r="D1593" i="19"/>
  <c r="J1593" i="19" s="1"/>
  <c r="E1593" i="19"/>
  <c r="K1593" i="19" s="1"/>
  <c r="A1594" i="19"/>
  <c r="G1594" i="19" s="1"/>
  <c r="B1594" i="19"/>
  <c r="H1594" i="19" s="1"/>
  <c r="C1594" i="19"/>
  <c r="I1594" i="19" s="1"/>
  <c r="D1594" i="19"/>
  <c r="J1594" i="19" s="1"/>
  <c r="E1594" i="19"/>
  <c r="K1594" i="19" s="1"/>
  <c r="A1595" i="19"/>
  <c r="G1595" i="19" s="1"/>
  <c r="B1595" i="19"/>
  <c r="H1595" i="19" s="1"/>
  <c r="C1595" i="19"/>
  <c r="I1595" i="19" s="1"/>
  <c r="D1595" i="19"/>
  <c r="J1595" i="19" s="1"/>
  <c r="E1595" i="19"/>
  <c r="K1595" i="19" s="1"/>
  <c r="A1596" i="19"/>
  <c r="G1596" i="19" s="1"/>
  <c r="B1596" i="19"/>
  <c r="H1596" i="19" s="1"/>
  <c r="C1596" i="19"/>
  <c r="I1596" i="19" s="1"/>
  <c r="D1596" i="19"/>
  <c r="J1596" i="19" s="1"/>
  <c r="E1596" i="19"/>
  <c r="K1596" i="19" s="1"/>
  <c r="A1597" i="19"/>
  <c r="G1597" i="19" s="1"/>
  <c r="B1597" i="19"/>
  <c r="H1597" i="19" s="1"/>
  <c r="C1597" i="19"/>
  <c r="I1597" i="19" s="1"/>
  <c r="D1597" i="19"/>
  <c r="J1597" i="19" s="1"/>
  <c r="E1597" i="19"/>
  <c r="K1597" i="19" s="1"/>
  <c r="A1598" i="19"/>
  <c r="G1598" i="19" s="1"/>
  <c r="B1598" i="19"/>
  <c r="H1598" i="19" s="1"/>
  <c r="C1598" i="19"/>
  <c r="I1598" i="19" s="1"/>
  <c r="D1598" i="19"/>
  <c r="J1598" i="19" s="1"/>
  <c r="E1598" i="19"/>
  <c r="K1598" i="19" s="1"/>
  <c r="A1599" i="19"/>
  <c r="G1599" i="19" s="1"/>
  <c r="B1599" i="19"/>
  <c r="H1599" i="19" s="1"/>
  <c r="C1599" i="19"/>
  <c r="I1599" i="19" s="1"/>
  <c r="D1599" i="19"/>
  <c r="J1599" i="19" s="1"/>
  <c r="E1599" i="19"/>
  <c r="K1599" i="19" s="1"/>
  <c r="A1600" i="19"/>
  <c r="G1600" i="19" s="1"/>
  <c r="B1600" i="19"/>
  <c r="H1600" i="19" s="1"/>
  <c r="C1600" i="19"/>
  <c r="I1600" i="19" s="1"/>
  <c r="D1600" i="19"/>
  <c r="J1600" i="19" s="1"/>
  <c r="E1600" i="19"/>
  <c r="K1600" i="19" s="1"/>
  <c r="A1601" i="19"/>
  <c r="G1601" i="19" s="1"/>
  <c r="B1601" i="19"/>
  <c r="H1601" i="19" s="1"/>
  <c r="C1601" i="19"/>
  <c r="I1601" i="19" s="1"/>
  <c r="D1601" i="19"/>
  <c r="J1601" i="19" s="1"/>
  <c r="E1601" i="19"/>
  <c r="K1601" i="19" s="1"/>
  <c r="A1602" i="19"/>
  <c r="G1602" i="19" s="1"/>
  <c r="B1602" i="19"/>
  <c r="H1602" i="19" s="1"/>
  <c r="C1602" i="19"/>
  <c r="I1602" i="19" s="1"/>
  <c r="D1602" i="19"/>
  <c r="J1602" i="19" s="1"/>
  <c r="E1602" i="19"/>
  <c r="K1602" i="19" s="1"/>
  <c r="A1603" i="19"/>
  <c r="G1603" i="19" s="1"/>
  <c r="B1603" i="19"/>
  <c r="H1603" i="19" s="1"/>
  <c r="C1603" i="19"/>
  <c r="I1603" i="19" s="1"/>
  <c r="D1603" i="19"/>
  <c r="J1603" i="19" s="1"/>
  <c r="E1603" i="19"/>
  <c r="K1603" i="19" s="1"/>
  <c r="A1604" i="19"/>
  <c r="G1604" i="19" s="1"/>
  <c r="B1604" i="19"/>
  <c r="H1604" i="19" s="1"/>
  <c r="C1604" i="19"/>
  <c r="I1604" i="19" s="1"/>
  <c r="D1604" i="19"/>
  <c r="J1604" i="19" s="1"/>
  <c r="E1604" i="19"/>
  <c r="K1604" i="19" s="1"/>
  <c r="A1605" i="19"/>
  <c r="G1605" i="19" s="1"/>
  <c r="B1605" i="19"/>
  <c r="H1605" i="19" s="1"/>
  <c r="C1605" i="19"/>
  <c r="I1605" i="19" s="1"/>
  <c r="D1605" i="19"/>
  <c r="J1605" i="19" s="1"/>
  <c r="E1605" i="19"/>
  <c r="K1605" i="19" s="1"/>
  <c r="A1606" i="19"/>
  <c r="G1606" i="19" s="1"/>
  <c r="B1606" i="19"/>
  <c r="H1606" i="19" s="1"/>
  <c r="C1606" i="19"/>
  <c r="I1606" i="19" s="1"/>
  <c r="D1606" i="19"/>
  <c r="J1606" i="19" s="1"/>
  <c r="E1606" i="19"/>
  <c r="K1606" i="19" s="1"/>
  <c r="A1607" i="19"/>
  <c r="G1607" i="19" s="1"/>
  <c r="B1607" i="19"/>
  <c r="H1607" i="19" s="1"/>
  <c r="C1607" i="19"/>
  <c r="I1607" i="19" s="1"/>
  <c r="D1607" i="19"/>
  <c r="J1607" i="19" s="1"/>
  <c r="E1607" i="19"/>
  <c r="K1607" i="19" s="1"/>
  <c r="A1608" i="19"/>
  <c r="G1608" i="19" s="1"/>
  <c r="B1608" i="19"/>
  <c r="H1608" i="19" s="1"/>
  <c r="C1608" i="19"/>
  <c r="I1608" i="19" s="1"/>
  <c r="D1608" i="19"/>
  <c r="J1608" i="19" s="1"/>
  <c r="E1608" i="19"/>
  <c r="K1608" i="19" s="1"/>
  <c r="A1609" i="19"/>
  <c r="G1609" i="19" s="1"/>
  <c r="B1609" i="19"/>
  <c r="H1609" i="19" s="1"/>
  <c r="C1609" i="19"/>
  <c r="I1609" i="19" s="1"/>
  <c r="D1609" i="19"/>
  <c r="J1609" i="19" s="1"/>
  <c r="E1609" i="19"/>
  <c r="K1609" i="19" s="1"/>
  <c r="A1610" i="19"/>
  <c r="G1610" i="19" s="1"/>
  <c r="B1610" i="19"/>
  <c r="H1610" i="19" s="1"/>
  <c r="C1610" i="19"/>
  <c r="I1610" i="19" s="1"/>
  <c r="D1610" i="19"/>
  <c r="J1610" i="19" s="1"/>
  <c r="E1610" i="19"/>
  <c r="K1610" i="19" s="1"/>
  <c r="A1611" i="19"/>
  <c r="G1611" i="19" s="1"/>
  <c r="B1611" i="19"/>
  <c r="H1611" i="19" s="1"/>
  <c r="C1611" i="19"/>
  <c r="I1611" i="19" s="1"/>
  <c r="D1611" i="19"/>
  <c r="J1611" i="19" s="1"/>
  <c r="E1611" i="19"/>
  <c r="K1611" i="19" s="1"/>
  <c r="A1612" i="19"/>
  <c r="G1612" i="19" s="1"/>
  <c r="B1612" i="19"/>
  <c r="H1612" i="19" s="1"/>
  <c r="C1612" i="19"/>
  <c r="I1612" i="19" s="1"/>
  <c r="D1612" i="19"/>
  <c r="J1612" i="19" s="1"/>
  <c r="E1612" i="19"/>
  <c r="K1612" i="19" s="1"/>
  <c r="A1613" i="19"/>
  <c r="G1613" i="19" s="1"/>
  <c r="B1613" i="19"/>
  <c r="H1613" i="19" s="1"/>
  <c r="C1613" i="19"/>
  <c r="I1613" i="19" s="1"/>
  <c r="D1613" i="19"/>
  <c r="J1613" i="19" s="1"/>
  <c r="E1613" i="19"/>
  <c r="K1613" i="19" s="1"/>
  <c r="A1614" i="19"/>
  <c r="G1614" i="19" s="1"/>
  <c r="B1614" i="19"/>
  <c r="H1614" i="19" s="1"/>
  <c r="C1614" i="19"/>
  <c r="I1614" i="19" s="1"/>
  <c r="D1614" i="19"/>
  <c r="J1614" i="19" s="1"/>
  <c r="E1614" i="19"/>
  <c r="K1614" i="19" s="1"/>
  <c r="A1615" i="19"/>
  <c r="G1615" i="19" s="1"/>
  <c r="B1615" i="19"/>
  <c r="H1615" i="19" s="1"/>
  <c r="C1615" i="19"/>
  <c r="I1615" i="19" s="1"/>
  <c r="D1615" i="19"/>
  <c r="J1615" i="19" s="1"/>
  <c r="E1615" i="19"/>
  <c r="K1615" i="19" s="1"/>
  <c r="A1616" i="19"/>
  <c r="G1616" i="19" s="1"/>
  <c r="B1616" i="19"/>
  <c r="H1616" i="19" s="1"/>
  <c r="C1616" i="19"/>
  <c r="I1616" i="19" s="1"/>
  <c r="D1616" i="19"/>
  <c r="J1616" i="19" s="1"/>
  <c r="E1616" i="19"/>
  <c r="K1616" i="19" s="1"/>
  <c r="A1617" i="19"/>
  <c r="G1617" i="19" s="1"/>
  <c r="B1617" i="19"/>
  <c r="H1617" i="19" s="1"/>
  <c r="C1617" i="19"/>
  <c r="I1617" i="19" s="1"/>
  <c r="D1617" i="19"/>
  <c r="J1617" i="19" s="1"/>
  <c r="E1617" i="19"/>
  <c r="K1617" i="19" s="1"/>
  <c r="A1618" i="19"/>
  <c r="G1618" i="19" s="1"/>
  <c r="B1618" i="19"/>
  <c r="H1618" i="19" s="1"/>
  <c r="C1618" i="19"/>
  <c r="I1618" i="19" s="1"/>
  <c r="D1618" i="19"/>
  <c r="J1618" i="19" s="1"/>
  <c r="E1618" i="19"/>
  <c r="K1618" i="19" s="1"/>
  <c r="A1619" i="19"/>
  <c r="G1619" i="19" s="1"/>
  <c r="B1619" i="19"/>
  <c r="H1619" i="19" s="1"/>
  <c r="C1619" i="19"/>
  <c r="I1619" i="19" s="1"/>
  <c r="D1619" i="19"/>
  <c r="J1619" i="19" s="1"/>
  <c r="E1619" i="19"/>
  <c r="K1619" i="19" s="1"/>
  <c r="A1620" i="19"/>
  <c r="G1620" i="19" s="1"/>
  <c r="B1620" i="19"/>
  <c r="H1620" i="19" s="1"/>
  <c r="C1620" i="19"/>
  <c r="I1620" i="19" s="1"/>
  <c r="D1620" i="19"/>
  <c r="J1620" i="19" s="1"/>
  <c r="E1620" i="19"/>
  <c r="K1620" i="19" s="1"/>
  <c r="A1621" i="19"/>
  <c r="G1621" i="19" s="1"/>
  <c r="B1621" i="19"/>
  <c r="H1621" i="19" s="1"/>
  <c r="C1621" i="19"/>
  <c r="I1621" i="19" s="1"/>
  <c r="D1621" i="19"/>
  <c r="J1621" i="19" s="1"/>
  <c r="E1621" i="19"/>
  <c r="K1621" i="19" s="1"/>
  <c r="A1622" i="19"/>
  <c r="G1622" i="19" s="1"/>
  <c r="B1622" i="19"/>
  <c r="H1622" i="19" s="1"/>
  <c r="C1622" i="19"/>
  <c r="I1622" i="19" s="1"/>
  <c r="D1622" i="19"/>
  <c r="J1622" i="19" s="1"/>
  <c r="E1622" i="19"/>
  <c r="K1622" i="19" s="1"/>
  <c r="A1623" i="19"/>
  <c r="G1623" i="19" s="1"/>
  <c r="B1623" i="19"/>
  <c r="H1623" i="19" s="1"/>
  <c r="C1623" i="19"/>
  <c r="I1623" i="19" s="1"/>
  <c r="D1623" i="19"/>
  <c r="J1623" i="19" s="1"/>
  <c r="E1623" i="19"/>
  <c r="K1623" i="19" s="1"/>
  <c r="A1624" i="19"/>
  <c r="G1624" i="19" s="1"/>
  <c r="B1624" i="19"/>
  <c r="H1624" i="19" s="1"/>
  <c r="C1624" i="19"/>
  <c r="I1624" i="19" s="1"/>
  <c r="D1624" i="19"/>
  <c r="J1624" i="19" s="1"/>
  <c r="E1624" i="19"/>
  <c r="K1624" i="19" s="1"/>
  <c r="A1625" i="19"/>
  <c r="G1625" i="19" s="1"/>
  <c r="B1625" i="19"/>
  <c r="H1625" i="19" s="1"/>
  <c r="C1625" i="19"/>
  <c r="I1625" i="19" s="1"/>
  <c r="D1625" i="19"/>
  <c r="J1625" i="19" s="1"/>
  <c r="E1625" i="19"/>
  <c r="K1625" i="19" s="1"/>
  <c r="A1626" i="19"/>
  <c r="G1626" i="19" s="1"/>
  <c r="B1626" i="19"/>
  <c r="H1626" i="19" s="1"/>
  <c r="C1626" i="19"/>
  <c r="I1626" i="19" s="1"/>
  <c r="D1626" i="19"/>
  <c r="J1626" i="19" s="1"/>
  <c r="E1626" i="19"/>
  <c r="K1626" i="19" s="1"/>
  <c r="A1627" i="19"/>
  <c r="G1627" i="19" s="1"/>
  <c r="B1627" i="19"/>
  <c r="H1627" i="19" s="1"/>
  <c r="C1627" i="19"/>
  <c r="I1627" i="19" s="1"/>
  <c r="D1627" i="19"/>
  <c r="J1627" i="19" s="1"/>
  <c r="E1627" i="19"/>
  <c r="K1627" i="19" s="1"/>
  <c r="A1628" i="19"/>
  <c r="G1628" i="19" s="1"/>
  <c r="B1628" i="19"/>
  <c r="H1628" i="19" s="1"/>
  <c r="C1628" i="19"/>
  <c r="I1628" i="19" s="1"/>
  <c r="D1628" i="19"/>
  <c r="J1628" i="19" s="1"/>
  <c r="E1628" i="19"/>
  <c r="K1628" i="19" s="1"/>
  <c r="A1629" i="19"/>
  <c r="G1629" i="19" s="1"/>
  <c r="B1629" i="19"/>
  <c r="H1629" i="19" s="1"/>
  <c r="C1629" i="19"/>
  <c r="I1629" i="19" s="1"/>
  <c r="D1629" i="19"/>
  <c r="J1629" i="19" s="1"/>
  <c r="E1629" i="19"/>
  <c r="K1629" i="19" s="1"/>
  <c r="A1630" i="19"/>
  <c r="G1630" i="19" s="1"/>
  <c r="B1630" i="19"/>
  <c r="H1630" i="19" s="1"/>
  <c r="C1630" i="19"/>
  <c r="I1630" i="19" s="1"/>
  <c r="D1630" i="19"/>
  <c r="J1630" i="19" s="1"/>
  <c r="E1630" i="19"/>
  <c r="K1630" i="19" s="1"/>
  <c r="A1631" i="19"/>
  <c r="G1631" i="19" s="1"/>
  <c r="B1631" i="19"/>
  <c r="H1631" i="19" s="1"/>
  <c r="C1631" i="19"/>
  <c r="I1631" i="19" s="1"/>
  <c r="D1631" i="19"/>
  <c r="J1631" i="19" s="1"/>
  <c r="E1631" i="19"/>
  <c r="K1631" i="19" s="1"/>
  <c r="A1632" i="19"/>
  <c r="G1632" i="19" s="1"/>
  <c r="B1632" i="19"/>
  <c r="H1632" i="19" s="1"/>
  <c r="C1632" i="19"/>
  <c r="I1632" i="19" s="1"/>
  <c r="D1632" i="19"/>
  <c r="J1632" i="19" s="1"/>
  <c r="E1632" i="19"/>
  <c r="K1632" i="19" s="1"/>
  <c r="A1633" i="19"/>
  <c r="G1633" i="19" s="1"/>
  <c r="B1633" i="19"/>
  <c r="H1633" i="19" s="1"/>
  <c r="C1633" i="19"/>
  <c r="I1633" i="19" s="1"/>
  <c r="D1633" i="19"/>
  <c r="J1633" i="19" s="1"/>
  <c r="E1633" i="19"/>
  <c r="K1633" i="19" s="1"/>
  <c r="A1634" i="19"/>
  <c r="G1634" i="19" s="1"/>
  <c r="B1634" i="19"/>
  <c r="H1634" i="19" s="1"/>
  <c r="C1634" i="19"/>
  <c r="I1634" i="19" s="1"/>
  <c r="D1634" i="19"/>
  <c r="J1634" i="19" s="1"/>
  <c r="E1634" i="19"/>
  <c r="K1634" i="19" s="1"/>
  <c r="A1635" i="19"/>
  <c r="G1635" i="19" s="1"/>
  <c r="B1635" i="19"/>
  <c r="H1635" i="19" s="1"/>
  <c r="C1635" i="19"/>
  <c r="I1635" i="19" s="1"/>
  <c r="D1635" i="19"/>
  <c r="J1635" i="19" s="1"/>
  <c r="E1635" i="19"/>
  <c r="K1635" i="19" s="1"/>
  <c r="A1636" i="19"/>
  <c r="G1636" i="19" s="1"/>
  <c r="B1636" i="19"/>
  <c r="H1636" i="19" s="1"/>
  <c r="C1636" i="19"/>
  <c r="I1636" i="19" s="1"/>
  <c r="D1636" i="19"/>
  <c r="J1636" i="19" s="1"/>
  <c r="E1636" i="19"/>
  <c r="K1636" i="19" s="1"/>
  <c r="A1637" i="19"/>
  <c r="G1637" i="19" s="1"/>
  <c r="B1637" i="19"/>
  <c r="H1637" i="19" s="1"/>
  <c r="C1637" i="19"/>
  <c r="I1637" i="19" s="1"/>
  <c r="D1637" i="19"/>
  <c r="J1637" i="19" s="1"/>
  <c r="E1637" i="19"/>
  <c r="K1637" i="19" s="1"/>
  <c r="A1638" i="19"/>
  <c r="G1638" i="19" s="1"/>
  <c r="B1638" i="19"/>
  <c r="H1638" i="19" s="1"/>
  <c r="C1638" i="19"/>
  <c r="I1638" i="19" s="1"/>
  <c r="D1638" i="19"/>
  <c r="J1638" i="19" s="1"/>
  <c r="E1638" i="19"/>
  <c r="K1638" i="19" s="1"/>
  <c r="A1639" i="19"/>
  <c r="G1639" i="19" s="1"/>
  <c r="B1639" i="19"/>
  <c r="H1639" i="19" s="1"/>
  <c r="C1639" i="19"/>
  <c r="I1639" i="19" s="1"/>
  <c r="D1639" i="19"/>
  <c r="J1639" i="19" s="1"/>
  <c r="E1639" i="19"/>
  <c r="K1639" i="19" s="1"/>
  <c r="A1640" i="19"/>
  <c r="G1640" i="19" s="1"/>
  <c r="B1640" i="19"/>
  <c r="H1640" i="19" s="1"/>
  <c r="C1640" i="19"/>
  <c r="I1640" i="19" s="1"/>
  <c r="D1640" i="19"/>
  <c r="J1640" i="19" s="1"/>
  <c r="E1640" i="19"/>
  <c r="K1640" i="19" s="1"/>
  <c r="A1641" i="19"/>
  <c r="G1641" i="19" s="1"/>
  <c r="B1641" i="19"/>
  <c r="H1641" i="19" s="1"/>
  <c r="C1641" i="19"/>
  <c r="I1641" i="19" s="1"/>
  <c r="D1641" i="19"/>
  <c r="J1641" i="19" s="1"/>
  <c r="E1641" i="19"/>
  <c r="K1641" i="19" s="1"/>
  <c r="A1642" i="19"/>
  <c r="G1642" i="19" s="1"/>
  <c r="B1642" i="19"/>
  <c r="H1642" i="19" s="1"/>
  <c r="C1642" i="19"/>
  <c r="I1642" i="19" s="1"/>
  <c r="D1642" i="19"/>
  <c r="J1642" i="19" s="1"/>
  <c r="E1642" i="19"/>
  <c r="K1642" i="19" s="1"/>
  <c r="A1643" i="19"/>
  <c r="G1643" i="19" s="1"/>
  <c r="B1643" i="19"/>
  <c r="H1643" i="19" s="1"/>
  <c r="C1643" i="19"/>
  <c r="I1643" i="19" s="1"/>
  <c r="D1643" i="19"/>
  <c r="J1643" i="19" s="1"/>
  <c r="E1643" i="19"/>
  <c r="K1643" i="19" s="1"/>
  <c r="A1644" i="19"/>
  <c r="G1644" i="19" s="1"/>
  <c r="B1644" i="19"/>
  <c r="H1644" i="19" s="1"/>
  <c r="C1644" i="19"/>
  <c r="I1644" i="19" s="1"/>
  <c r="D1644" i="19"/>
  <c r="J1644" i="19" s="1"/>
  <c r="E1644" i="19"/>
  <c r="K1644" i="19" s="1"/>
  <c r="A1645" i="19"/>
  <c r="G1645" i="19" s="1"/>
  <c r="B1645" i="19"/>
  <c r="H1645" i="19" s="1"/>
  <c r="C1645" i="19"/>
  <c r="I1645" i="19" s="1"/>
  <c r="D1645" i="19"/>
  <c r="J1645" i="19" s="1"/>
  <c r="E1645" i="19"/>
  <c r="K1645" i="19" s="1"/>
  <c r="A1646" i="19"/>
  <c r="G1646" i="19" s="1"/>
  <c r="B1646" i="19"/>
  <c r="H1646" i="19" s="1"/>
  <c r="C1646" i="19"/>
  <c r="I1646" i="19" s="1"/>
  <c r="D1646" i="19"/>
  <c r="J1646" i="19" s="1"/>
  <c r="E1646" i="19"/>
  <c r="K1646" i="19" s="1"/>
  <c r="A1647" i="19"/>
  <c r="G1647" i="19" s="1"/>
  <c r="B1647" i="19"/>
  <c r="H1647" i="19" s="1"/>
  <c r="C1647" i="19"/>
  <c r="I1647" i="19" s="1"/>
  <c r="D1647" i="19"/>
  <c r="J1647" i="19" s="1"/>
  <c r="E1647" i="19"/>
  <c r="K1647" i="19" s="1"/>
  <c r="A1648" i="19"/>
  <c r="G1648" i="19" s="1"/>
  <c r="B1648" i="19"/>
  <c r="H1648" i="19" s="1"/>
  <c r="C1648" i="19"/>
  <c r="I1648" i="19" s="1"/>
  <c r="D1648" i="19"/>
  <c r="J1648" i="19" s="1"/>
  <c r="E1648" i="19"/>
  <c r="K1648" i="19" s="1"/>
  <c r="A1649" i="19"/>
  <c r="G1649" i="19" s="1"/>
  <c r="B1649" i="19"/>
  <c r="H1649" i="19" s="1"/>
  <c r="C1649" i="19"/>
  <c r="I1649" i="19" s="1"/>
  <c r="D1649" i="19"/>
  <c r="J1649" i="19" s="1"/>
  <c r="E1649" i="19"/>
  <c r="K1649" i="19" s="1"/>
  <c r="A1650" i="19"/>
  <c r="G1650" i="19" s="1"/>
  <c r="B1650" i="19"/>
  <c r="H1650" i="19" s="1"/>
  <c r="C1650" i="19"/>
  <c r="I1650" i="19" s="1"/>
  <c r="D1650" i="19"/>
  <c r="J1650" i="19" s="1"/>
  <c r="E1650" i="19"/>
  <c r="K1650" i="19" s="1"/>
  <c r="A1651" i="19"/>
  <c r="G1651" i="19" s="1"/>
  <c r="B1651" i="19"/>
  <c r="H1651" i="19" s="1"/>
  <c r="C1651" i="19"/>
  <c r="I1651" i="19" s="1"/>
  <c r="D1651" i="19"/>
  <c r="J1651" i="19" s="1"/>
  <c r="E1651" i="19"/>
  <c r="K1651" i="19" s="1"/>
  <c r="A1652" i="19"/>
  <c r="G1652" i="19" s="1"/>
  <c r="B1652" i="19"/>
  <c r="H1652" i="19" s="1"/>
  <c r="C1652" i="19"/>
  <c r="I1652" i="19" s="1"/>
  <c r="D1652" i="19"/>
  <c r="J1652" i="19" s="1"/>
  <c r="E1652" i="19"/>
  <c r="K1652" i="19" s="1"/>
  <c r="A1653" i="19"/>
  <c r="G1653" i="19" s="1"/>
  <c r="B1653" i="19"/>
  <c r="H1653" i="19" s="1"/>
  <c r="C1653" i="19"/>
  <c r="I1653" i="19" s="1"/>
  <c r="D1653" i="19"/>
  <c r="J1653" i="19" s="1"/>
  <c r="E1653" i="19"/>
  <c r="K1653" i="19" s="1"/>
  <c r="A1654" i="19"/>
  <c r="G1654" i="19" s="1"/>
  <c r="B1654" i="19"/>
  <c r="H1654" i="19" s="1"/>
  <c r="C1654" i="19"/>
  <c r="I1654" i="19" s="1"/>
  <c r="D1654" i="19"/>
  <c r="J1654" i="19" s="1"/>
  <c r="E1654" i="19"/>
  <c r="K1654" i="19" s="1"/>
  <c r="A1655" i="19"/>
  <c r="G1655" i="19" s="1"/>
  <c r="B1655" i="19"/>
  <c r="H1655" i="19" s="1"/>
  <c r="C1655" i="19"/>
  <c r="I1655" i="19" s="1"/>
  <c r="D1655" i="19"/>
  <c r="J1655" i="19" s="1"/>
  <c r="E1655" i="19"/>
  <c r="K1655" i="19" s="1"/>
  <c r="A1656" i="19"/>
  <c r="G1656" i="19" s="1"/>
  <c r="B1656" i="19"/>
  <c r="H1656" i="19" s="1"/>
  <c r="C1656" i="19"/>
  <c r="I1656" i="19" s="1"/>
  <c r="D1656" i="19"/>
  <c r="J1656" i="19" s="1"/>
  <c r="E1656" i="19"/>
  <c r="K1656" i="19" s="1"/>
  <c r="A1657" i="19"/>
  <c r="G1657" i="19" s="1"/>
  <c r="B1657" i="19"/>
  <c r="H1657" i="19" s="1"/>
  <c r="C1657" i="19"/>
  <c r="I1657" i="19" s="1"/>
  <c r="D1657" i="19"/>
  <c r="J1657" i="19" s="1"/>
  <c r="E1657" i="19"/>
  <c r="K1657" i="19" s="1"/>
  <c r="A1658" i="19"/>
  <c r="G1658" i="19" s="1"/>
  <c r="B1658" i="19"/>
  <c r="H1658" i="19" s="1"/>
  <c r="C1658" i="19"/>
  <c r="I1658" i="19" s="1"/>
  <c r="D1658" i="19"/>
  <c r="J1658" i="19" s="1"/>
  <c r="E1658" i="19"/>
  <c r="K1658" i="19" s="1"/>
  <c r="A1659" i="19"/>
  <c r="G1659" i="19" s="1"/>
  <c r="B1659" i="19"/>
  <c r="H1659" i="19" s="1"/>
  <c r="C1659" i="19"/>
  <c r="I1659" i="19" s="1"/>
  <c r="D1659" i="19"/>
  <c r="J1659" i="19" s="1"/>
  <c r="E1659" i="19"/>
  <c r="K1659" i="19" s="1"/>
  <c r="A1660" i="19"/>
  <c r="G1660" i="19" s="1"/>
  <c r="B1660" i="19"/>
  <c r="H1660" i="19" s="1"/>
  <c r="C1660" i="19"/>
  <c r="I1660" i="19" s="1"/>
  <c r="D1660" i="19"/>
  <c r="J1660" i="19" s="1"/>
  <c r="E1660" i="19"/>
  <c r="K1660" i="19" s="1"/>
  <c r="A1661" i="19"/>
  <c r="G1661" i="19" s="1"/>
  <c r="B1661" i="19"/>
  <c r="H1661" i="19" s="1"/>
  <c r="C1661" i="19"/>
  <c r="I1661" i="19" s="1"/>
  <c r="D1661" i="19"/>
  <c r="J1661" i="19" s="1"/>
  <c r="E1661" i="19"/>
  <c r="K1661" i="19" s="1"/>
  <c r="A1662" i="19"/>
  <c r="G1662" i="19" s="1"/>
  <c r="B1662" i="19"/>
  <c r="H1662" i="19" s="1"/>
  <c r="C1662" i="19"/>
  <c r="I1662" i="19" s="1"/>
  <c r="D1662" i="19"/>
  <c r="J1662" i="19" s="1"/>
  <c r="E1662" i="19"/>
  <c r="K1662" i="19" s="1"/>
  <c r="A1663" i="19"/>
  <c r="G1663" i="19" s="1"/>
  <c r="B1663" i="19"/>
  <c r="H1663" i="19" s="1"/>
  <c r="C1663" i="19"/>
  <c r="I1663" i="19" s="1"/>
  <c r="D1663" i="19"/>
  <c r="J1663" i="19" s="1"/>
  <c r="E1663" i="19"/>
  <c r="K1663" i="19" s="1"/>
  <c r="A1664" i="19"/>
  <c r="G1664" i="19" s="1"/>
  <c r="B1664" i="19"/>
  <c r="H1664" i="19" s="1"/>
  <c r="C1664" i="19"/>
  <c r="I1664" i="19" s="1"/>
  <c r="D1664" i="19"/>
  <c r="J1664" i="19" s="1"/>
  <c r="E1664" i="19"/>
  <c r="K1664" i="19" s="1"/>
  <c r="A1665" i="19"/>
  <c r="G1665" i="19" s="1"/>
  <c r="B1665" i="19"/>
  <c r="H1665" i="19" s="1"/>
  <c r="C1665" i="19"/>
  <c r="I1665" i="19" s="1"/>
  <c r="D1665" i="19"/>
  <c r="J1665" i="19" s="1"/>
  <c r="E1665" i="19"/>
  <c r="K1665" i="19" s="1"/>
  <c r="A1666" i="19"/>
  <c r="G1666" i="19" s="1"/>
  <c r="B1666" i="19"/>
  <c r="H1666" i="19" s="1"/>
  <c r="C1666" i="19"/>
  <c r="I1666" i="19" s="1"/>
  <c r="D1666" i="19"/>
  <c r="J1666" i="19" s="1"/>
  <c r="E1666" i="19"/>
  <c r="K1666" i="19" s="1"/>
  <c r="A1667" i="19"/>
  <c r="G1667" i="19" s="1"/>
  <c r="B1667" i="19"/>
  <c r="H1667" i="19" s="1"/>
  <c r="C1667" i="19"/>
  <c r="I1667" i="19" s="1"/>
  <c r="D1667" i="19"/>
  <c r="J1667" i="19" s="1"/>
  <c r="E1667" i="19"/>
  <c r="K1667" i="19" s="1"/>
  <c r="A1668" i="19"/>
  <c r="G1668" i="19" s="1"/>
  <c r="B1668" i="19"/>
  <c r="H1668" i="19" s="1"/>
  <c r="C1668" i="19"/>
  <c r="I1668" i="19" s="1"/>
  <c r="D1668" i="19"/>
  <c r="J1668" i="19" s="1"/>
  <c r="E1668" i="19"/>
  <c r="K1668" i="19" s="1"/>
  <c r="A1669" i="19"/>
  <c r="G1669" i="19" s="1"/>
  <c r="B1669" i="19"/>
  <c r="H1669" i="19" s="1"/>
  <c r="C1669" i="19"/>
  <c r="I1669" i="19" s="1"/>
  <c r="D1669" i="19"/>
  <c r="J1669" i="19" s="1"/>
  <c r="E1669" i="19"/>
  <c r="K1669" i="19" s="1"/>
  <c r="A1670" i="19"/>
  <c r="G1670" i="19" s="1"/>
  <c r="B1670" i="19"/>
  <c r="H1670" i="19" s="1"/>
  <c r="C1670" i="19"/>
  <c r="I1670" i="19" s="1"/>
  <c r="D1670" i="19"/>
  <c r="J1670" i="19" s="1"/>
  <c r="E1670" i="19"/>
  <c r="K1670" i="19" s="1"/>
  <c r="A1671" i="19"/>
  <c r="G1671" i="19" s="1"/>
  <c r="B1671" i="19"/>
  <c r="H1671" i="19" s="1"/>
  <c r="C1671" i="19"/>
  <c r="I1671" i="19" s="1"/>
  <c r="D1671" i="19"/>
  <c r="J1671" i="19" s="1"/>
  <c r="E1671" i="19"/>
  <c r="K1671" i="19" s="1"/>
  <c r="A1672" i="19"/>
  <c r="G1672" i="19" s="1"/>
  <c r="B1672" i="19"/>
  <c r="H1672" i="19" s="1"/>
  <c r="C1672" i="19"/>
  <c r="I1672" i="19" s="1"/>
  <c r="D1672" i="19"/>
  <c r="J1672" i="19" s="1"/>
  <c r="E1672" i="19"/>
  <c r="K1672" i="19" s="1"/>
  <c r="A1673" i="19"/>
  <c r="G1673" i="19" s="1"/>
  <c r="B1673" i="19"/>
  <c r="H1673" i="19" s="1"/>
  <c r="C1673" i="19"/>
  <c r="I1673" i="19" s="1"/>
  <c r="D1673" i="19"/>
  <c r="J1673" i="19" s="1"/>
  <c r="E1673" i="19"/>
  <c r="K1673" i="19" s="1"/>
  <c r="A1674" i="19"/>
  <c r="G1674" i="19" s="1"/>
  <c r="B1674" i="19"/>
  <c r="H1674" i="19" s="1"/>
  <c r="C1674" i="19"/>
  <c r="I1674" i="19" s="1"/>
  <c r="D1674" i="19"/>
  <c r="J1674" i="19" s="1"/>
  <c r="E1674" i="19"/>
  <c r="K1674" i="19" s="1"/>
  <c r="A1675" i="19"/>
  <c r="G1675" i="19" s="1"/>
  <c r="B1675" i="19"/>
  <c r="H1675" i="19" s="1"/>
  <c r="C1675" i="19"/>
  <c r="I1675" i="19" s="1"/>
  <c r="D1675" i="19"/>
  <c r="J1675" i="19" s="1"/>
  <c r="E1675" i="19"/>
  <c r="K1675" i="19" s="1"/>
  <c r="A1676" i="19"/>
  <c r="G1676" i="19" s="1"/>
  <c r="B1676" i="19"/>
  <c r="H1676" i="19" s="1"/>
  <c r="C1676" i="19"/>
  <c r="I1676" i="19" s="1"/>
  <c r="D1676" i="19"/>
  <c r="J1676" i="19" s="1"/>
  <c r="E1676" i="19"/>
  <c r="K1676" i="19" s="1"/>
  <c r="A1677" i="19"/>
  <c r="G1677" i="19" s="1"/>
  <c r="B1677" i="19"/>
  <c r="H1677" i="19" s="1"/>
  <c r="C1677" i="19"/>
  <c r="I1677" i="19" s="1"/>
  <c r="D1677" i="19"/>
  <c r="J1677" i="19" s="1"/>
  <c r="E1677" i="19"/>
  <c r="K1677" i="19" s="1"/>
  <c r="A1678" i="19"/>
  <c r="G1678" i="19" s="1"/>
  <c r="B1678" i="19"/>
  <c r="H1678" i="19" s="1"/>
  <c r="C1678" i="19"/>
  <c r="I1678" i="19" s="1"/>
  <c r="D1678" i="19"/>
  <c r="J1678" i="19" s="1"/>
  <c r="E1678" i="19"/>
  <c r="K1678" i="19" s="1"/>
  <c r="A1679" i="19"/>
  <c r="G1679" i="19" s="1"/>
  <c r="B1679" i="19"/>
  <c r="H1679" i="19" s="1"/>
  <c r="C1679" i="19"/>
  <c r="I1679" i="19" s="1"/>
  <c r="D1679" i="19"/>
  <c r="J1679" i="19" s="1"/>
  <c r="E1679" i="19"/>
  <c r="K1679" i="19" s="1"/>
  <c r="A1680" i="19"/>
  <c r="G1680" i="19" s="1"/>
  <c r="B1680" i="19"/>
  <c r="H1680" i="19" s="1"/>
  <c r="C1680" i="19"/>
  <c r="I1680" i="19" s="1"/>
  <c r="D1680" i="19"/>
  <c r="J1680" i="19" s="1"/>
  <c r="E1680" i="19"/>
  <c r="K1680" i="19" s="1"/>
  <c r="A1681" i="19"/>
  <c r="G1681" i="19" s="1"/>
  <c r="B1681" i="19"/>
  <c r="H1681" i="19" s="1"/>
  <c r="C1681" i="19"/>
  <c r="I1681" i="19" s="1"/>
  <c r="D1681" i="19"/>
  <c r="J1681" i="19" s="1"/>
  <c r="E1681" i="19"/>
  <c r="K1681" i="19" s="1"/>
  <c r="A1682" i="19"/>
  <c r="G1682" i="19" s="1"/>
  <c r="B1682" i="19"/>
  <c r="H1682" i="19" s="1"/>
  <c r="C1682" i="19"/>
  <c r="I1682" i="19" s="1"/>
  <c r="D1682" i="19"/>
  <c r="J1682" i="19" s="1"/>
  <c r="E1682" i="19"/>
  <c r="K1682" i="19" s="1"/>
  <c r="A1683" i="19"/>
  <c r="G1683" i="19" s="1"/>
  <c r="B1683" i="19"/>
  <c r="H1683" i="19" s="1"/>
  <c r="C1683" i="19"/>
  <c r="I1683" i="19" s="1"/>
  <c r="D1683" i="19"/>
  <c r="J1683" i="19" s="1"/>
  <c r="E1683" i="19"/>
  <c r="K1683" i="19" s="1"/>
  <c r="A1684" i="19"/>
  <c r="G1684" i="19" s="1"/>
  <c r="B1684" i="19"/>
  <c r="H1684" i="19" s="1"/>
  <c r="C1684" i="19"/>
  <c r="I1684" i="19" s="1"/>
  <c r="D1684" i="19"/>
  <c r="J1684" i="19" s="1"/>
  <c r="E1684" i="19"/>
  <c r="K1684" i="19" s="1"/>
  <c r="A1685" i="19"/>
  <c r="G1685" i="19" s="1"/>
  <c r="B1685" i="19"/>
  <c r="H1685" i="19" s="1"/>
  <c r="C1685" i="19"/>
  <c r="I1685" i="19" s="1"/>
  <c r="D1685" i="19"/>
  <c r="J1685" i="19" s="1"/>
  <c r="E1685" i="19"/>
  <c r="K1685" i="19" s="1"/>
  <c r="A1686" i="19"/>
  <c r="G1686" i="19" s="1"/>
  <c r="B1686" i="19"/>
  <c r="H1686" i="19" s="1"/>
  <c r="C1686" i="19"/>
  <c r="I1686" i="19" s="1"/>
  <c r="D1686" i="19"/>
  <c r="J1686" i="19" s="1"/>
  <c r="E1686" i="19"/>
  <c r="K1686" i="19" s="1"/>
  <c r="A1687" i="19"/>
  <c r="G1687" i="19" s="1"/>
  <c r="B1687" i="19"/>
  <c r="H1687" i="19" s="1"/>
  <c r="C1687" i="19"/>
  <c r="I1687" i="19" s="1"/>
  <c r="D1687" i="19"/>
  <c r="J1687" i="19" s="1"/>
  <c r="E1687" i="19"/>
  <c r="K1687" i="19" s="1"/>
  <c r="A1688" i="19"/>
  <c r="G1688" i="19" s="1"/>
  <c r="B1688" i="19"/>
  <c r="H1688" i="19" s="1"/>
  <c r="C1688" i="19"/>
  <c r="I1688" i="19" s="1"/>
  <c r="D1688" i="19"/>
  <c r="J1688" i="19" s="1"/>
  <c r="E1688" i="19"/>
  <c r="K1688" i="19" s="1"/>
  <c r="A1689" i="19"/>
  <c r="G1689" i="19" s="1"/>
  <c r="B1689" i="19"/>
  <c r="H1689" i="19" s="1"/>
  <c r="C1689" i="19"/>
  <c r="I1689" i="19" s="1"/>
  <c r="D1689" i="19"/>
  <c r="J1689" i="19" s="1"/>
  <c r="E1689" i="19"/>
  <c r="K1689" i="19" s="1"/>
  <c r="A1690" i="19"/>
  <c r="G1690" i="19" s="1"/>
  <c r="B1690" i="19"/>
  <c r="H1690" i="19" s="1"/>
  <c r="C1690" i="19"/>
  <c r="I1690" i="19" s="1"/>
  <c r="D1690" i="19"/>
  <c r="J1690" i="19" s="1"/>
  <c r="E1690" i="19"/>
  <c r="K1690" i="19" s="1"/>
  <c r="A1691" i="19"/>
  <c r="G1691" i="19" s="1"/>
  <c r="B1691" i="19"/>
  <c r="H1691" i="19" s="1"/>
  <c r="C1691" i="19"/>
  <c r="I1691" i="19" s="1"/>
  <c r="D1691" i="19"/>
  <c r="J1691" i="19" s="1"/>
  <c r="E1691" i="19"/>
  <c r="K1691" i="19" s="1"/>
  <c r="A1692" i="19"/>
  <c r="G1692" i="19" s="1"/>
  <c r="B1692" i="19"/>
  <c r="H1692" i="19" s="1"/>
  <c r="C1692" i="19"/>
  <c r="I1692" i="19" s="1"/>
  <c r="D1692" i="19"/>
  <c r="J1692" i="19" s="1"/>
  <c r="E1692" i="19"/>
  <c r="K1692" i="19" s="1"/>
  <c r="A1693" i="19"/>
  <c r="G1693" i="19" s="1"/>
  <c r="B1693" i="19"/>
  <c r="H1693" i="19" s="1"/>
  <c r="C1693" i="19"/>
  <c r="I1693" i="19" s="1"/>
  <c r="D1693" i="19"/>
  <c r="J1693" i="19" s="1"/>
  <c r="E1693" i="19"/>
  <c r="K1693" i="19" s="1"/>
  <c r="A1694" i="19"/>
  <c r="G1694" i="19" s="1"/>
  <c r="B1694" i="19"/>
  <c r="H1694" i="19" s="1"/>
  <c r="C1694" i="19"/>
  <c r="I1694" i="19" s="1"/>
  <c r="D1694" i="19"/>
  <c r="J1694" i="19" s="1"/>
  <c r="E1694" i="19"/>
  <c r="K1694" i="19" s="1"/>
  <c r="A1695" i="19"/>
  <c r="G1695" i="19" s="1"/>
  <c r="B1695" i="19"/>
  <c r="H1695" i="19" s="1"/>
  <c r="C1695" i="19"/>
  <c r="I1695" i="19" s="1"/>
  <c r="D1695" i="19"/>
  <c r="J1695" i="19" s="1"/>
  <c r="E1695" i="19"/>
  <c r="K1695" i="19" s="1"/>
  <c r="A1696" i="19"/>
  <c r="G1696" i="19" s="1"/>
  <c r="B1696" i="19"/>
  <c r="H1696" i="19" s="1"/>
  <c r="C1696" i="19"/>
  <c r="I1696" i="19" s="1"/>
  <c r="D1696" i="19"/>
  <c r="J1696" i="19" s="1"/>
  <c r="E1696" i="19"/>
  <c r="K1696" i="19" s="1"/>
  <c r="A1697" i="19"/>
  <c r="G1697" i="19" s="1"/>
  <c r="B1697" i="19"/>
  <c r="H1697" i="19" s="1"/>
  <c r="C1697" i="19"/>
  <c r="I1697" i="19" s="1"/>
  <c r="D1697" i="19"/>
  <c r="J1697" i="19" s="1"/>
  <c r="E1697" i="19"/>
  <c r="K1697" i="19" s="1"/>
  <c r="A1698" i="19"/>
  <c r="G1698" i="19" s="1"/>
  <c r="B1698" i="19"/>
  <c r="H1698" i="19" s="1"/>
  <c r="C1698" i="19"/>
  <c r="I1698" i="19" s="1"/>
  <c r="D1698" i="19"/>
  <c r="J1698" i="19" s="1"/>
  <c r="E1698" i="19"/>
  <c r="K1698" i="19" s="1"/>
  <c r="A1699" i="19"/>
  <c r="G1699" i="19" s="1"/>
  <c r="B1699" i="19"/>
  <c r="H1699" i="19" s="1"/>
  <c r="C1699" i="19"/>
  <c r="I1699" i="19" s="1"/>
  <c r="D1699" i="19"/>
  <c r="J1699" i="19" s="1"/>
  <c r="E1699" i="19"/>
  <c r="K1699" i="19" s="1"/>
  <c r="A1700" i="19"/>
  <c r="G1700" i="19" s="1"/>
  <c r="B1700" i="19"/>
  <c r="H1700" i="19" s="1"/>
  <c r="C1700" i="19"/>
  <c r="I1700" i="19" s="1"/>
  <c r="D1700" i="19"/>
  <c r="J1700" i="19" s="1"/>
  <c r="E1700" i="19"/>
  <c r="K1700" i="19" s="1"/>
  <c r="A1701" i="19"/>
  <c r="G1701" i="19" s="1"/>
  <c r="B1701" i="19"/>
  <c r="H1701" i="19" s="1"/>
  <c r="C1701" i="19"/>
  <c r="I1701" i="19" s="1"/>
  <c r="D1701" i="19"/>
  <c r="J1701" i="19" s="1"/>
  <c r="E1701" i="19"/>
  <c r="K1701" i="19" s="1"/>
  <c r="A1702" i="19"/>
  <c r="G1702" i="19" s="1"/>
  <c r="B1702" i="19"/>
  <c r="H1702" i="19" s="1"/>
  <c r="C1702" i="19"/>
  <c r="I1702" i="19" s="1"/>
  <c r="D1702" i="19"/>
  <c r="J1702" i="19" s="1"/>
  <c r="E1702" i="19"/>
  <c r="K1702" i="19" s="1"/>
  <c r="A1703" i="19"/>
  <c r="G1703" i="19" s="1"/>
  <c r="B1703" i="19"/>
  <c r="H1703" i="19" s="1"/>
  <c r="C1703" i="19"/>
  <c r="I1703" i="19" s="1"/>
  <c r="D1703" i="19"/>
  <c r="J1703" i="19" s="1"/>
  <c r="E1703" i="19"/>
  <c r="K1703" i="19" s="1"/>
  <c r="A1704" i="19"/>
  <c r="G1704" i="19" s="1"/>
  <c r="B1704" i="19"/>
  <c r="H1704" i="19" s="1"/>
  <c r="C1704" i="19"/>
  <c r="I1704" i="19" s="1"/>
  <c r="D1704" i="19"/>
  <c r="J1704" i="19" s="1"/>
  <c r="E1704" i="19"/>
  <c r="K1704" i="19" s="1"/>
  <c r="A1705" i="19"/>
  <c r="G1705" i="19" s="1"/>
  <c r="B1705" i="19"/>
  <c r="H1705" i="19" s="1"/>
  <c r="C1705" i="19"/>
  <c r="I1705" i="19" s="1"/>
  <c r="D1705" i="19"/>
  <c r="J1705" i="19" s="1"/>
  <c r="E1705" i="19"/>
  <c r="K1705" i="19" s="1"/>
  <c r="A1706" i="19"/>
  <c r="G1706" i="19" s="1"/>
  <c r="B1706" i="19"/>
  <c r="H1706" i="19" s="1"/>
  <c r="C1706" i="19"/>
  <c r="I1706" i="19" s="1"/>
  <c r="D1706" i="19"/>
  <c r="J1706" i="19" s="1"/>
  <c r="E1706" i="19"/>
  <c r="K1706" i="19" s="1"/>
  <c r="A1707" i="19"/>
  <c r="G1707" i="19" s="1"/>
  <c r="B1707" i="19"/>
  <c r="H1707" i="19" s="1"/>
  <c r="C1707" i="19"/>
  <c r="I1707" i="19" s="1"/>
  <c r="D1707" i="19"/>
  <c r="J1707" i="19" s="1"/>
  <c r="E1707" i="19"/>
  <c r="K1707" i="19" s="1"/>
  <c r="A1708" i="19"/>
  <c r="G1708" i="19" s="1"/>
  <c r="B1708" i="19"/>
  <c r="H1708" i="19" s="1"/>
  <c r="C1708" i="19"/>
  <c r="I1708" i="19" s="1"/>
  <c r="D1708" i="19"/>
  <c r="J1708" i="19" s="1"/>
  <c r="E1708" i="19"/>
  <c r="K1708" i="19" s="1"/>
  <c r="A1709" i="19"/>
  <c r="G1709" i="19" s="1"/>
  <c r="B1709" i="19"/>
  <c r="H1709" i="19" s="1"/>
  <c r="C1709" i="19"/>
  <c r="I1709" i="19" s="1"/>
  <c r="D1709" i="19"/>
  <c r="J1709" i="19" s="1"/>
  <c r="E1709" i="19"/>
  <c r="K1709" i="19" s="1"/>
  <c r="A1710" i="19"/>
  <c r="G1710" i="19" s="1"/>
  <c r="B1710" i="19"/>
  <c r="H1710" i="19" s="1"/>
  <c r="C1710" i="19"/>
  <c r="I1710" i="19" s="1"/>
  <c r="D1710" i="19"/>
  <c r="J1710" i="19" s="1"/>
  <c r="E1710" i="19"/>
  <c r="K1710" i="19" s="1"/>
  <c r="A1711" i="19"/>
  <c r="G1711" i="19" s="1"/>
  <c r="B1711" i="19"/>
  <c r="H1711" i="19" s="1"/>
  <c r="C1711" i="19"/>
  <c r="I1711" i="19" s="1"/>
  <c r="D1711" i="19"/>
  <c r="J1711" i="19" s="1"/>
  <c r="E1711" i="19"/>
  <c r="K1711" i="19" s="1"/>
  <c r="A1712" i="19"/>
  <c r="G1712" i="19" s="1"/>
  <c r="B1712" i="19"/>
  <c r="H1712" i="19" s="1"/>
  <c r="C1712" i="19"/>
  <c r="I1712" i="19" s="1"/>
  <c r="D1712" i="19"/>
  <c r="J1712" i="19" s="1"/>
  <c r="E1712" i="19"/>
  <c r="K1712" i="19" s="1"/>
  <c r="A1713" i="19"/>
  <c r="G1713" i="19" s="1"/>
  <c r="B1713" i="19"/>
  <c r="H1713" i="19" s="1"/>
  <c r="C1713" i="19"/>
  <c r="I1713" i="19" s="1"/>
  <c r="D1713" i="19"/>
  <c r="J1713" i="19" s="1"/>
  <c r="E1713" i="19"/>
  <c r="K1713" i="19" s="1"/>
  <c r="A1714" i="19"/>
  <c r="G1714" i="19" s="1"/>
  <c r="B1714" i="19"/>
  <c r="H1714" i="19" s="1"/>
  <c r="C1714" i="19"/>
  <c r="I1714" i="19" s="1"/>
  <c r="D1714" i="19"/>
  <c r="J1714" i="19" s="1"/>
  <c r="E1714" i="19"/>
  <c r="K1714" i="19" s="1"/>
  <c r="A1715" i="19"/>
  <c r="G1715" i="19" s="1"/>
  <c r="B1715" i="19"/>
  <c r="H1715" i="19" s="1"/>
  <c r="C1715" i="19"/>
  <c r="I1715" i="19" s="1"/>
  <c r="D1715" i="19"/>
  <c r="J1715" i="19" s="1"/>
  <c r="E1715" i="19"/>
  <c r="K1715" i="19" s="1"/>
  <c r="A1716" i="19"/>
  <c r="G1716" i="19" s="1"/>
  <c r="B1716" i="19"/>
  <c r="H1716" i="19" s="1"/>
  <c r="C1716" i="19"/>
  <c r="I1716" i="19" s="1"/>
  <c r="D1716" i="19"/>
  <c r="J1716" i="19" s="1"/>
  <c r="E1716" i="19"/>
  <c r="K1716" i="19" s="1"/>
  <c r="A1717" i="19"/>
  <c r="G1717" i="19" s="1"/>
  <c r="B1717" i="19"/>
  <c r="H1717" i="19" s="1"/>
  <c r="C1717" i="19"/>
  <c r="I1717" i="19" s="1"/>
  <c r="D1717" i="19"/>
  <c r="J1717" i="19" s="1"/>
  <c r="E1717" i="19"/>
  <c r="K1717" i="19" s="1"/>
  <c r="A1718" i="19"/>
  <c r="G1718" i="19" s="1"/>
  <c r="B1718" i="19"/>
  <c r="H1718" i="19" s="1"/>
  <c r="C1718" i="19"/>
  <c r="I1718" i="19" s="1"/>
  <c r="D1718" i="19"/>
  <c r="J1718" i="19" s="1"/>
  <c r="E1718" i="19"/>
  <c r="K1718" i="19" s="1"/>
  <c r="A1719" i="19"/>
  <c r="G1719" i="19" s="1"/>
  <c r="B1719" i="19"/>
  <c r="H1719" i="19" s="1"/>
  <c r="C1719" i="19"/>
  <c r="I1719" i="19" s="1"/>
  <c r="D1719" i="19"/>
  <c r="J1719" i="19" s="1"/>
  <c r="E1719" i="19"/>
  <c r="K1719" i="19" s="1"/>
  <c r="A1720" i="19"/>
  <c r="G1720" i="19" s="1"/>
  <c r="B1720" i="19"/>
  <c r="H1720" i="19" s="1"/>
  <c r="C1720" i="19"/>
  <c r="I1720" i="19" s="1"/>
  <c r="D1720" i="19"/>
  <c r="J1720" i="19" s="1"/>
  <c r="E1720" i="19"/>
  <c r="K1720" i="19" s="1"/>
  <c r="A1721" i="19"/>
  <c r="G1721" i="19" s="1"/>
  <c r="B1721" i="19"/>
  <c r="H1721" i="19" s="1"/>
  <c r="C1721" i="19"/>
  <c r="I1721" i="19" s="1"/>
  <c r="D1721" i="19"/>
  <c r="J1721" i="19" s="1"/>
  <c r="E1721" i="19"/>
  <c r="K1721" i="19" s="1"/>
  <c r="A1722" i="19"/>
  <c r="G1722" i="19" s="1"/>
  <c r="B1722" i="19"/>
  <c r="H1722" i="19" s="1"/>
  <c r="C1722" i="19"/>
  <c r="I1722" i="19" s="1"/>
  <c r="D1722" i="19"/>
  <c r="J1722" i="19" s="1"/>
  <c r="E1722" i="19"/>
  <c r="K1722" i="19" s="1"/>
  <c r="A1723" i="19"/>
  <c r="G1723" i="19" s="1"/>
  <c r="B1723" i="19"/>
  <c r="H1723" i="19" s="1"/>
  <c r="C1723" i="19"/>
  <c r="I1723" i="19" s="1"/>
  <c r="D1723" i="19"/>
  <c r="J1723" i="19" s="1"/>
  <c r="E1723" i="19"/>
  <c r="K1723" i="19" s="1"/>
  <c r="A1724" i="19"/>
  <c r="G1724" i="19" s="1"/>
  <c r="B1724" i="19"/>
  <c r="H1724" i="19" s="1"/>
  <c r="C1724" i="19"/>
  <c r="I1724" i="19" s="1"/>
  <c r="D1724" i="19"/>
  <c r="J1724" i="19" s="1"/>
  <c r="E1724" i="19"/>
  <c r="K1724" i="19" s="1"/>
  <c r="A1725" i="19"/>
  <c r="G1725" i="19" s="1"/>
  <c r="B1725" i="19"/>
  <c r="H1725" i="19" s="1"/>
  <c r="C1725" i="19"/>
  <c r="I1725" i="19" s="1"/>
  <c r="D1725" i="19"/>
  <c r="J1725" i="19" s="1"/>
  <c r="E1725" i="19"/>
  <c r="K1725" i="19" s="1"/>
  <c r="A1726" i="19"/>
  <c r="G1726" i="19" s="1"/>
  <c r="B1726" i="19"/>
  <c r="H1726" i="19" s="1"/>
  <c r="C1726" i="19"/>
  <c r="I1726" i="19" s="1"/>
  <c r="D1726" i="19"/>
  <c r="J1726" i="19" s="1"/>
  <c r="E1726" i="19"/>
  <c r="K1726" i="19" s="1"/>
  <c r="A1727" i="19"/>
  <c r="G1727" i="19" s="1"/>
  <c r="B1727" i="19"/>
  <c r="H1727" i="19" s="1"/>
  <c r="C1727" i="19"/>
  <c r="I1727" i="19" s="1"/>
  <c r="D1727" i="19"/>
  <c r="J1727" i="19" s="1"/>
  <c r="E1727" i="19"/>
  <c r="K1727" i="19" s="1"/>
  <c r="A1728" i="19"/>
  <c r="G1728" i="19" s="1"/>
  <c r="B1728" i="19"/>
  <c r="H1728" i="19" s="1"/>
  <c r="C1728" i="19"/>
  <c r="I1728" i="19" s="1"/>
  <c r="D1728" i="19"/>
  <c r="J1728" i="19" s="1"/>
  <c r="E1728" i="19"/>
  <c r="K1728" i="19" s="1"/>
  <c r="A1729" i="19"/>
  <c r="G1729" i="19" s="1"/>
  <c r="B1729" i="19"/>
  <c r="H1729" i="19" s="1"/>
  <c r="C1729" i="19"/>
  <c r="I1729" i="19" s="1"/>
  <c r="D1729" i="19"/>
  <c r="J1729" i="19" s="1"/>
  <c r="E1729" i="19"/>
  <c r="K1729" i="19" s="1"/>
  <c r="A1730" i="19"/>
  <c r="G1730" i="19" s="1"/>
  <c r="B1730" i="19"/>
  <c r="H1730" i="19" s="1"/>
  <c r="C1730" i="19"/>
  <c r="I1730" i="19" s="1"/>
  <c r="D1730" i="19"/>
  <c r="J1730" i="19" s="1"/>
  <c r="E1730" i="19"/>
  <c r="K1730" i="19" s="1"/>
  <c r="A1731" i="19"/>
  <c r="G1731" i="19" s="1"/>
  <c r="B1731" i="19"/>
  <c r="H1731" i="19" s="1"/>
  <c r="C1731" i="19"/>
  <c r="I1731" i="19" s="1"/>
  <c r="D1731" i="19"/>
  <c r="J1731" i="19" s="1"/>
  <c r="E1731" i="19"/>
  <c r="K1731" i="19" s="1"/>
  <c r="A1732" i="19"/>
  <c r="G1732" i="19" s="1"/>
  <c r="B1732" i="19"/>
  <c r="H1732" i="19" s="1"/>
  <c r="C1732" i="19"/>
  <c r="I1732" i="19" s="1"/>
  <c r="D1732" i="19"/>
  <c r="J1732" i="19" s="1"/>
  <c r="E1732" i="19"/>
  <c r="K1732" i="19" s="1"/>
  <c r="A1733" i="19"/>
  <c r="G1733" i="19" s="1"/>
  <c r="B1733" i="19"/>
  <c r="H1733" i="19" s="1"/>
  <c r="C1733" i="19"/>
  <c r="I1733" i="19" s="1"/>
  <c r="D1733" i="19"/>
  <c r="J1733" i="19" s="1"/>
  <c r="E1733" i="19"/>
  <c r="K1733" i="19" s="1"/>
  <c r="A1734" i="19"/>
  <c r="G1734" i="19" s="1"/>
  <c r="B1734" i="19"/>
  <c r="H1734" i="19" s="1"/>
  <c r="C1734" i="19"/>
  <c r="I1734" i="19" s="1"/>
  <c r="D1734" i="19"/>
  <c r="J1734" i="19" s="1"/>
  <c r="E1734" i="19"/>
  <c r="K1734" i="19" s="1"/>
  <c r="A1735" i="19"/>
  <c r="G1735" i="19" s="1"/>
  <c r="B1735" i="19"/>
  <c r="H1735" i="19" s="1"/>
  <c r="C1735" i="19"/>
  <c r="I1735" i="19" s="1"/>
  <c r="D1735" i="19"/>
  <c r="J1735" i="19" s="1"/>
  <c r="E1735" i="19"/>
  <c r="K1735" i="19" s="1"/>
  <c r="A1736" i="19"/>
  <c r="G1736" i="19" s="1"/>
  <c r="B1736" i="19"/>
  <c r="H1736" i="19" s="1"/>
  <c r="C1736" i="19"/>
  <c r="I1736" i="19" s="1"/>
  <c r="D1736" i="19"/>
  <c r="J1736" i="19" s="1"/>
  <c r="E1736" i="19"/>
  <c r="K1736" i="19" s="1"/>
  <c r="A1737" i="19"/>
  <c r="G1737" i="19" s="1"/>
  <c r="B1737" i="19"/>
  <c r="H1737" i="19" s="1"/>
  <c r="C1737" i="19"/>
  <c r="I1737" i="19" s="1"/>
  <c r="D1737" i="19"/>
  <c r="J1737" i="19" s="1"/>
  <c r="E1737" i="19"/>
  <c r="K1737" i="19" s="1"/>
  <c r="A1738" i="19"/>
  <c r="G1738" i="19" s="1"/>
  <c r="B1738" i="19"/>
  <c r="H1738" i="19" s="1"/>
  <c r="C1738" i="19"/>
  <c r="I1738" i="19" s="1"/>
  <c r="D1738" i="19"/>
  <c r="J1738" i="19" s="1"/>
  <c r="E1738" i="19"/>
  <c r="K1738" i="19" s="1"/>
  <c r="A1739" i="19"/>
  <c r="G1739" i="19" s="1"/>
  <c r="B1739" i="19"/>
  <c r="H1739" i="19" s="1"/>
  <c r="C1739" i="19"/>
  <c r="I1739" i="19" s="1"/>
  <c r="D1739" i="19"/>
  <c r="J1739" i="19" s="1"/>
  <c r="E1739" i="19"/>
  <c r="K1739" i="19" s="1"/>
  <c r="A1740" i="19"/>
  <c r="G1740" i="19" s="1"/>
  <c r="B1740" i="19"/>
  <c r="H1740" i="19" s="1"/>
  <c r="C1740" i="19"/>
  <c r="I1740" i="19" s="1"/>
  <c r="D1740" i="19"/>
  <c r="J1740" i="19" s="1"/>
  <c r="E1740" i="19"/>
  <c r="K1740" i="19" s="1"/>
  <c r="A1741" i="19"/>
  <c r="G1741" i="19" s="1"/>
  <c r="B1741" i="19"/>
  <c r="H1741" i="19" s="1"/>
  <c r="C1741" i="19"/>
  <c r="I1741" i="19" s="1"/>
  <c r="D1741" i="19"/>
  <c r="J1741" i="19" s="1"/>
  <c r="E1741" i="19"/>
  <c r="K1741" i="19" s="1"/>
  <c r="A1742" i="19"/>
  <c r="G1742" i="19" s="1"/>
  <c r="B1742" i="19"/>
  <c r="H1742" i="19" s="1"/>
  <c r="C1742" i="19"/>
  <c r="I1742" i="19" s="1"/>
  <c r="D1742" i="19"/>
  <c r="J1742" i="19" s="1"/>
  <c r="E1742" i="19"/>
  <c r="K1742" i="19" s="1"/>
  <c r="A1743" i="19"/>
  <c r="G1743" i="19" s="1"/>
  <c r="B1743" i="19"/>
  <c r="H1743" i="19" s="1"/>
  <c r="C1743" i="19"/>
  <c r="I1743" i="19" s="1"/>
  <c r="D1743" i="19"/>
  <c r="J1743" i="19" s="1"/>
  <c r="E1743" i="19"/>
  <c r="K1743" i="19" s="1"/>
  <c r="A1744" i="19"/>
  <c r="G1744" i="19" s="1"/>
  <c r="B1744" i="19"/>
  <c r="H1744" i="19" s="1"/>
  <c r="C1744" i="19"/>
  <c r="I1744" i="19" s="1"/>
  <c r="D1744" i="19"/>
  <c r="J1744" i="19" s="1"/>
  <c r="E1744" i="19"/>
  <c r="K1744" i="19" s="1"/>
  <c r="A1745" i="19"/>
  <c r="G1745" i="19" s="1"/>
  <c r="B1745" i="19"/>
  <c r="H1745" i="19" s="1"/>
  <c r="C1745" i="19"/>
  <c r="I1745" i="19" s="1"/>
  <c r="D1745" i="19"/>
  <c r="J1745" i="19" s="1"/>
  <c r="E1745" i="19"/>
  <c r="K1745" i="19" s="1"/>
  <c r="A1746" i="19"/>
  <c r="G1746" i="19" s="1"/>
  <c r="B1746" i="19"/>
  <c r="H1746" i="19" s="1"/>
  <c r="C1746" i="19"/>
  <c r="I1746" i="19" s="1"/>
  <c r="D1746" i="19"/>
  <c r="J1746" i="19" s="1"/>
  <c r="E1746" i="19"/>
  <c r="K1746" i="19" s="1"/>
  <c r="A1747" i="19"/>
  <c r="G1747" i="19" s="1"/>
  <c r="B1747" i="19"/>
  <c r="H1747" i="19" s="1"/>
  <c r="C1747" i="19"/>
  <c r="I1747" i="19" s="1"/>
  <c r="D1747" i="19"/>
  <c r="J1747" i="19" s="1"/>
  <c r="E1747" i="19"/>
  <c r="K1747" i="19" s="1"/>
  <c r="A1748" i="19"/>
  <c r="G1748" i="19" s="1"/>
  <c r="B1748" i="19"/>
  <c r="H1748" i="19" s="1"/>
  <c r="C1748" i="19"/>
  <c r="I1748" i="19" s="1"/>
  <c r="D1748" i="19"/>
  <c r="J1748" i="19" s="1"/>
  <c r="E1748" i="19"/>
  <c r="K1748" i="19" s="1"/>
  <c r="A1749" i="19"/>
  <c r="G1749" i="19" s="1"/>
  <c r="B1749" i="19"/>
  <c r="H1749" i="19" s="1"/>
  <c r="C1749" i="19"/>
  <c r="I1749" i="19" s="1"/>
  <c r="D1749" i="19"/>
  <c r="J1749" i="19" s="1"/>
  <c r="E1749" i="19"/>
  <c r="K1749" i="19" s="1"/>
  <c r="A1750" i="19"/>
  <c r="G1750" i="19" s="1"/>
  <c r="B1750" i="19"/>
  <c r="H1750" i="19" s="1"/>
  <c r="C1750" i="19"/>
  <c r="I1750" i="19" s="1"/>
  <c r="D1750" i="19"/>
  <c r="J1750" i="19" s="1"/>
  <c r="E1750" i="19"/>
  <c r="K1750" i="19" s="1"/>
  <c r="A1751" i="19"/>
  <c r="G1751" i="19" s="1"/>
  <c r="B1751" i="19"/>
  <c r="H1751" i="19" s="1"/>
  <c r="C1751" i="19"/>
  <c r="I1751" i="19" s="1"/>
  <c r="D1751" i="19"/>
  <c r="J1751" i="19" s="1"/>
  <c r="E1751" i="19"/>
  <c r="K1751" i="19" s="1"/>
  <c r="A1752" i="19"/>
  <c r="G1752" i="19" s="1"/>
  <c r="B1752" i="19"/>
  <c r="H1752" i="19" s="1"/>
  <c r="C1752" i="19"/>
  <c r="I1752" i="19" s="1"/>
  <c r="D1752" i="19"/>
  <c r="J1752" i="19" s="1"/>
  <c r="E1752" i="19"/>
  <c r="K1752" i="19" s="1"/>
  <c r="A1753" i="19"/>
  <c r="G1753" i="19" s="1"/>
  <c r="B1753" i="19"/>
  <c r="H1753" i="19" s="1"/>
  <c r="C1753" i="19"/>
  <c r="I1753" i="19" s="1"/>
  <c r="D1753" i="19"/>
  <c r="J1753" i="19" s="1"/>
  <c r="E1753" i="19"/>
  <c r="K1753" i="19" s="1"/>
  <c r="A1754" i="19"/>
  <c r="G1754" i="19" s="1"/>
  <c r="B1754" i="19"/>
  <c r="H1754" i="19" s="1"/>
  <c r="C1754" i="19"/>
  <c r="I1754" i="19" s="1"/>
  <c r="D1754" i="19"/>
  <c r="J1754" i="19" s="1"/>
  <c r="E1754" i="19"/>
  <c r="K1754" i="19" s="1"/>
  <c r="A1755" i="19"/>
  <c r="G1755" i="19" s="1"/>
  <c r="B1755" i="19"/>
  <c r="H1755" i="19" s="1"/>
  <c r="C1755" i="19"/>
  <c r="I1755" i="19" s="1"/>
  <c r="D1755" i="19"/>
  <c r="J1755" i="19" s="1"/>
  <c r="E1755" i="19"/>
  <c r="K1755" i="19" s="1"/>
  <c r="A1756" i="19"/>
  <c r="G1756" i="19" s="1"/>
  <c r="B1756" i="19"/>
  <c r="H1756" i="19" s="1"/>
  <c r="C1756" i="19"/>
  <c r="I1756" i="19" s="1"/>
  <c r="D1756" i="19"/>
  <c r="J1756" i="19" s="1"/>
  <c r="E1756" i="19"/>
  <c r="K1756" i="19" s="1"/>
  <c r="A1757" i="19"/>
  <c r="G1757" i="19" s="1"/>
  <c r="B1757" i="19"/>
  <c r="H1757" i="19" s="1"/>
  <c r="C1757" i="19"/>
  <c r="I1757" i="19" s="1"/>
  <c r="D1757" i="19"/>
  <c r="J1757" i="19" s="1"/>
  <c r="E1757" i="19"/>
  <c r="K1757" i="19" s="1"/>
  <c r="A1758" i="19"/>
  <c r="G1758" i="19" s="1"/>
  <c r="B1758" i="19"/>
  <c r="H1758" i="19" s="1"/>
  <c r="C1758" i="19"/>
  <c r="I1758" i="19" s="1"/>
  <c r="D1758" i="19"/>
  <c r="J1758" i="19" s="1"/>
  <c r="E1758" i="19"/>
  <c r="K1758" i="19" s="1"/>
  <c r="A1759" i="19"/>
  <c r="G1759" i="19" s="1"/>
  <c r="B1759" i="19"/>
  <c r="H1759" i="19" s="1"/>
  <c r="C1759" i="19"/>
  <c r="I1759" i="19" s="1"/>
  <c r="D1759" i="19"/>
  <c r="J1759" i="19" s="1"/>
  <c r="E1759" i="19"/>
  <c r="K1759" i="19" s="1"/>
  <c r="A1760" i="19"/>
  <c r="G1760" i="19" s="1"/>
  <c r="B1760" i="19"/>
  <c r="H1760" i="19" s="1"/>
  <c r="C1760" i="19"/>
  <c r="I1760" i="19" s="1"/>
  <c r="D1760" i="19"/>
  <c r="J1760" i="19" s="1"/>
  <c r="E1760" i="19"/>
  <c r="K1760" i="19" s="1"/>
  <c r="A1761" i="19"/>
  <c r="G1761" i="19" s="1"/>
  <c r="B1761" i="19"/>
  <c r="H1761" i="19" s="1"/>
  <c r="C1761" i="19"/>
  <c r="I1761" i="19" s="1"/>
  <c r="D1761" i="19"/>
  <c r="J1761" i="19" s="1"/>
  <c r="E1761" i="19"/>
  <c r="K1761" i="19" s="1"/>
  <c r="A1762" i="19"/>
  <c r="G1762" i="19" s="1"/>
  <c r="B1762" i="19"/>
  <c r="H1762" i="19" s="1"/>
  <c r="C1762" i="19"/>
  <c r="I1762" i="19" s="1"/>
  <c r="D1762" i="19"/>
  <c r="J1762" i="19" s="1"/>
  <c r="E1762" i="19"/>
  <c r="K1762" i="19" s="1"/>
  <c r="A1763" i="19"/>
  <c r="G1763" i="19" s="1"/>
  <c r="B1763" i="19"/>
  <c r="H1763" i="19" s="1"/>
  <c r="C1763" i="19"/>
  <c r="I1763" i="19" s="1"/>
  <c r="D1763" i="19"/>
  <c r="J1763" i="19" s="1"/>
  <c r="E1763" i="19"/>
  <c r="K1763" i="19" s="1"/>
  <c r="A1764" i="19"/>
  <c r="G1764" i="19" s="1"/>
  <c r="B1764" i="19"/>
  <c r="H1764" i="19" s="1"/>
  <c r="C1764" i="19"/>
  <c r="I1764" i="19" s="1"/>
  <c r="D1764" i="19"/>
  <c r="J1764" i="19" s="1"/>
  <c r="E1764" i="19"/>
  <c r="K1764" i="19" s="1"/>
  <c r="A1765" i="19"/>
  <c r="G1765" i="19" s="1"/>
  <c r="B1765" i="19"/>
  <c r="H1765" i="19" s="1"/>
  <c r="C1765" i="19"/>
  <c r="I1765" i="19" s="1"/>
  <c r="D1765" i="19"/>
  <c r="J1765" i="19" s="1"/>
  <c r="E1765" i="19"/>
  <c r="K1765" i="19" s="1"/>
  <c r="A1766" i="19"/>
  <c r="G1766" i="19" s="1"/>
  <c r="B1766" i="19"/>
  <c r="H1766" i="19" s="1"/>
  <c r="C1766" i="19"/>
  <c r="I1766" i="19" s="1"/>
  <c r="D1766" i="19"/>
  <c r="J1766" i="19" s="1"/>
  <c r="E1766" i="19"/>
  <c r="K1766" i="19" s="1"/>
  <c r="A1767" i="19"/>
  <c r="G1767" i="19" s="1"/>
  <c r="B1767" i="19"/>
  <c r="H1767" i="19" s="1"/>
  <c r="C1767" i="19"/>
  <c r="I1767" i="19" s="1"/>
  <c r="D1767" i="19"/>
  <c r="J1767" i="19" s="1"/>
  <c r="E1767" i="19"/>
  <c r="K1767" i="19" s="1"/>
  <c r="A1768" i="19"/>
  <c r="G1768" i="19" s="1"/>
  <c r="B1768" i="19"/>
  <c r="H1768" i="19" s="1"/>
  <c r="C1768" i="19"/>
  <c r="I1768" i="19" s="1"/>
  <c r="D1768" i="19"/>
  <c r="J1768" i="19" s="1"/>
  <c r="E1768" i="19"/>
  <c r="K1768" i="19" s="1"/>
  <c r="A1769" i="19"/>
  <c r="G1769" i="19" s="1"/>
  <c r="B1769" i="19"/>
  <c r="H1769" i="19" s="1"/>
  <c r="C1769" i="19"/>
  <c r="I1769" i="19" s="1"/>
  <c r="D1769" i="19"/>
  <c r="J1769" i="19" s="1"/>
  <c r="E1769" i="19"/>
  <c r="K1769" i="19" s="1"/>
  <c r="A1770" i="19"/>
  <c r="G1770" i="19" s="1"/>
  <c r="B1770" i="19"/>
  <c r="H1770" i="19" s="1"/>
  <c r="C1770" i="19"/>
  <c r="I1770" i="19" s="1"/>
  <c r="D1770" i="19"/>
  <c r="J1770" i="19" s="1"/>
  <c r="E1770" i="19"/>
  <c r="K1770" i="19" s="1"/>
  <c r="A1771" i="19"/>
  <c r="G1771" i="19" s="1"/>
  <c r="B1771" i="19"/>
  <c r="H1771" i="19" s="1"/>
  <c r="C1771" i="19"/>
  <c r="I1771" i="19" s="1"/>
  <c r="D1771" i="19"/>
  <c r="J1771" i="19" s="1"/>
  <c r="E1771" i="19"/>
  <c r="K1771" i="19" s="1"/>
  <c r="A1772" i="19"/>
  <c r="G1772" i="19" s="1"/>
  <c r="B1772" i="19"/>
  <c r="H1772" i="19" s="1"/>
  <c r="C1772" i="19"/>
  <c r="I1772" i="19" s="1"/>
  <c r="D1772" i="19"/>
  <c r="J1772" i="19" s="1"/>
  <c r="E1772" i="19"/>
  <c r="K1772" i="19" s="1"/>
  <c r="A1773" i="19"/>
  <c r="G1773" i="19" s="1"/>
  <c r="B1773" i="19"/>
  <c r="H1773" i="19" s="1"/>
  <c r="C1773" i="19"/>
  <c r="I1773" i="19" s="1"/>
  <c r="D1773" i="19"/>
  <c r="J1773" i="19" s="1"/>
  <c r="E1773" i="19"/>
  <c r="K1773" i="19" s="1"/>
  <c r="A1774" i="19"/>
  <c r="G1774" i="19" s="1"/>
  <c r="B1774" i="19"/>
  <c r="H1774" i="19" s="1"/>
  <c r="C1774" i="19"/>
  <c r="I1774" i="19" s="1"/>
  <c r="D1774" i="19"/>
  <c r="J1774" i="19" s="1"/>
  <c r="E1774" i="19"/>
  <c r="K1774" i="19" s="1"/>
  <c r="A1775" i="19"/>
  <c r="G1775" i="19" s="1"/>
  <c r="B1775" i="19"/>
  <c r="H1775" i="19" s="1"/>
  <c r="C1775" i="19"/>
  <c r="I1775" i="19" s="1"/>
  <c r="D1775" i="19"/>
  <c r="J1775" i="19" s="1"/>
  <c r="E1775" i="19"/>
  <c r="K1775" i="19" s="1"/>
  <c r="A1776" i="19"/>
  <c r="G1776" i="19" s="1"/>
  <c r="B1776" i="19"/>
  <c r="H1776" i="19" s="1"/>
  <c r="C1776" i="19"/>
  <c r="I1776" i="19" s="1"/>
  <c r="D1776" i="19"/>
  <c r="J1776" i="19" s="1"/>
  <c r="E1776" i="19"/>
  <c r="K1776" i="19" s="1"/>
  <c r="A1777" i="19"/>
  <c r="G1777" i="19" s="1"/>
  <c r="B1777" i="19"/>
  <c r="H1777" i="19" s="1"/>
  <c r="C1777" i="19"/>
  <c r="I1777" i="19" s="1"/>
  <c r="D1777" i="19"/>
  <c r="J1777" i="19" s="1"/>
  <c r="E1777" i="19"/>
  <c r="K1777" i="19" s="1"/>
  <c r="A1778" i="19"/>
  <c r="G1778" i="19" s="1"/>
  <c r="B1778" i="19"/>
  <c r="H1778" i="19" s="1"/>
  <c r="C1778" i="19"/>
  <c r="I1778" i="19" s="1"/>
  <c r="D1778" i="19"/>
  <c r="J1778" i="19" s="1"/>
  <c r="E1778" i="19"/>
  <c r="K1778" i="19" s="1"/>
  <c r="A1779" i="19"/>
  <c r="G1779" i="19" s="1"/>
  <c r="B1779" i="19"/>
  <c r="H1779" i="19" s="1"/>
  <c r="C1779" i="19"/>
  <c r="I1779" i="19" s="1"/>
  <c r="D1779" i="19"/>
  <c r="J1779" i="19" s="1"/>
  <c r="E1779" i="19"/>
  <c r="K1779" i="19" s="1"/>
  <c r="A1780" i="19"/>
  <c r="G1780" i="19" s="1"/>
  <c r="B1780" i="19"/>
  <c r="H1780" i="19" s="1"/>
  <c r="C1780" i="19"/>
  <c r="I1780" i="19" s="1"/>
  <c r="D1780" i="19"/>
  <c r="J1780" i="19" s="1"/>
  <c r="E1780" i="19"/>
  <c r="K1780" i="19" s="1"/>
  <c r="A1781" i="19"/>
  <c r="G1781" i="19" s="1"/>
  <c r="B1781" i="19"/>
  <c r="H1781" i="19" s="1"/>
  <c r="C1781" i="19"/>
  <c r="I1781" i="19" s="1"/>
  <c r="D1781" i="19"/>
  <c r="J1781" i="19" s="1"/>
  <c r="E1781" i="19"/>
  <c r="K1781" i="19" s="1"/>
  <c r="A1782" i="19"/>
  <c r="G1782" i="19" s="1"/>
  <c r="B1782" i="19"/>
  <c r="H1782" i="19" s="1"/>
  <c r="C1782" i="19"/>
  <c r="I1782" i="19" s="1"/>
  <c r="D1782" i="19"/>
  <c r="J1782" i="19" s="1"/>
  <c r="E1782" i="19"/>
  <c r="K1782" i="19" s="1"/>
  <c r="A1783" i="19"/>
  <c r="G1783" i="19" s="1"/>
  <c r="B1783" i="19"/>
  <c r="H1783" i="19" s="1"/>
  <c r="C1783" i="19"/>
  <c r="I1783" i="19" s="1"/>
  <c r="D1783" i="19"/>
  <c r="J1783" i="19" s="1"/>
  <c r="E1783" i="19"/>
  <c r="K1783" i="19" s="1"/>
  <c r="A1784" i="19"/>
  <c r="G1784" i="19" s="1"/>
  <c r="B1784" i="19"/>
  <c r="H1784" i="19" s="1"/>
  <c r="C1784" i="19"/>
  <c r="I1784" i="19" s="1"/>
  <c r="D1784" i="19"/>
  <c r="J1784" i="19" s="1"/>
  <c r="E1784" i="19"/>
  <c r="K1784" i="19" s="1"/>
  <c r="A1785" i="19"/>
  <c r="G1785" i="19" s="1"/>
  <c r="B1785" i="19"/>
  <c r="H1785" i="19" s="1"/>
  <c r="C1785" i="19"/>
  <c r="I1785" i="19" s="1"/>
  <c r="D1785" i="19"/>
  <c r="J1785" i="19" s="1"/>
  <c r="E1785" i="19"/>
  <c r="K1785" i="19" s="1"/>
  <c r="A1786" i="19"/>
  <c r="G1786" i="19" s="1"/>
  <c r="B1786" i="19"/>
  <c r="H1786" i="19" s="1"/>
  <c r="C1786" i="19"/>
  <c r="I1786" i="19" s="1"/>
  <c r="D1786" i="19"/>
  <c r="J1786" i="19" s="1"/>
  <c r="E1786" i="19"/>
  <c r="K1786" i="19" s="1"/>
  <c r="A1787" i="19"/>
  <c r="G1787" i="19" s="1"/>
  <c r="B1787" i="19"/>
  <c r="H1787" i="19" s="1"/>
  <c r="C1787" i="19"/>
  <c r="I1787" i="19" s="1"/>
  <c r="D1787" i="19"/>
  <c r="J1787" i="19" s="1"/>
  <c r="E1787" i="19"/>
  <c r="K1787" i="19" s="1"/>
  <c r="A1788" i="19"/>
  <c r="G1788" i="19" s="1"/>
  <c r="B1788" i="19"/>
  <c r="H1788" i="19" s="1"/>
  <c r="C1788" i="19"/>
  <c r="I1788" i="19" s="1"/>
  <c r="D1788" i="19"/>
  <c r="J1788" i="19" s="1"/>
  <c r="E1788" i="19"/>
  <c r="K1788" i="19" s="1"/>
  <c r="A1789" i="19"/>
  <c r="G1789" i="19" s="1"/>
  <c r="B1789" i="19"/>
  <c r="H1789" i="19" s="1"/>
  <c r="C1789" i="19"/>
  <c r="I1789" i="19" s="1"/>
  <c r="D1789" i="19"/>
  <c r="J1789" i="19" s="1"/>
  <c r="E1789" i="19"/>
  <c r="K1789" i="19" s="1"/>
  <c r="A1790" i="19"/>
  <c r="G1790" i="19" s="1"/>
  <c r="B1790" i="19"/>
  <c r="H1790" i="19" s="1"/>
  <c r="C1790" i="19"/>
  <c r="I1790" i="19" s="1"/>
  <c r="D1790" i="19"/>
  <c r="J1790" i="19" s="1"/>
  <c r="E1790" i="19"/>
  <c r="K1790" i="19" s="1"/>
  <c r="A1791" i="19"/>
  <c r="G1791" i="19" s="1"/>
  <c r="B1791" i="19"/>
  <c r="H1791" i="19" s="1"/>
  <c r="C1791" i="19"/>
  <c r="I1791" i="19" s="1"/>
  <c r="D1791" i="19"/>
  <c r="J1791" i="19" s="1"/>
  <c r="E1791" i="19"/>
  <c r="K1791" i="19" s="1"/>
  <c r="A1792" i="19"/>
  <c r="G1792" i="19" s="1"/>
  <c r="B1792" i="19"/>
  <c r="H1792" i="19" s="1"/>
  <c r="C1792" i="19"/>
  <c r="I1792" i="19" s="1"/>
  <c r="D1792" i="19"/>
  <c r="J1792" i="19" s="1"/>
  <c r="E1792" i="19"/>
  <c r="K1792" i="19" s="1"/>
  <c r="A1793" i="19"/>
  <c r="G1793" i="19" s="1"/>
  <c r="B1793" i="19"/>
  <c r="H1793" i="19" s="1"/>
  <c r="C1793" i="19"/>
  <c r="I1793" i="19" s="1"/>
  <c r="D1793" i="19"/>
  <c r="J1793" i="19" s="1"/>
  <c r="E1793" i="19"/>
  <c r="K1793" i="19" s="1"/>
  <c r="A1794" i="19"/>
  <c r="G1794" i="19" s="1"/>
  <c r="B1794" i="19"/>
  <c r="H1794" i="19" s="1"/>
  <c r="C1794" i="19"/>
  <c r="I1794" i="19" s="1"/>
  <c r="D1794" i="19"/>
  <c r="J1794" i="19" s="1"/>
  <c r="E1794" i="19"/>
  <c r="K1794" i="19" s="1"/>
  <c r="A1795" i="19"/>
  <c r="G1795" i="19" s="1"/>
  <c r="B1795" i="19"/>
  <c r="H1795" i="19" s="1"/>
  <c r="C1795" i="19"/>
  <c r="I1795" i="19" s="1"/>
  <c r="D1795" i="19"/>
  <c r="J1795" i="19" s="1"/>
  <c r="E1795" i="19"/>
  <c r="K1795" i="19" s="1"/>
  <c r="A1796" i="19"/>
  <c r="G1796" i="19" s="1"/>
  <c r="B1796" i="19"/>
  <c r="H1796" i="19" s="1"/>
  <c r="C1796" i="19"/>
  <c r="I1796" i="19" s="1"/>
  <c r="D1796" i="19"/>
  <c r="J1796" i="19" s="1"/>
  <c r="E1796" i="19"/>
  <c r="K1796" i="19" s="1"/>
  <c r="A1797" i="19"/>
  <c r="G1797" i="19" s="1"/>
  <c r="B1797" i="19"/>
  <c r="H1797" i="19" s="1"/>
  <c r="C1797" i="19"/>
  <c r="I1797" i="19" s="1"/>
  <c r="D1797" i="19"/>
  <c r="J1797" i="19" s="1"/>
  <c r="E1797" i="19"/>
  <c r="K1797" i="19" s="1"/>
  <c r="A1798" i="19"/>
  <c r="G1798" i="19" s="1"/>
  <c r="B1798" i="19"/>
  <c r="H1798" i="19" s="1"/>
  <c r="C1798" i="19"/>
  <c r="I1798" i="19" s="1"/>
  <c r="D1798" i="19"/>
  <c r="J1798" i="19" s="1"/>
  <c r="E1798" i="19"/>
  <c r="K1798" i="19" s="1"/>
  <c r="A1799" i="19"/>
  <c r="G1799" i="19" s="1"/>
  <c r="B1799" i="19"/>
  <c r="H1799" i="19" s="1"/>
  <c r="C1799" i="19"/>
  <c r="I1799" i="19" s="1"/>
  <c r="D1799" i="19"/>
  <c r="J1799" i="19" s="1"/>
  <c r="E1799" i="19"/>
  <c r="K1799" i="19" s="1"/>
  <c r="A1800" i="19"/>
  <c r="G1800" i="19" s="1"/>
  <c r="B1800" i="19"/>
  <c r="H1800" i="19" s="1"/>
  <c r="C1800" i="19"/>
  <c r="I1800" i="19" s="1"/>
  <c r="D1800" i="19"/>
  <c r="J1800" i="19" s="1"/>
  <c r="E1800" i="19"/>
  <c r="K1800" i="19" s="1"/>
  <c r="A1801" i="19"/>
  <c r="G1801" i="19" s="1"/>
  <c r="B1801" i="19"/>
  <c r="H1801" i="19" s="1"/>
  <c r="C1801" i="19"/>
  <c r="I1801" i="19" s="1"/>
  <c r="D1801" i="19"/>
  <c r="J1801" i="19" s="1"/>
  <c r="E1801" i="19"/>
  <c r="K1801" i="19" s="1"/>
  <c r="A1802" i="19"/>
  <c r="G1802" i="19" s="1"/>
  <c r="B1802" i="19"/>
  <c r="H1802" i="19" s="1"/>
  <c r="C1802" i="19"/>
  <c r="I1802" i="19" s="1"/>
  <c r="D1802" i="19"/>
  <c r="J1802" i="19" s="1"/>
  <c r="E1802" i="19"/>
  <c r="K1802" i="19" s="1"/>
  <c r="A1803" i="19"/>
  <c r="G1803" i="19" s="1"/>
  <c r="B1803" i="19"/>
  <c r="H1803" i="19" s="1"/>
  <c r="C1803" i="19"/>
  <c r="I1803" i="19" s="1"/>
  <c r="D1803" i="19"/>
  <c r="J1803" i="19" s="1"/>
  <c r="E1803" i="19"/>
  <c r="K1803" i="19" s="1"/>
  <c r="A1804" i="19"/>
  <c r="G1804" i="19" s="1"/>
  <c r="B1804" i="19"/>
  <c r="H1804" i="19" s="1"/>
  <c r="C1804" i="19"/>
  <c r="I1804" i="19" s="1"/>
  <c r="D1804" i="19"/>
  <c r="J1804" i="19" s="1"/>
  <c r="E1804" i="19"/>
  <c r="K1804" i="19" s="1"/>
  <c r="A1805" i="19"/>
  <c r="G1805" i="19" s="1"/>
  <c r="B1805" i="19"/>
  <c r="H1805" i="19" s="1"/>
  <c r="C1805" i="19"/>
  <c r="I1805" i="19" s="1"/>
  <c r="D1805" i="19"/>
  <c r="J1805" i="19" s="1"/>
  <c r="E1805" i="19"/>
  <c r="K1805" i="19" s="1"/>
  <c r="A1806" i="19"/>
  <c r="G1806" i="19" s="1"/>
  <c r="B1806" i="19"/>
  <c r="H1806" i="19" s="1"/>
  <c r="C1806" i="19"/>
  <c r="I1806" i="19" s="1"/>
  <c r="D1806" i="19"/>
  <c r="J1806" i="19" s="1"/>
  <c r="E1806" i="19"/>
  <c r="K1806" i="19" s="1"/>
  <c r="A1807" i="19"/>
  <c r="G1807" i="19" s="1"/>
  <c r="B1807" i="19"/>
  <c r="H1807" i="19" s="1"/>
  <c r="C1807" i="19"/>
  <c r="I1807" i="19" s="1"/>
  <c r="D1807" i="19"/>
  <c r="J1807" i="19" s="1"/>
  <c r="E1807" i="19"/>
  <c r="K1807" i="19" s="1"/>
  <c r="A1808" i="19"/>
  <c r="G1808" i="19" s="1"/>
  <c r="B1808" i="19"/>
  <c r="H1808" i="19" s="1"/>
  <c r="C1808" i="19"/>
  <c r="I1808" i="19" s="1"/>
  <c r="D1808" i="19"/>
  <c r="J1808" i="19" s="1"/>
  <c r="E1808" i="19"/>
  <c r="K1808" i="19" s="1"/>
  <c r="A1809" i="19"/>
  <c r="G1809" i="19" s="1"/>
  <c r="B1809" i="19"/>
  <c r="H1809" i="19" s="1"/>
  <c r="C1809" i="19"/>
  <c r="I1809" i="19" s="1"/>
  <c r="D1809" i="19"/>
  <c r="J1809" i="19" s="1"/>
  <c r="E1809" i="19"/>
  <c r="K1809" i="19" s="1"/>
  <c r="A1810" i="19"/>
  <c r="G1810" i="19" s="1"/>
  <c r="B1810" i="19"/>
  <c r="H1810" i="19" s="1"/>
  <c r="C1810" i="19"/>
  <c r="I1810" i="19" s="1"/>
  <c r="D1810" i="19"/>
  <c r="J1810" i="19" s="1"/>
  <c r="E1810" i="19"/>
  <c r="K1810" i="19" s="1"/>
  <c r="A1811" i="19"/>
  <c r="G1811" i="19" s="1"/>
  <c r="B1811" i="19"/>
  <c r="H1811" i="19" s="1"/>
  <c r="C1811" i="19"/>
  <c r="I1811" i="19" s="1"/>
  <c r="D1811" i="19"/>
  <c r="J1811" i="19" s="1"/>
  <c r="E1811" i="19"/>
  <c r="K1811" i="19" s="1"/>
  <c r="A1812" i="19"/>
  <c r="G1812" i="19" s="1"/>
  <c r="B1812" i="19"/>
  <c r="H1812" i="19" s="1"/>
  <c r="C1812" i="19"/>
  <c r="I1812" i="19" s="1"/>
  <c r="D1812" i="19"/>
  <c r="J1812" i="19" s="1"/>
  <c r="E1812" i="19"/>
  <c r="K1812" i="19" s="1"/>
  <c r="A1813" i="19"/>
  <c r="G1813" i="19" s="1"/>
  <c r="B1813" i="19"/>
  <c r="H1813" i="19" s="1"/>
  <c r="C1813" i="19"/>
  <c r="I1813" i="19" s="1"/>
  <c r="D1813" i="19"/>
  <c r="J1813" i="19" s="1"/>
  <c r="E1813" i="19"/>
  <c r="K1813" i="19" s="1"/>
  <c r="A1814" i="19"/>
  <c r="G1814" i="19" s="1"/>
  <c r="B1814" i="19"/>
  <c r="H1814" i="19" s="1"/>
  <c r="C1814" i="19"/>
  <c r="I1814" i="19" s="1"/>
  <c r="D1814" i="19"/>
  <c r="J1814" i="19" s="1"/>
  <c r="E1814" i="19"/>
  <c r="K1814" i="19" s="1"/>
  <c r="A1815" i="19"/>
  <c r="G1815" i="19" s="1"/>
  <c r="B1815" i="19"/>
  <c r="H1815" i="19" s="1"/>
  <c r="C1815" i="19"/>
  <c r="I1815" i="19" s="1"/>
  <c r="D1815" i="19"/>
  <c r="J1815" i="19" s="1"/>
  <c r="E1815" i="19"/>
  <c r="K1815" i="19" s="1"/>
  <c r="A1816" i="19"/>
  <c r="G1816" i="19" s="1"/>
  <c r="B1816" i="19"/>
  <c r="H1816" i="19" s="1"/>
  <c r="C1816" i="19"/>
  <c r="I1816" i="19" s="1"/>
  <c r="D1816" i="19"/>
  <c r="J1816" i="19" s="1"/>
  <c r="E1816" i="19"/>
  <c r="K1816" i="19" s="1"/>
  <c r="A1817" i="19"/>
  <c r="G1817" i="19" s="1"/>
  <c r="B1817" i="19"/>
  <c r="H1817" i="19" s="1"/>
  <c r="C1817" i="19"/>
  <c r="I1817" i="19" s="1"/>
  <c r="D1817" i="19"/>
  <c r="J1817" i="19" s="1"/>
  <c r="E1817" i="19"/>
  <c r="K1817" i="19" s="1"/>
  <c r="A1818" i="19"/>
  <c r="G1818" i="19" s="1"/>
  <c r="B1818" i="19"/>
  <c r="H1818" i="19" s="1"/>
  <c r="C1818" i="19"/>
  <c r="I1818" i="19" s="1"/>
  <c r="D1818" i="19"/>
  <c r="J1818" i="19" s="1"/>
  <c r="E1818" i="19"/>
  <c r="K1818" i="19" s="1"/>
  <c r="A1819" i="19"/>
  <c r="G1819" i="19" s="1"/>
  <c r="B1819" i="19"/>
  <c r="H1819" i="19" s="1"/>
  <c r="C1819" i="19"/>
  <c r="I1819" i="19" s="1"/>
  <c r="D1819" i="19"/>
  <c r="J1819" i="19" s="1"/>
  <c r="E1819" i="19"/>
  <c r="K1819" i="19" s="1"/>
  <c r="A1820" i="19"/>
  <c r="G1820" i="19" s="1"/>
  <c r="B1820" i="19"/>
  <c r="H1820" i="19" s="1"/>
  <c r="C1820" i="19"/>
  <c r="I1820" i="19" s="1"/>
  <c r="D1820" i="19"/>
  <c r="J1820" i="19" s="1"/>
  <c r="E1820" i="19"/>
  <c r="K1820" i="19" s="1"/>
  <c r="A1821" i="19"/>
  <c r="G1821" i="19" s="1"/>
  <c r="B1821" i="19"/>
  <c r="H1821" i="19" s="1"/>
  <c r="C1821" i="19"/>
  <c r="I1821" i="19" s="1"/>
  <c r="D1821" i="19"/>
  <c r="J1821" i="19" s="1"/>
  <c r="E1821" i="19"/>
  <c r="K1821" i="19" s="1"/>
  <c r="A1822" i="19"/>
  <c r="G1822" i="19" s="1"/>
  <c r="B1822" i="19"/>
  <c r="H1822" i="19" s="1"/>
  <c r="C1822" i="19"/>
  <c r="I1822" i="19" s="1"/>
  <c r="D1822" i="19"/>
  <c r="J1822" i="19" s="1"/>
  <c r="E1822" i="19"/>
  <c r="K1822" i="19" s="1"/>
  <c r="A1823" i="19"/>
  <c r="G1823" i="19" s="1"/>
  <c r="B1823" i="19"/>
  <c r="H1823" i="19" s="1"/>
  <c r="C1823" i="19"/>
  <c r="I1823" i="19" s="1"/>
  <c r="D1823" i="19"/>
  <c r="J1823" i="19" s="1"/>
  <c r="E1823" i="19"/>
  <c r="K1823" i="19" s="1"/>
  <c r="A1824" i="19"/>
  <c r="G1824" i="19" s="1"/>
  <c r="B1824" i="19"/>
  <c r="H1824" i="19" s="1"/>
  <c r="C1824" i="19"/>
  <c r="I1824" i="19" s="1"/>
  <c r="D1824" i="19"/>
  <c r="J1824" i="19" s="1"/>
  <c r="E1824" i="19"/>
  <c r="K1824" i="19" s="1"/>
  <c r="A1825" i="19"/>
  <c r="G1825" i="19" s="1"/>
  <c r="B1825" i="19"/>
  <c r="H1825" i="19" s="1"/>
  <c r="C1825" i="19"/>
  <c r="I1825" i="19" s="1"/>
  <c r="D1825" i="19"/>
  <c r="J1825" i="19" s="1"/>
  <c r="E1825" i="19"/>
  <c r="K1825" i="19" s="1"/>
  <c r="A1826" i="19"/>
  <c r="G1826" i="19" s="1"/>
  <c r="B1826" i="19"/>
  <c r="H1826" i="19" s="1"/>
  <c r="C1826" i="19"/>
  <c r="I1826" i="19" s="1"/>
  <c r="D1826" i="19"/>
  <c r="J1826" i="19" s="1"/>
  <c r="E1826" i="19"/>
  <c r="K1826" i="19" s="1"/>
  <c r="A1827" i="19"/>
  <c r="G1827" i="19" s="1"/>
  <c r="B1827" i="19"/>
  <c r="H1827" i="19" s="1"/>
  <c r="C1827" i="19"/>
  <c r="I1827" i="19" s="1"/>
  <c r="D1827" i="19"/>
  <c r="J1827" i="19" s="1"/>
  <c r="E1827" i="19"/>
  <c r="K1827" i="19" s="1"/>
  <c r="A1828" i="19"/>
  <c r="G1828" i="19" s="1"/>
  <c r="B1828" i="19"/>
  <c r="H1828" i="19" s="1"/>
  <c r="C1828" i="19"/>
  <c r="I1828" i="19" s="1"/>
  <c r="D1828" i="19"/>
  <c r="J1828" i="19" s="1"/>
  <c r="E1828" i="19"/>
  <c r="K1828" i="19" s="1"/>
  <c r="A1829" i="19"/>
  <c r="G1829" i="19" s="1"/>
  <c r="B1829" i="19"/>
  <c r="H1829" i="19" s="1"/>
  <c r="C1829" i="19"/>
  <c r="I1829" i="19" s="1"/>
  <c r="D1829" i="19"/>
  <c r="J1829" i="19" s="1"/>
  <c r="E1829" i="19"/>
  <c r="K1829" i="19" s="1"/>
  <c r="A1830" i="19"/>
  <c r="G1830" i="19" s="1"/>
  <c r="B1830" i="19"/>
  <c r="H1830" i="19" s="1"/>
  <c r="C1830" i="19"/>
  <c r="I1830" i="19" s="1"/>
  <c r="D1830" i="19"/>
  <c r="J1830" i="19" s="1"/>
  <c r="E1830" i="19"/>
  <c r="K1830" i="19" s="1"/>
  <c r="A1831" i="19"/>
  <c r="G1831" i="19" s="1"/>
  <c r="B1831" i="19"/>
  <c r="H1831" i="19" s="1"/>
  <c r="C1831" i="19"/>
  <c r="I1831" i="19" s="1"/>
  <c r="D1831" i="19"/>
  <c r="J1831" i="19" s="1"/>
  <c r="E1831" i="19"/>
  <c r="K1831" i="19" s="1"/>
  <c r="A1832" i="19"/>
  <c r="G1832" i="19" s="1"/>
  <c r="B1832" i="19"/>
  <c r="H1832" i="19" s="1"/>
  <c r="C1832" i="19"/>
  <c r="I1832" i="19" s="1"/>
  <c r="D1832" i="19"/>
  <c r="J1832" i="19" s="1"/>
  <c r="E1832" i="19"/>
  <c r="K1832" i="19" s="1"/>
  <c r="A1833" i="19"/>
  <c r="G1833" i="19" s="1"/>
  <c r="B1833" i="19"/>
  <c r="H1833" i="19" s="1"/>
  <c r="C1833" i="19"/>
  <c r="I1833" i="19" s="1"/>
  <c r="D1833" i="19"/>
  <c r="J1833" i="19" s="1"/>
  <c r="E1833" i="19"/>
  <c r="K1833" i="19" s="1"/>
  <c r="A1834" i="19"/>
  <c r="G1834" i="19" s="1"/>
  <c r="B1834" i="19"/>
  <c r="H1834" i="19" s="1"/>
  <c r="C1834" i="19"/>
  <c r="I1834" i="19" s="1"/>
  <c r="D1834" i="19"/>
  <c r="J1834" i="19" s="1"/>
  <c r="E1834" i="19"/>
  <c r="K1834" i="19" s="1"/>
  <c r="A1835" i="19"/>
  <c r="G1835" i="19" s="1"/>
  <c r="B1835" i="19"/>
  <c r="H1835" i="19" s="1"/>
  <c r="C1835" i="19"/>
  <c r="I1835" i="19" s="1"/>
  <c r="D1835" i="19"/>
  <c r="J1835" i="19" s="1"/>
  <c r="E1835" i="19"/>
  <c r="K1835" i="19" s="1"/>
  <c r="A1836" i="19"/>
  <c r="G1836" i="19" s="1"/>
  <c r="B1836" i="19"/>
  <c r="H1836" i="19" s="1"/>
  <c r="C1836" i="19"/>
  <c r="I1836" i="19" s="1"/>
  <c r="D1836" i="19"/>
  <c r="J1836" i="19" s="1"/>
  <c r="E1836" i="19"/>
  <c r="K1836" i="19" s="1"/>
  <c r="A1837" i="19"/>
  <c r="G1837" i="19" s="1"/>
  <c r="B1837" i="19"/>
  <c r="H1837" i="19" s="1"/>
  <c r="C1837" i="19"/>
  <c r="I1837" i="19" s="1"/>
  <c r="D1837" i="19"/>
  <c r="J1837" i="19" s="1"/>
  <c r="E1837" i="19"/>
  <c r="K1837" i="19" s="1"/>
  <c r="A1838" i="19"/>
  <c r="G1838" i="19" s="1"/>
  <c r="B1838" i="19"/>
  <c r="H1838" i="19" s="1"/>
  <c r="C1838" i="19"/>
  <c r="I1838" i="19" s="1"/>
  <c r="D1838" i="19"/>
  <c r="J1838" i="19" s="1"/>
  <c r="E1838" i="19"/>
  <c r="K1838" i="19" s="1"/>
  <c r="A1839" i="19"/>
  <c r="G1839" i="19" s="1"/>
  <c r="B1839" i="19"/>
  <c r="H1839" i="19" s="1"/>
  <c r="C1839" i="19"/>
  <c r="I1839" i="19" s="1"/>
  <c r="D1839" i="19"/>
  <c r="J1839" i="19" s="1"/>
  <c r="E1839" i="19"/>
  <c r="K1839" i="19" s="1"/>
  <c r="A1840" i="19"/>
  <c r="G1840" i="19" s="1"/>
  <c r="B1840" i="19"/>
  <c r="H1840" i="19" s="1"/>
  <c r="C1840" i="19"/>
  <c r="I1840" i="19" s="1"/>
  <c r="D1840" i="19"/>
  <c r="J1840" i="19" s="1"/>
  <c r="E1840" i="19"/>
  <c r="K1840" i="19" s="1"/>
  <c r="A1841" i="19"/>
  <c r="G1841" i="19" s="1"/>
  <c r="B1841" i="19"/>
  <c r="H1841" i="19" s="1"/>
  <c r="C1841" i="19"/>
  <c r="I1841" i="19" s="1"/>
  <c r="D1841" i="19"/>
  <c r="J1841" i="19" s="1"/>
  <c r="E1841" i="19"/>
  <c r="K1841" i="19" s="1"/>
  <c r="A1842" i="19"/>
  <c r="G1842" i="19" s="1"/>
  <c r="B1842" i="19"/>
  <c r="H1842" i="19" s="1"/>
  <c r="C1842" i="19"/>
  <c r="I1842" i="19" s="1"/>
  <c r="D1842" i="19"/>
  <c r="J1842" i="19" s="1"/>
  <c r="E1842" i="19"/>
  <c r="K1842" i="19" s="1"/>
  <c r="E99" i="19"/>
  <c r="K99" i="19" s="1"/>
  <c r="E98" i="19"/>
  <c r="K98" i="19" s="1"/>
  <c r="E97" i="19"/>
  <c r="K97" i="19" s="1"/>
  <c r="E96" i="19"/>
  <c r="K96" i="19" s="1"/>
  <c r="E95" i="19"/>
  <c r="K95" i="19" s="1"/>
  <c r="E94" i="19"/>
  <c r="K94" i="19" s="1"/>
  <c r="E93" i="19"/>
  <c r="K93" i="19" s="1"/>
  <c r="E92" i="19"/>
  <c r="K92" i="19" s="1"/>
  <c r="E91" i="19"/>
  <c r="K91" i="19" s="1"/>
  <c r="E90" i="19"/>
  <c r="K90" i="19" s="1"/>
  <c r="E89" i="19"/>
  <c r="K89" i="19" s="1"/>
  <c r="E88" i="19"/>
  <c r="K88" i="19" s="1"/>
  <c r="E87" i="19"/>
  <c r="K87" i="19" s="1"/>
  <c r="E86" i="19"/>
  <c r="K86" i="19" s="1"/>
  <c r="E85" i="19"/>
  <c r="K85" i="19" s="1"/>
  <c r="E84" i="19"/>
  <c r="K84" i="19" s="1"/>
  <c r="E83" i="19"/>
  <c r="K83" i="19" s="1"/>
  <c r="E82" i="19"/>
  <c r="K82" i="19" s="1"/>
  <c r="E81" i="19"/>
  <c r="K81" i="19" s="1"/>
  <c r="E80" i="19"/>
  <c r="K80" i="19" s="1"/>
  <c r="E79" i="19"/>
  <c r="K79" i="19" s="1"/>
  <c r="E78" i="19"/>
  <c r="K78" i="19" s="1"/>
  <c r="E77" i="19"/>
  <c r="K77" i="19" s="1"/>
  <c r="E76" i="19"/>
  <c r="K76" i="19" s="1"/>
  <c r="E75" i="19"/>
  <c r="K75" i="19" s="1"/>
  <c r="E74" i="19"/>
  <c r="K74" i="19" s="1"/>
  <c r="E73" i="19"/>
  <c r="K73" i="19" s="1"/>
  <c r="E72" i="19"/>
  <c r="K72" i="19" s="1"/>
  <c r="E71" i="19"/>
  <c r="K71" i="19" s="1"/>
  <c r="E70" i="19"/>
  <c r="K70" i="19" s="1"/>
  <c r="E69" i="19"/>
  <c r="K69" i="19" s="1"/>
  <c r="E68" i="19"/>
  <c r="K68" i="19" s="1"/>
  <c r="E67" i="19"/>
  <c r="K67" i="19" s="1"/>
  <c r="E66" i="19"/>
  <c r="K66" i="19" s="1"/>
  <c r="E65" i="19"/>
  <c r="K65" i="19" s="1"/>
  <c r="E64" i="19"/>
  <c r="K64" i="19" s="1"/>
  <c r="E63" i="19"/>
  <c r="K63" i="19" s="1"/>
  <c r="E62" i="19"/>
  <c r="K62" i="19" s="1"/>
  <c r="E61" i="19"/>
  <c r="K61" i="19" s="1"/>
  <c r="E60" i="19"/>
  <c r="K60" i="19" s="1"/>
  <c r="E59" i="19"/>
  <c r="K59" i="19" s="1"/>
  <c r="E58" i="19"/>
  <c r="K58" i="19" s="1"/>
  <c r="E57" i="19"/>
  <c r="K57" i="19" s="1"/>
  <c r="E56" i="19"/>
  <c r="K56" i="19" s="1"/>
  <c r="E55" i="19"/>
  <c r="K55" i="19" s="1"/>
  <c r="E54" i="19"/>
  <c r="K54" i="19" s="1"/>
  <c r="E53" i="19"/>
  <c r="K53" i="19" s="1"/>
  <c r="E52" i="19"/>
  <c r="K52" i="19" s="1"/>
  <c r="E51" i="19"/>
  <c r="K51" i="19" s="1"/>
  <c r="E50" i="19"/>
  <c r="K50" i="19" s="1"/>
  <c r="E49" i="19"/>
  <c r="K49" i="19" s="1"/>
  <c r="E48" i="19"/>
  <c r="K48" i="19" s="1"/>
  <c r="E47" i="19"/>
  <c r="K47" i="19" s="1"/>
  <c r="E46" i="19"/>
  <c r="K46" i="19" s="1"/>
  <c r="E45" i="19"/>
  <c r="K45" i="19" s="1"/>
  <c r="E44" i="19"/>
  <c r="K44" i="19" s="1"/>
  <c r="E43" i="19"/>
  <c r="K43" i="19" s="1"/>
  <c r="E42" i="19"/>
  <c r="K42" i="19" s="1"/>
  <c r="E41" i="19"/>
  <c r="K41" i="19" s="1"/>
  <c r="E40" i="19"/>
  <c r="K40" i="19" s="1"/>
  <c r="E39" i="19"/>
  <c r="K39" i="19" s="1"/>
  <c r="E38" i="19"/>
  <c r="K38" i="19" s="1"/>
  <c r="E37" i="19"/>
  <c r="K37" i="19" s="1"/>
  <c r="E36" i="19"/>
  <c r="K36" i="19" s="1"/>
  <c r="E35" i="19"/>
  <c r="K35" i="19" s="1"/>
  <c r="E34" i="19"/>
  <c r="K34" i="19" s="1"/>
  <c r="E33" i="19"/>
  <c r="K33" i="19" s="1"/>
  <c r="E32" i="19"/>
  <c r="K32" i="19" s="1"/>
  <c r="E31" i="19"/>
  <c r="K31" i="19" s="1"/>
  <c r="E30" i="19"/>
  <c r="K30" i="19" s="1"/>
  <c r="E29" i="19"/>
  <c r="K29" i="19" s="1"/>
  <c r="E28" i="19"/>
  <c r="K28" i="19" s="1"/>
  <c r="E27" i="19"/>
  <c r="K27" i="19" s="1"/>
  <c r="E26" i="19"/>
  <c r="K26" i="19" s="1"/>
  <c r="E25" i="19"/>
  <c r="K25" i="19" s="1"/>
  <c r="E24" i="19"/>
  <c r="K24" i="19" s="1"/>
  <c r="E23" i="19"/>
  <c r="K23" i="19" s="1"/>
  <c r="E22" i="19"/>
  <c r="K22" i="19" s="1"/>
  <c r="E21" i="19"/>
  <c r="K21" i="19" s="1"/>
  <c r="E20" i="19"/>
  <c r="K20" i="19" s="1"/>
  <c r="E19" i="19"/>
  <c r="K19" i="19" s="1"/>
  <c r="E18" i="19"/>
  <c r="K18" i="19" s="1"/>
  <c r="E17" i="19"/>
  <c r="K17" i="19" s="1"/>
  <c r="E16" i="19"/>
  <c r="K16" i="19" s="1"/>
  <c r="E15" i="19"/>
  <c r="K15" i="19" s="1"/>
  <c r="E14" i="19"/>
  <c r="K14" i="19" s="1"/>
  <c r="E13" i="19"/>
  <c r="K13" i="19" s="1"/>
  <c r="E12" i="19"/>
  <c r="K12" i="19" s="1"/>
  <c r="E11" i="19"/>
  <c r="K11" i="19" s="1"/>
  <c r="E10" i="19"/>
  <c r="K10" i="19" s="1"/>
  <c r="E9" i="19"/>
  <c r="K9" i="19" s="1"/>
  <c r="E8" i="19"/>
  <c r="K8" i="19" s="1"/>
  <c r="E7" i="19"/>
  <c r="K7" i="19" s="1"/>
  <c r="E6" i="19"/>
  <c r="K6" i="19" s="1"/>
  <c r="E5" i="19"/>
  <c r="K5" i="19" s="1"/>
  <c r="E4" i="19"/>
  <c r="K4" i="19" s="1"/>
  <c r="E3" i="19"/>
  <c r="K3" i="19" s="1"/>
  <c r="Z10" i="19"/>
  <c r="C99" i="19"/>
  <c r="I99" i="19" s="1"/>
  <c r="C98" i="19"/>
  <c r="I98" i="19" s="1"/>
  <c r="C97" i="19"/>
  <c r="I97" i="19" s="1"/>
  <c r="C96" i="19"/>
  <c r="I96" i="19" s="1"/>
  <c r="C95" i="19"/>
  <c r="I95" i="19" s="1"/>
  <c r="C94" i="19"/>
  <c r="I94" i="19" s="1"/>
  <c r="C93" i="19"/>
  <c r="I93" i="19" s="1"/>
  <c r="C92" i="19"/>
  <c r="I92" i="19" s="1"/>
  <c r="C91" i="19"/>
  <c r="I91" i="19" s="1"/>
  <c r="C90" i="19"/>
  <c r="I90" i="19" s="1"/>
  <c r="C89" i="19"/>
  <c r="I89" i="19" s="1"/>
  <c r="C88" i="19"/>
  <c r="I88" i="19" s="1"/>
  <c r="C87" i="19"/>
  <c r="I87" i="19" s="1"/>
  <c r="C86" i="19"/>
  <c r="I86" i="19" s="1"/>
  <c r="C85" i="19"/>
  <c r="I85" i="19" s="1"/>
  <c r="C84" i="19"/>
  <c r="I84" i="19" s="1"/>
  <c r="C83" i="19"/>
  <c r="I83" i="19" s="1"/>
  <c r="C82" i="19"/>
  <c r="I82" i="19" s="1"/>
  <c r="C81" i="19"/>
  <c r="I81" i="19" s="1"/>
  <c r="C80" i="19"/>
  <c r="I80" i="19" s="1"/>
  <c r="C79" i="19"/>
  <c r="I79" i="19" s="1"/>
  <c r="C78" i="19"/>
  <c r="I78" i="19" s="1"/>
  <c r="C77" i="19"/>
  <c r="I77" i="19" s="1"/>
  <c r="C76" i="19"/>
  <c r="I76" i="19" s="1"/>
  <c r="C75" i="19"/>
  <c r="I75" i="19" s="1"/>
  <c r="C74" i="19"/>
  <c r="I74" i="19" s="1"/>
  <c r="C73" i="19"/>
  <c r="I73" i="19" s="1"/>
  <c r="C72" i="19"/>
  <c r="I72" i="19" s="1"/>
  <c r="C71" i="19"/>
  <c r="I71" i="19" s="1"/>
  <c r="C70" i="19"/>
  <c r="I70" i="19" s="1"/>
  <c r="C69" i="19"/>
  <c r="I69" i="19" s="1"/>
  <c r="C68" i="19"/>
  <c r="I68" i="19" s="1"/>
  <c r="C67" i="19"/>
  <c r="I67" i="19" s="1"/>
  <c r="C66" i="19"/>
  <c r="I66" i="19" s="1"/>
  <c r="C65" i="19"/>
  <c r="I65" i="19" s="1"/>
  <c r="C64" i="19"/>
  <c r="I64" i="19" s="1"/>
  <c r="C63" i="19"/>
  <c r="I63" i="19" s="1"/>
  <c r="C62" i="19"/>
  <c r="I62" i="19" s="1"/>
  <c r="C61" i="19"/>
  <c r="I61" i="19" s="1"/>
  <c r="C60" i="19"/>
  <c r="I60" i="19" s="1"/>
  <c r="C59" i="19"/>
  <c r="I59" i="19" s="1"/>
  <c r="C58" i="19"/>
  <c r="I58" i="19" s="1"/>
  <c r="C57" i="19"/>
  <c r="I57" i="19" s="1"/>
  <c r="C56" i="19"/>
  <c r="I56" i="19" s="1"/>
  <c r="C55" i="19"/>
  <c r="I55" i="19" s="1"/>
  <c r="C54" i="19"/>
  <c r="I54" i="19" s="1"/>
  <c r="C53" i="19"/>
  <c r="I53" i="19" s="1"/>
  <c r="C52" i="19"/>
  <c r="I52" i="19" s="1"/>
  <c r="C51" i="19"/>
  <c r="I51" i="19" s="1"/>
  <c r="C50" i="19"/>
  <c r="I50" i="19" s="1"/>
  <c r="C49" i="19"/>
  <c r="I49" i="19" s="1"/>
  <c r="C48" i="19"/>
  <c r="I48" i="19" s="1"/>
  <c r="C47" i="19"/>
  <c r="I47" i="19" s="1"/>
  <c r="C46" i="19"/>
  <c r="I46" i="19" s="1"/>
  <c r="C45" i="19"/>
  <c r="I45" i="19" s="1"/>
  <c r="C44" i="19"/>
  <c r="I44" i="19" s="1"/>
  <c r="C43" i="19"/>
  <c r="I43" i="19" s="1"/>
  <c r="C42" i="19"/>
  <c r="I42" i="19" s="1"/>
  <c r="C41" i="19"/>
  <c r="I41" i="19" s="1"/>
  <c r="C40" i="19"/>
  <c r="I40" i="19" s="1"/>
  <c r="C39" i="19"/>
  <c r="I39" i="19" s="1"/>
  <c r="C38" i="19"/>
  <c r="I38" i="19" s="1"/>
  <c r="C37" i="19"/>
  <c r="I37" i="19" s="1"/>
  <c r="C36" i="19"/>
  <c r="I36" i="19" s="1"/>
  <c r="C35" i="19"/>
  <c r="I35" i="19" s="1"/>
  <c r="C34" i="19"/>
  <c r="I34" i="19" s="1"/>
  <c r="C33" i="19"/>
  <c r="I33" i="19" s="1"/>
  <c r="C32" i="19"/>
  <c r="I32" i="19" s="1"/>
  <c r="C31" i="19"/>
  <c r="I31" i="19" s="1"/>
  <c r="C30" i="19"/>
  <c r="I30" i="19" s="1"/>
  <c r="C29" i="19"/>
  <c r="I29" i="19" s="1"/>
  <c r="C28" i="19"/>
  <c r="I28" i="19" s="1"/>
  <c r="C27" i="19"/>
  <c r="I27" i="19" s="1"/>
  <c r="C26" i="19"/>
  <c r="I26" i="19" s="1"/>
  <c r="C25" i="19"/>
  <c r="I25" i="19" s="1"/>
  <c r="C24" i="19"/>
  <c r="I24" i="19" s="1"/>
  <c r="C23" i="19"/>
  <c r="I23" i="19" s="1"/>
  <c r="C22" i="19"/>
  <c r="I22" i="19" s="1"/>
  <c r="C21" i="19"/>
  <c r="I21" i="19" s="1"/>
  <c r="C20" i="19"/>
  <c r="I20" i="19" s="1"/>
  <c r="C19" i="19"/>
  <c r="I19" i="19" s="1"/>
  <c r="C18" i="19"/>
  <c r="I18" i="19" s="1"/>
  <c r="C17" i="19"/>
  <c r="I17" i="19" s="1"/>
  <c r="C16" i="19"/>
  <c r="I16" i="19" s="1"/>
  <c r="C15" i="19"/>
  <c r="I15" i="19" s="1"/>
  <c r="C14" i="19"/>
  <c r="I14" i="19" s="1"/>
  <c r="C13" i="19"/>
  <c r="I13" i="19" s="1"/>
  <c r="C12" i="19"/>
  <c r="I12" i="19" s="1"/>
  <c r="C11" i="19"/>
  <c r="I11" i="19" s="1"/>
  <c r="C10" i="19"/>
  <c r="I10" i="19" s="1"/>
  <c r="C9" i="19"/>
  <c r="I9" i="19" s="1"/>
  <c r="C8" i="19"/>
  <c r="I8" i="19" s="1"/>
  <c r="C7" i="19"/>
  <c r="I7" i="19" s="1"/>
  <c r="C6" i="19"/>
  <c r="I6" i="19" s="1"/>
  <c r="C5" i="19"/>
  <c r="I5" i="19" s="1"/>
  <c r="C4" i="19"/>
  <c r="I4" i="19" s="1"/>
  <c r="C3" i="19"/>
  <c r="I3" i="19" s="1"/>
  <c r="C2" i="19"/>
  <c r="I2" i="19" s="1"/>
  <c r="U3" i="19" l="1"/>
  <c r="W5" i="19"/>
  <c r="Y7" i="19"/>
  <c r="U10" i="19"/>
  <c r="Z3" i="19"/>
  <c r="U6" i="19"/>
  <c r="W8" i="19"/>
  <c r="T4" i="19"/>
  <c r="Y10" i="19"/>
  <c r="W9" i="19"/>
  <c r="V8" i="19"/>
  <c r="U7" i="19"/>
  <c r="T6" i="19"/>
  <c r="Z4" i="19"/>
  <c r="Y3" i="19"/>
  <c r="X2" i="19"/>
  <c r="X10" i="19"/>
  <c r="V9" i="19"/>
  <c r="U8" i="19"/>
  <c r="T7" i="19"/>
  <c r="Z5" i="19"/>
  <c r="Y4" i="19"/>
  <c r="X3" i="19"/>
  <c r="W2" i="19"/>
  <c r="E2" i="19"/>
  <c r="W10" i="19"/>
  <c r="U9" i="19"/>
  <c r="T8" i="19"/>
  <c r="Z6" i="19"/>
  <c r="Y5" i="19"/>
  <c r="X4" i="19"/>
  <c r="W3" i="19"/>
  <c r="V2" i="19"/>
  <c r="V10" i="19"/>
  <c r="T9" i="19"/>
  <c r="Z7" i="19"/>
  <c r="Y6" i="19"/>
  <c r="X5" i="19"/>
  <c r="W4" i="19"/>
  <c r="V3" i="19"/>
  <c r="U2" i="19"/>
  <c r="U4" i="19"/>
  <c r="W6" i="19"/>
  <c r="Y8" i="19"/>
  <c r="X8" i="19"/>
  <c r="T2" i="19"/>
  <c r="V4" i="19"/>
  <c r="X6" i="19"/>
  <c r="Z8" i="19"/>
  <c r="V6" i="19"/>
  <c r="Y2" i="19"/>
  <c r="T5" i="19"/>
  <c r="V7" i="19"/>
  <c r="X9" i="19"/>
  <c r="Z2" i="19"/>
  <c r="U5" i="19"/>
  <c r="W7" i="19"/>
  <c r="Y9" i="19"/>
  <c r="T3" i="19"/>
  <c r="V5" i="19"/>
  <c r="X7" i="19"/>
  <c r="Z9" i="19"/>
  <c r="K2" i="19" l="1"/>
  <c r="D11" i="21" s="1"/>
  <c r="T10" i="19"/>
  <c r="Q11" i="8"/>
  <c r="P10" i="8"/>
  <c r="O10" i="8"/>
  <c r="N10" i="8"/>
  <c r="P11" i="8"/>
  <c r="O11" i="8"/>
  <c r="N11" i="8"/>
  <c r="M11" i="8"/>
  <c r="Q12" i="8"/>
  <c r="P12" i="8"/>
  <c r="O12" i="8"/>
  <c r="N12" i="8"/>
  <c r="M12" i="8"/>
  <c r="Q13" i="8"/>
  <c r="P13" i="8"/>
  <c r="O13" i="8"/>
  <c r="N13" i="8"/>
  <c r="M13" i="8"/>
  <c r="Q14" i="8"/>
  <c r="P14" i="8"/>
  <c r="O14" i="8"/>
  <c r="N14" i="8"/>
  <c r="M14" i="8"/>
  <c r="R8" i="8" l="1"/>
  <c r="R11" i="8"/>
  <c r="R9" i="8"/>
  <c r="R12" i="8"/>
  <c r="R10" i="8"/>
  <c r="N8" i="8"/>
  <c r="R13" i="8"/>
  <c r="M9" i="8"/>
  <c r="O8" i="8"/>
  <c r="R14" i="8"/>
  <c r="N9" i="8"/>
  <c r="P8" i="8"/>
  <c r="Q8" i="8"/>
  <c r="P9" i="8"/>
  <c r="M8" i="8" l="1"/>
  <c r="M10" i="8"/>
  <c r="L11" i="8"/>
  <c r="L13" i="8"/>
  <c r="Q9" i="8"/>
  <c r="L8" i="8"/>
  <c r="L12" i="8"/>
  <c r="O9" i="8"/>
  <c r="L9" i="8"/>
  <c r="L14" i="8"/>
  <c r="Q10" i="8"/>
  <c r="L10" i="8"/>
  <c r="N16" i="8"/>
  <c r="M15" i="8"/>
  <c r="R15" i="8"/>
  <c r="Q15" i="8"/>
  <c r="P15" i="8"/>
  <c r="O15" i="8"/>
  <c r="N15" i="8"/>
  <c r="L15" i="8"/>
  <c r="Q16" i="8"/>
  <c r="O16" i="8"/>
  <c r="P16" i="8"/>
  <c r="M16" i="8"/>
  <c r="R1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Gastelum Ramos, Jorge Ivan</author>
  </authors>
  <commentList>
    <comment ref="N5" authorId="0" shapeId="0" xr:uid="{38BBBDA7-5F99-4B64-9EFA-390D15AA77A0}">
      <text>
        <r>
          <rPr>
            <b/>
            <sz val="9"/>
            <color indexed="81"/>
            <rFont val="Tahoma"/>
            <family val="2"/>
          </rPr>
          <t>Se llena automático al seleccionar Frecuencia de Exposición</t>
        </r>
      </text>
    </comment>
    <comment ref="P5" authorId="0" shapeId="0" xr:uid="{525945FB-5DEC-4D30-B2EF-0FDA7D216BF7}">
      <text>
        <r>
          <rPr>
            <b/>
            <sz val="9"/>
            <color indexed="81"/>
            <rFont val="Tahoma"/>
            <family val="2"/>
          </rPr>
          <t>Se llena automático al seleccionar Número de personas</t>
        </r>
      </text>
    </comment>
    <comment ref="R5" authorId="0" shapeId="0" xr:uid="{DBACB4D5-E1D9-4B10-91D6-693CAD9EB157}">
      <text>
        <r>
          <rPr>
            <b/>
            <sz val="9"/>
            <color indexed="81"/>
            <rFont val="Tahoma"/>
            <family val="2"/>
          </rPr>
          <t>Se llena automático al seleccionar Gravedad</t>
        </r>
      </text>
    </comment>
    <comment ref="T5" authorId="0" shapeId="0" xr:uid="{15F67414-25CA-46BC-B2E4-3E674393C5FD}">
      <text>
        <r>
          <rPr>
            <b/>
            <sz val="9"/>
            <color indexed="81"/>
            <rFont val="Tahoma"/>
            <family val="2"/>
          </rPr>
          <t>Se llena automático al seleccionar Probabilidad</t>
        </r>
      </text>
    </comment>
    <comment ref="U5" authorId="0" shapeId="0" xr:uid="{D9596F5E-2F9D-463A-BD8D-35F697E607ED}">
      <text>
        <r>
          <rPr>
            <b/>
            <sz val="9"/>
            <color indexed="81"/>
            <rFont val="Tahoma"/>
            <family val="2"/>
          </rPr>
          <t>Gastelum Ramos, Jorge Ivan:</t>
        </r>
        <r>
          <rPr>
            <sz val="9"/>
            <color indexed="81"/>
            <rFont val="Tahoma"/>
            <family val="2"/>
          </rPr>
          <t xml:space="preserve">
</t>
        </r>
      </text>
    </comment>
    <comment ref="V5" authorId="0" shapeId="0" xr:uid="{433354D7-3B28-4ADC-9023-753F3E4FE413}">
      <text>
        <r>
          <rPr>
            <b/>
            <sz val="9"/>
            <color indexed="81"/>
            <rFont val="Tahoma"/>
            <family val="2"/>
          </rPr>
          <t>Se llena automático</t>
        </r>
      </text>
    </comment>
    <comment ref="W5" authorId="0" shapeId="0" xr:uid="{1AF69E08-2F27-4D73-A5DD-10C275511337}">
      <text>
        <r>
          <rPr>
            <b/>
            <sz val="9"/>
            <color indexed="81"/>
            <rFont val="Tahoma"/>
            <family val="2"/>
          </rPr>
          <t>Se llena automático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<sst xmlns="http://schemas.openxmlformats.org/spreadsheetml/2006/main" count="975" uniqueCount="497">
  <si>
    <r>
      <t>Realizado por: _________</t>
    </r>
    <r>
      <rPr>
        <u/>
        <sz val="16"/>
        <color theme="1"/>
        <rFont val="Calibri"/>
        <family val="2"/>
        <scheme val="minor"/>
      </rPr>
      <t>__</t>
    </r>
    <r>
      <rPr>
        <sz val="16"/>
        <color theme="1"/>
        <rFont val="Calibri"/>
        <family val="2"/>
        <scheme val="minor"/>
      </rPr>
      <t>______________  Validado por:___________________ Fecha: ____</t>
    </r>
    <r>
      <rPr>
        <u/>
        <sz val="16"/>
        <color theme="1"/>
        <rFont val="Calibri"/>
        <family val="2"/>
        <scheme val="minor"/>
      </rPr>
      <t>__</t>
    </r>
    <r>
      <rPr>
        <sz val="16"/>
        <color theme="1"/>
        <rFont val="Calibri"/>
        <family val="2"/>
        <scheme val="minor"/>
      </rPr>
      <t>___</t>
    </r>
  </si>
  <si>
    <t>Puesto de trabajo involucrado: _________________ Línea o equipo:_______________________________________________</t>
  </si>
  <si>
    <t>No.</t>
  </si>
  <si>
    <t>Tipo de tarea</t>
  </si>
  <si>
    <t>¿Que área realiza la tarea?</t>
  </si>
  <si>
    <t>Frecuencia de ejecución</t>
  </si>
  <si>
    <t>Observaciones</t>
  </si>
  <si>
    <t>FORMATO PARA REALIZAR EVALUACIONES DE RIESGOS DE UNA TAREA</t>
  </si>
  <si>
    <t xml:space="preserve">Contramedidas Existentes  </t>
  </si>
  <si>
    <t>Riesgo Actual</t>
  </si>
  <si>
    <t>Plan de acción</t>
  </si>
  <si>
    <t>Contramedidas Adicionales</t>
  </si>
  <si>
    <t>Riesgo disminuido</t>
  </si>
  <si>
    <t>Marco Normativo</t>
  </si>
  <si>
    <t>Planta</t>
  </si>
  <si>
    <t>codigo</t>
  </si>
  <si>
    <t>Fecha</t>
  </si>
  <si>
    <t>Área</t>
  </si>
  <si>
    <t>Fotografía de la tarea</t>
  </si>
  <si>
    <t>Peligros identificados</t>
  </si>
  <si>
    <t>Mecanismo de lesión (Ligar tabla)</t>
  </si>
  <si>
    <t>Descripción del Riesgo (pasos+peligros+mecanismos de lesión)</t>
  </si>
  <si>
    <t>Controles</t>
  </si>
  <si>
    <t>Defensas</t>
  </si>
  <si>
    <t>FE</t>
  </si>
  <si>
    <t>NP</t>
  </si>
  <si>
    <t>G</t>
  </si>
  <si>
    <t>P</t>
  </si>
  <si>
    <t>HRN</t>
  </si>
  <si>
    <t>Nivel de riesgo</t>
  </si>
  <si>
    <t>Plan de acción (¿Qué y el cómo?)</t>
  </si>
  <si>
    <t>Fecha programada</t>
  </si>
  <si>
    <t>Estatus</t>
  </si>
  <si>
    <t>Responsable</t>
  </si>
  <si>
    <t>Fecha cierre</t>
  </si>
  <si>
    <t>Normativa</t>
  </si>
  <si>
    <t>Tabla de índices para calcular HRN</t>
  </si>
  <si>
    <t>P: Probabilidad de Ocurrencia</t>
  </si>
  <si>
    <t>FE: Frecuencia de Exposición</t>
  </si>
  <si>
    <t>Imposible</t>
  </si>
  <si>
    <t>No puede suceder</t>
  </si>
  <si>
    <t>Infrecuente</t>
  </si>
  <si>
    <t>Casi imposible</t>
  </si>
  <si>
    <t>Posible en circunstancias extremas</t>
  </si>
  <si>
    <t>Anual</t>
  </si>
  <si>
    <t>Altamente improbable</t>
  </si>
  <si>
    <t>Difícil que suceda</t>
  </si>
  <si>
    <t>Mensual</t>
  </si>
  <si>
    <t>Improbable</t>
  </si>
  <si>
    <t>Pudiera ocurrir</t>
  </si>
  <si>
    <t>Semanal</t>
  </si>
  <si>
    <t>Posible</t>
  </si>
  <si>
    <r>
      <t xml:space="preserve">Inusual </t>
    </r>
    <r>
      <rPr>
        <b/>
        <sz val="8"/>
        <rFont val="Arial"/>
        <family val="2"/>
      </rPr>
      <t>(han sucedido sustos)</t>
    </r>
  </si>
  <si>
    <t>Diario</t>
  </si>
  <si>
    <t>Alguna probabilidad</t>
  </si>
  <si>
    <r>
      <t>Puede pasar</t>
    </r>
    <r>
      <rPr>
        <b/>
        <sz val="8"/>
        <rFont val="Arial"/>
        <family val="2"/>
      </rPr>
      <t xml:space="preserve"> (sustos recurrentes)</t>
    </r>
  </si>
  <si>
    <t>Cada hora</t>
  </si>
  <si>
    <t>Probable</t>
  </si>
  <si>
    <r>
      <t xml:space="preserve">No sorpresa si ocurre </t>
    </r>
    <r>
      <rPr>
        <b/>
        <sz val="8"/>
        <rFont val="Arial"/>
        <family val="2"/>
      </rPr>
      <t>(ha ocurrido un accidente)</t>
    </r>
  </si>
  <si>
    <t>Constantemente</t>
  </si>
  <si>
    <t>Muy probable</t>
  </si>
  <si>
    <r>
      <t xml:space="preserve">Se espera que suceda </t>
    </r>
    <r>
      <rPr>
        <b/>
        <sz val="8"/>
        <rFont val="Arial"/>
        <family val="2"/>
      </rPr>
      <t>(han ocurrido mas de 1 accidente)</t>
    </r>
  </si>
  <si>
    <t>Certero</t>
  </si>
  <si>
    <t>Sin duda sucederá</t>
  </si>
  <si>
    <t>G: Gravedad del posible daño/pérdida</t>
  </si>
  <si>
    <t>NP:  # de personas en riesgo</t>
  </si>
  <si>
    <t>Rasguño o raspadura</t>
  </si>
  <si>
    <t xml:space="preserve"> 1-2 personas</t>
  </si>
  <si>
    <t>Cortadura o efecto leve a la salud</t>
  </si>
  <si>
    <t xml:space="preserve"> 3-7 personas</t>
  </si>
  <si>
    <t>Fractura de hueso menor (dedos) o enfermedad ocupacional menor temporal</t>
  </si>
  <si>
    <t xml:space="preserve"> 8-15 personas</t>
  </si>
  <si>
    <t>Fractura de hueso mayor (brazo, pierna) o enfermedad ocupacional menor permanente</t>
  </si>
  <si>
    <t>16-50 personas</t>
  </si>
  <si>
    <t>Pérdida de un ojo, un dedo o enfermedad ocupacional seria temporal (LTA)</t>
  </si>
  <si>
    <t>&gt;50 personas</t>
  </si>
  <si>
    <t>Pérdida de los dos ojos, manos, piernas o enfermedad ocupacional seria permanente</t>
  </si>
  <si>
    <t>HRN= P x G x FE x NP</t>
  </si>
  <si>
    <t>Muerte</t>
  </si>
  <si>
    <t xml:space="preserve">Mecanismos de Lesión </t>
  </si>
  <si>
    <t>1.- Golpeado Contra (chocar contra)</t>
  </si>
  <si>
    <t>6.- Caída de Diferente Nivel</t>
  </si>
  <si>
    <t>2.- Golpeado por (golpeado por objeto en movimiento)</t>
  </si>
  <si>
    <t>7.- Caída del mismo nivel</t>
  </si>
  <si>
    <t>3.- Atrapado entre o bajo (aplastados o amputados)</t>
  </si>
  <si>
    <t>8.- Atrapado en (puntos de pellizco)</t>
  </si>
  <si>
    <t>4.- Sobrecarga, Sobrepresión, Sobre flexión, Ergonómico</t>
  </si>
  <si>
    <t>9.- Atrapado en (enganchado con, colgado)</t>
  </si>
  <si>
    <t xml:space="preserve">5.- Contacto con  (electricidad, calor, frio, Radiación, </t>
  </si>
  <si>
    <t>10.- Escapes al ambiente de: Amoniaco, Gas, Sustancias Peligrosas.</t>
  </si>
  <si>
    <t>cáusticos, tóxicos, biológicos, amoniaco, ruido)</t>
  </si>
  <si>
    <t>Mecanismos de lesión</t>
  </si>
  <si>
    <t>Nivel de Riesgo</t>
  </si>
  <si>
    <t>Tiempos de acción</t>
  </si>
  <si>
    <t>0-1</t>
  </si>
  <si>
    <t>Insignificante</t>
  </si>
  <si>
    <t>Aceptable</t>
  </si>
  <si>
    <t>Más de 1 hasta 5</t>
  </si>
  <si>
    <t>Muy Bajo</t>
  </si>
  <si>
    <t>Menor a un año</t>
  </si>
  <si>
    <t>Más de 5 hasta 10</t>
  </si>
  <si>
    <t>Bajo</t>
  </si>
  <si>
    <t>Menor a tres meses</t>
  </si>
  <si>
    <t>Más de 10 hasta 50</t>
  </si>
  <si>
    <t>Medio</t>
  </si>
  <si>
    <t>Menor a un mes</t>
  </si>
  <si>
    <t>Más de 50 hasta 100</t>
  </si>
  <si>
    <t>alto</t>
  </si>
  <si>
    <t>Menor a una semana</t>
  </si>
  <si>
    <t>Más de 100 hasta 500</t>
  </si>
  <si>
    <t>Muy Alto</t>
  </si>
  <si>
    <t>Menor a un día</t>
  </si>
  <si>
    <t>Más de 500 hasta 999</t>
  </si>
  <si>
    <t>Extremo</t>
  </si>
  <si>
    <t>Inmediato</t>
  </si>
  <si>
    <t>Mayor o igual a 1000</t>
  </si>
  <si>
    <t>Inaceptable</t>
  </si>
  <si>
    <t>Parar y detener la actividad</t>
  </si>
  <si>
    <t>Valor</t>
  </si>
  <si>
    <t>Estandar</t>
  </si>
  <si>
    <t>Xalostoc</t>
  </si>
  <si>
    <t>Supremo</t>
  </si>
  <si>
    <t>Alto</t>
  </si>
  <si>
    <t>&lt;=1</t>
  </si>
  <si>
    <t>&lt;=5</t>
  </si>
  <si>
    <t>&lt;=10</t>
  </si>
  <si>
    <t>&lt;=50</t>
  </si>
  <si>
    <t>&lt;=100</t>
  </si>
  <si>
    <t>&lt;=500</t>
  </si>
  <si>
    <t>&lt;=999</t>
  </si>
  <si>
    <t>&gt;=1000</t>
  </si>
  <si>
    <t>Mayor a un año</t>
  </si>
  <si>
    <t>Abierto</t>
  </si>
  <si>
    <t>Cerrado</t>
  </si>
  <si>
    <t>Implementado en Gemba</t>
  </si>
  <si>
    <t xml:space="preserve">Nombre Lider:   </t>
  </si>
  <si>
    <t xml:space="preserve">Puesto de trabajo: </t>
  </si>
  <si>
    <t xml:space="preserve">Fecha de inicio de Elaboración: </t>
  </si>
  <si>
    <t>Descripción</t>
  </si>
  <si>
    <t>Tipos de Tareas</t>
  </si>
  <si>
    <t>Operación Normal</t>
  </si>
  <si>
    <t>Operación Anormal</t>
  </si>
  <si>
    <t>Rutas LILA</t>
  </si>
  <si>
    <t>Cambios de formato / producto</t>
  </si>
  <si>
    <t xml:space="preserve">Mantenimientos </t>
  </si>
  <si>
    <t>Muestreos de Calidad</t>
  </si>
  <si>
    <t>Limpieza, lavado / Desincrustados</t>
  </si>
  <si>
    <t xml:space="preserve">Frecuencia </t>
  </si>
  <si>
    <t xml:space="preserve">Mensual </t>
  </si>
  <si>
    <t>Infrecuentemente</t>
  </si>
  <si>
    <t>Descripción de las tareas que componen el puesto</t>
  </si>
  <si>
    <t>"Prioridad"
Tiempo de acción</t>
  </si>
  <si>
    <t>Atitalaquia</t>
  </si>
  <si>
    <t>Piramide de Contramedidas</t>
  </si>
  <si>
    <t>Pirámide invertida</t>
  </si>
  <si>
    <t>Eliminar</t>
  </si>
  <si>
    <t>Sustituir</t>
  </si>
  <si>
    <t>EPP</t>
  </si>
  <si>
    <t>Control de Ingenieria</t>
  </si>
  <si>
    <t>Control Administrativo</t>
  </si>
  <si>
    <t>Reemplazar  o  reducir la magnitud del riesgo</t>
  </si>
  <si>
    <t>La eliminación es el proceso de eliminar el peligro del lugar de trabajo. Es la
manera más eficaz de controlar un riesgo porque el peligro ya no está presente.
Es la forma preferida de controlar un peligro y debe utilizarse siempre que sea
posible.</t>
  </si>
  <si>
    <t xml:space="preserve">Dispositivos de seguridad, automatizar, poka-yokes (se concentran en la fuente del peligro y no en los trabajadores expuestos al peligro)
</t>
  </si>
  <si>
    <t>Reglas, procedimientos, politicas, instructivos, gestión visual</t>
  </si>
  <si>
    <t>Plan de Trabajo</t>
  </si>
  <si>
    <t>Fecha Cierre</t>
  </si>
  <si>
    <t>Chihuahua</t>
  </si>
  <si>
    <t>Noreste</t>
  </si>
  <si>
    <t>Sabinas</t>
  </si>
  <si>
    <t>Guadalajara</t>
  </si>
  <si>
    <t>Eugenia</t>
  </si>
  <si>
    <t>Linares</t>
  </si>
  <si>
    <t>Tangamanga</t>
  </si>
  <si>
    <t>Molino</t>
  </si>
  <si>
    <t>Frecuencia de Exposición (Actual)</t>
  </si>
  <si>
    <t>Número de Personas (Actual)</t>
  </si>
  <si>
    <t>Gravedad (Actual)</t>
  </si>
  <si>
    <t>Probabilidad (Actual)</t>
  </si>
  <si>
    <t>Valor FEA</t>
  </si>
  <si>
    <t>Valor NPA</t>
  </si>
  <si>
    <t>Valor GA</t>
  </si>
  <si>
    <t>Valor PA</t>
  </si>
  <si>
    <t>HRN (Actual)</t>
  </si>
  <si>
    <t>Controles (A)</t>
  </si>
  <si>
    <t>Defensas (A)</t>
  </si>
  <si>
    <t>"Prioridad"</t>
  </si>
  <si>
    <t>Tiempo de acción</t>
  </si>
  <si>
    <t>Nivel de riesgo (Actual)</t>
  </si>
  <si>
    <t>Controles (N)</t>
  </si>
  <si>
    <t>Defensas (N)</t>
  </si>
  <si>
    <t>Frecuencia de Exposición (Nuevas)</t>
  </si>
  <si>
    <t>Valor FEN</t>
  </si>
  <si>
    <t>Número de Personas (Nuevas)</t>
  </si>
  <si>
    <t>Valor NPN</t>
  </si>
  <si>
    <t>Gravedad (Nuevas)</t>
  </si>
  <si>
    <t>Valor GN</t>
  </si>
  <si>
    <t>Probabilidad (Nuevas)</t>
  </si>
  <si>
    <t>Valor PN</t>
  </si>
  <si>
    <t>HRN (Nuevas)</t>
  </si>
  <si>
    <t>Nivel de riesgo (Nuevas)</t>
  </si>
  <si>
    <t>Row Labels</t>
  </si>
  <si>
    <t>(blank)</t>
  </si>
  <si>
    <t>Grand Total</t>
  </si>
  <si>
    <t>Column Labels</t>
  </si>
  <si>
    <t>Count of Nivel de riesgo (Actual)</t>
  </si>
  <si>
    <t>Count of Estatus</t>
  </si>
  <si>
    <t>Count of Área</t>
  </si>
  <si>
    <t>Count of Peligros identificados</t>
  </si>
  <si>
    <t>Descripación</t>
  </si>
  <si>
    <t>Total</t>
  </si>
  <si>
    <t>MASAJEO</t>
  </si>
  <si>
    <t>RESIDUOS PELIGROSOS</t>
  </si>
  <si>
    <t>Caída al mismo nivel</t>
  </si>
  <si>
    <t>Partes en movimiento</t>
  </si>
  <si>
    <t>Piso resbaloso</t>
  </si>
  <si>
    <t>.</t>
  </si>
  <si>
    <t>Count of Implementado en Gemba</t>
  </si>
  <si>
    <t>SI</t>
  </si>
  <si>
    <t>NO</t>
  </si>
  <si>
    <t>Nombre del puesto</t>
  </si>
  <si>
    <t>FORMATO DE INVENTARIO DE PUESTO DE TRABAJO.</t>
  </si>
  <si>
    <t>Tarea 56</t>
  </si>
  <si>
    <t>Sum of Fecha programada</t>
  </si>
  <si>
    <t>Pizzas</t>
  </si>
  <si>
    <t>Celaya</t>
  </si>
  <si>
    <t>Plantas</t>
  </si>
  <si>
    <t>Pénjamo</t>
  </si>
  <si>
    <t>Saltillo</t>
  </si>
  <si>
    <t>Lagos de Moreno Yogurt</t>
  </si>
  <si>
    <t>Lagos de Moreno Quesos</t>
  </si>
  <si>
    <t>Tarea 52</t>
  </si>
  <si>
    <t>Tarea 7</t>
  </si>
  <si>
    <t>Tarea 60</t>
  </si>
  <si>
    <t>Tarea 9</t>
  </si>
  <si>
    <t>Tarea 64</t>
  </si>
  <si>
    <t>Tarea 11</t>
  </si>
  <si>
    <t>Tarea 68</t>
  </si>
  <si>
    <t>Tarea 8</t>
  </si>
  <si>
    <t>Tarea 76</t>
  </si>
  <si>
    <t>Tarea 6</t>
  </si>
  <si>
    <t>Tarea 84</t>
  </si>
  <si>
    <t>Tarea 10</t>
  </si>
  <si>
    <t>colocar guarda</t>
  </si>
  <si>
    <t>DESCONGELADO</t>
  </si>
  <si>
    <t>SALMUERAS</t>
  </si>
  <si>
    <t>INYECCIÓN</t>
  </si>
  <si>
    <t>FORMULACION</t>
  </si>
  <si>
    <t>EMBUTIDO</t>
  </si>
  <si>
    <t>COCIMIENTO Y ENFRIAMIENTO</t>
  </si>
  <si>
    <t>DESCARGA DE PRODUCTO</t>
  </si>
  <si>
    <t>EMPAQUE</t>
  </si>
  <si>
    <t>REBANADOS</t>
  </si>
  <si>
    <t>LAVADO DE CANASTILLAS</t>
  </si>
  <si>
    <t>LAVADO DE PILAS</t>
  </si>
  <si>
    <t>ALMACEN DE SECOS</t>
  </si>
  <si>
    <t>ALMACEN DE CARNICOS</t>
  </si>
  <si>
    <t>COMEDOR</t>
  </si>
  <si>
    <t>OFICINAS ADMINISTRATIVAS</t>
  </si>
  <si>
    <t>CAPITAL HUMANO</t>
  </si>
  <si>
    <t>SERVICIOS</t>
  </si>
  <si>
    <t>CUARTO DE MAQUINAS</t>
  </si>
  <si>
    <t>PTAR</t>
  </si>
  <si>
    <t>ÁREA DE RESIDUOS NO PELIGROSOS</t>
  </si>
  <si>
    <t>SUBESTACION ELECTRICA</t>
  </si>
  <si>
    <t>DECOMISO</t>
  </si>
  <si>
    <t>ÁREA DE PRODUCTO TERMINADO</t>
  </si>
  <si>
    <t>CEDI</t>
  </si>
  <si>
    <t>CADI</t>
  </si>
  <si>
    <t>COMERCIAL</t>
  </si>
  <si>
    <t>DCV</t>
  </si>
  <si>
    <t>CASETA DE VIGILANCIA</t>
  </si>
  <si>
    <t>SALA DE CAPACITACION</t>
  </si>
  <si>
    <t>SERVICIO MEDICO</t>
  </si>
  <si>
    <t>ALMACEN DE REFACCIONES</t>
  </si>
  <si>
    <t>CAMARAS DE ALMACENAMIENTO CARNICO</t>
  </si>
  <si>
    <t>COCEDORES</t>
  </si>
  <si>
    <t>BAÑOS</t>
  </si>
  <si>
    <t>VESTIDORES</t>
  </si>
  <si>
    <t>Electricidad</t>
  </si>
  <si>
    <t>Amoniaco</t>
  </si>
  <si>
    <t>Filos</t>
  </si>
  <si>
    <t>Superficies calientes</t>
  </si>
  <si>
    <t>Engranes expuestos</t>
  </si>
  <si>
    <t>#N/A</t>
  </si>
  <si>
    <t>Maduros</t>
  </si>
  <si>
    <t xml:space="preserve">Controles Tipicos </t>
  </si>
  <si>
    <t xml:space="preserve">Defensas Tipicas </t>
  </si>
  <si>
    <t>Controles de ingenieria (estándars específicos) y relacionados a condiciones de equipos</t>
  </si>
  <si>
    <t>Controles Administrativos (matriz de habilidades)</t>
  </si>
  <si>
    <t>Guarda con Microswitch de seguridad</t>
  </si>
  <si>
    <t>Capacitacion en Politica de Seguridad</t>
  </si>
  <si>
    <t>Paros de emergencia</t>
  </si>
  <si>
    <t>Guardas Fijas de seguridad</t>
  </si>
  <si>
    <t>Capacitacion en Politica de pisos limpios</t>
  </si>
  <si>
    <t>uso de casco de seguridad dielectrico</t>
  </si>
  <si>
    <t>Guardas de Seguridad autoajustables</t>
  </si>
  <si>
    <t xml:space="preserve">Capacitacion en reglas de oro </t>
  </si>
  <si>
    <t>Uso de calzado de seguridad</t>
  </si>
  <si>
    <t>Cortinas de Luz</t>
  </si>
  <si>
    <t>Capcitacion de Reglas de Seguridad Generales</t>
  </si>
  <si>
    <t>Uso de faja de soporte lumbar</t>
  </si>
  <si>
    <t>Aislante térmicos</t>
  </si>
  <si>
    <t>Capacitacion en procedimientos especificos como:</t>
  </si>
  <si>
    <t>Uso de guante para químico</t>
  </si>
  <si>
    <t xml:space="preserve">Señalización  de riesgos </t>
  </si>
  <si>
    <t xml:space="preserve">LESE I 11 046 Levantamiento seguro de Cargas Pesadas.doco </t>
  </si>
  <si>
    <t>Uso de guante para temperaturas bajas</t>
  </si>
  <si>
    <t>Señalizacion de Tuberias</t>
  </si>
  <si>
    <t>LESE P 11 005 Bloqueo de Energias.doc</t>
  </si>
  <si>
    <t>Uso de guante para temperaturas altas</t>
  </si>
  <si>
    <t>Uso de cutter de sEguridad modelo XXXXXXXX</t>
  </si>
  <si>
    <t>LESE I 11  047  Uso y Manejo del Cutter Opticut.doc</t>
  </si>
  <si>
    <t>Uso de guante anticorte</t>
  </si>
  <si>
    <t>Controles visulaes de los controles del equipo</t>
  </si>
  <si>
    <t>ETC, ETC,</t>
  </si>
  <si>
    <t>Uso de guante anti-impacto</t>
  </si>
  <si>
    <t>Piso o tapete  antiderrapante</t>
  </si>
  <si>
    <t>Uso de mascarilla de protección respiratoria</t>
  </si>
  <si>
    <t>Tapete ergonómico</t>
  </si>
  <si>
    <t>Revisión de Puntos S en cada turno</t>
  </si>
  <si>
    <t>Uso de careta de protección facial</t>
  </si>
  <si>
    <t>Escaleras en buenas condiciones</t>
  </si>
  <si>
    <t>Realizacion de Calrentamiento y/o gimnasia laoboral</t>
  </si>
  <si>
    <t>Uso de careta de soldador</t>
  </si>
  <si>
    <t>Tableros eléctricos cerrados</t>
  </si>
  <si>
    <t>Rotacion de puestos de trabajo</t>
  </si>
  <si>
    <t>Uso de conchas auditivas</t>
  </si>
  <si>
    <t>Cables electricos aislados</t>
  </si>
  <si>
    <t>Permisos de trabajo para la actividad</t>
  </si>
  <si>
    <t>Uso de tapones auditivos</t>
  </si>
  <si>
    <t>Dispositivos de control de presión de aire comprimido</t>
  </si>
  <si>
    <t>Aterrizaje a tierra de equipos</t>
  </si>
  <si>
    <t>Uso de lentes de seguridad</t>
  </si>
  <si>
    <t>Iluminación Focalizada para cierta actividad</t>
  </si>
  <si>
    <t>Contactos GFCI</t>
  </si>
  <si>
    <t>Uso de googles de seguridad</t>
  </si>
  <si>
    <t>Guardas Acusticas</t>
  </si>
  <si>
    <t>Uso de herramienta  con XXXXXX características</t>
  </si>
  <si>
    <t>Uso de guantes para soldador</t>
  </si>
  <si>
    <t xml:space="preserve">Uso de equipo </t>
  </si>
  <si>
    <t>Barandales en plataformas</t>
  </si>
  <si>
    <t>Uso de guantes de carnaza</t>
  </si>
  <si>
    <t xml:space="preserve">Puntos de Anclaje </t>
  </si>
  <si>
    <t>Contenedores adecuados para materiales peligrosos</t>
  </si>
  <si>
    <t>Uso de arnes, linea de vida.</t>
  </si>
  <si>
    <t>Control visiales de capacidad maxima, presion maxima, temperatura maxima, etc</t>
  </si>
  <si>
    <t>Colocacion de puntos de anclaje</t>
  </si>
  <si>
    <t>Controles visuales de niveles maximos de estiba o almacenamiento</t>
  </si>
  <si>
    <t>Delimitacion de areas para aplicar 5´s</t>
  </si>
  <si>
    <t>Uso de uniforme con cintas reflejantes</t>
  </si>
  <si>
    <t>instalacion dispositivos de corte de energia adecuados para aplcar LOTO</t>
  </si>
  <si>
    <t>Barreras, contenciones , delimitaciones</t>
  </si>
  <si>
    <t>Brigadas de emergencia</t>
  </si>
  <si>
    <t>dispositivosque controlan la velocidad, presion, temperatura, etc</t>
  </si>
  <si>
    <t>Brigadas de primeros auxilios</t>
  </si>
  <si>
    <t>Regaderas y lavaojos de emergencia</t>
  </si>
  <si>
    <t>Vigilancia Medica</t>
  </si>
  <si>
    <t>Colocación de material blando en puntos de riesgo de golpear contra.</t>
  </si>
  <si>
    <t>Uso de canilleras</t>
  </si>
  <si>
    <t>Uso de coderas</t>
  </si>
  <si>
    <t>Uso de casco de seguridad con barbiquejo</t>
  </si>
  <si>
    <t>Uso de uniforme de mezclilla para soldador</t>
  </si>
  <si>
    <t>Uso de traje tipo tybek</t>
  </si>
  <si>
    <t>Uso de traje de bombero</t>
  </si>
  <si>
    <t>Uso de traje encapsulado para emergencias químicas</t>
  </si>
  <si>
    <t>Uso de equipo de respiración autónoma</t>
  </si>
  <si>
    <t>Catalogo de peligros y consecuencias</t>
  </si>
  <si>
    <t>Tipo</t>
  </si>
  <si>
    <t xml:space="preserve">Peligros </t>
  </si>
  <si>
    <t>Consecuencias</t>
  </si>
  <si>
    <t>Biológicos</t>
  </si>
  <si>
    <t>Bacterias / Virus</t>
  </si>
  <si>
    <t>Amputación</t>
  </si>
  <si>
    <t>Fatiga muscular</t>
  </si>
  <si>
    <t>Biológico infeccioso</t>
  </si>
  <si>
    <t>Dolor de cabeza</t>
  </si>
  <si>
    <t>Fractura</t>
  </si>
  <si>
    <t>Enfermedades por alimentos y bebidas</t>
  </si>
  <si>
    <t>Conjuntivitis irritativa</t>
  </si>
  <si>
    <t>Herida cortante</t>
  </si>
  <si>
    <t>Higiene (facilidades sanitarias, disposición de desechos, etc..)</t>
  </si>
  <si>
    <t>Deshidratación</t>
  </si>
  <si>
    <t>Herida penetrante</t>
  </si>
  <si>
    <t>Sangre</t>
  </si>
  <si>
    <t xml:space="preserve">Dermatitis/Inflamacion de la piel </t>
  </si>
  <si>
    <t>Disminución de audición</t>
  </si>
  <si>
    <t>Vida salvaje (animales, insectos, plantas, etc.)</t>
  </si>
  <si>
    <t>Desorden de trauma acumulativo</t>
  </si>
  <si>
    <t>Intoxicación</t>
  </si>
  <si>
    <t>Ergonómicos</t>
  </si>
  <si>
    <t>Agotamiento excesivo</t>
  </si>
  <si>
    <t>Diarrea</t>
  </si>
  <si>
    <t>Lesión por cuerpo extraño</t>
  </si>
  <si>
    <t>Asientos inapropiados</t>
  </si>
  <si>
    <t>Dificultad respiratoria</t>
  </si>
  <si>
    <t>Dolor de espalda o cintura</t>
  </si>
  <si>
    <t>Jalar o empujar</t>
  </si>
  <si>
    <t>Disminución de la vista</t>
  </si>
  <si>
    <t>Luxación</t>
  </si>
  <si>
    <t>Levantamiento de cargas pesadas manuales</t>
  </si>
  <si>
    <t>Enfermedades endémicas / epidémicas</t>
  </si>
  <si>
    <t>Aplastamiento o Compresion</t>
  </si>
  <si>
    <t>Materiales de trabajo</t>
  </si>
  <si>
    <t>Otra enfermedad ocupacional</t>
  </si>
  <si>
    <t xml:space="preserve">Mareo </t>
  </si>
  <si>
    <t>Movimientos repetitivos</t>
  </si>
  <si>
    <t>Sangrado de nariz</t>
  </si>
  <si>
    <t>Posición de inadecuada de trabajo</t>
  </si>
  <si>
    <t>Esguince</t>
  </si>
  <si>
    <t>Nauseas</t>
  </si>
  <si>
    <t>Rotación de columna</t>
  </si>
  <si>
    <t>Estrés mental</t>
  </si>
  <si>
    <t>Inflamacion de oido</t>
  </si>
  <si>
    <t>Superficie de trabajo</t>
  </si>
  <si>
    <t>Excoriación de la piel</t>
  </si>
  <si>
    <t>Hormigueo - adormecimiento</t>
  </si>
  <si>
    <t>Transportación durante el trabajo</t>
  </si>
  <si>
    <t>Exposición</t>
  </si>
  <si>
    <t>Paro cardiaco respiratorio</t>
  </si>
  <si>
    <t xml:space="preserve">Uniformes / Ropa de trabajo </t>
  </si>
  <si>
    <t>Inflamacion de la faringe (garganta)</t>
  </si>
  <si>
    <t>Picadura, mordedura de insecto</t>
  </si>
  <si>
    <t>Especiales</t>
  </si>
  <si>
    <t>Falta de iluminación en caso de emergencia.</t>
  </si>
  <si>
    <t>Trauma contuso</t>
  </si>
  <si>
    <t xml:space="preserve">Quemadura </t>
  </si>
  <si>
    <t>Trabajar en espacios confinados o foso</t>
  </si>
  <si>
    <t>Alergia en la piel</t>
  </si>
  <si>
    <t>Irritación nasal</t>
  </si>
  <si>
    <t>Trabajo con suministro externo de aire</t>
  </si>
  <si>
    <t>Vista cansada</t>
  </si>
  <si>
    <t>Síndrome de túnel del carpo</t>
  </si>
  <si>
    <t>Trabajo solo o aislado</t>
  </si>
  <si>
    <t>Vómito</t>
  </si>
  <si>
    <t>Tendinitis</t>
  </si>
  <si>
    <t>Otros</t>
  </si>
  <si>
    <t>Incendio o explosion</t>
  </si>
  <si>
    <t>Derrame</t>
  </si>
  <si>
    <t>Físicos</t>
  </si>
  <si>
    <t>Cargas electrostáticas</t>
  </si>
  <si>
    <t>Contacto con objetos contusos</t>
  </si>
  <si>
    <t>Iluminación</t>
  </si>
  <si>
    <t>Pantalla de visualización de datos PVD's</t>
  </si>
  <si>
    <t>Partes eléctricas vivas</t>
  </si>
  <si>
    <t>Radiaciones ionizantes y no ionizantes</t>
  </si>
  <si>
    <t>Ruido</t>
  </si>
  <si>
    <t>Temperaturas abatidas (frio o calor)</t>
  </si>
  <si>
    <t>Temperaturas en el ambiente de trabajo / Ventilación inadecuada</t>
  </si>
  <si>
    <t>Vibración</t>
  </si>
  <si>
    <t>Fuego</t>
  </si>
  <si>
    <t>Fuentes de combustible (materiales combustibles o inflamables)</t>
  </si>
  <si>
    <t>Fuentes de ignición (calor, eléctricos, etc..)</t>
  </si>
  <si>
    <t>Mecánico</t>
  </si>
  <si>
    <t>Abrasión</t>
  </si>
  <si>
    <t>Atrapamiento</t>
  </si>
  <si>
    <t>Caída de materiales o productos</t>
  </si>
  <si>
    <t>Caídas (trabajo en alturas)</t>
  </si>
  <si>
    <t>Caídas en mismos nivel, resbalón tropezón</t>
  </si>
  <si>
    <t>Cortar, orillas filosas, material punzo cortante</t>
  </si>
  <si>
    <t>Equipo en movimiento / tráfico (vehículos motorizados, elevadores de tijera, partes de equipos, etc..)</t>
  </si>
  <si>
    <t>Fricción</t>
  </si>
  <si>
    <t>Golpearse con o contra objetos</t>
  </si>
  <si>
    <t>Movimientos inesperados</t>
  </si>
  <si>
    <t>Partes bajo tensión</t>
  </si>
  <si>
    <t>Partes de  la maquinaria con guardas insuficientes</t>
  </si>
  <si>
    <t>Partes que se conviertan en proyectiles</t>
  </si>
  <si>
    <t>Proyección de líquidos</t>
  </si>
  <si>
    <t>Químicos</t>
  </si>
  <si>
    <t>Corrosivo</t>
  </si>
  <si>
    <t>Derrames de material peligroso</t>
  </si>
  <si>
    <t>Explosiones o incendios</t>
  </si>
  <si>
    <t>Polvos suspendidos</t>
  </si>
  <si>
    <t>Reactivo</t>
  </si>
  <si>
    <t>Sensibilizantes (reacciones cutánea o respiratorias)</t>
  </si>
  <si>
    <t>Tóxico</t>
  </si>
  <si>
    <t>1.-Capacitacion en Politica de Seguridad
2.-Capcitacion de Reglas de Seguridad Generales
3.-Realizacion de Calentamiento y/o gimnasia laoboral
4.-Capacitación en procedimiento IT-P-QM-11 Producción navideño 3 chiles</t>
  </si>
  <si>
    <t>1.-Uso de calzado de seguridad
2.-Uso de guante para químico
3.-Uso de mascarilla de protección respiratoria
4.-Uso de googles de seguridad
5.-Uso de mandil</t>
  </si>
  <si>
    <t>Al estar pesando y manipulando, polvos de concentrado de chile, existe el riesgo de irritación en los ojos, naris o con la piel.</t>
  </si>
  <si>
    <t xml:space="preserve">1.-Manipulación de insumos
</t>
  </si>
  <si>
    <t xml:space="preserve">1.-Manipulación de isnumos
2.-Operación de prensa
3.-Manejo manual de cargas.
</t>
  </si>
  <si>
    <t>MADUROS-IT-P-QM-11-02</t>
  </si>
  <si>
    <t xml:space="preserve"> MADUROS-IT-P-QM-11-01</t>
  </si>
  <si>
    <t>MADUROS-IT-P-QM-11-03</t>
  </si>
  <si>
    <t>MADUROS-IT-P-QM-11-04</t>
  </si>
  <si>
    <t xml:space="preserve">Materia prima </t>
  </si>
  <si>
    <t>Riesgo pormanejo manual de cargas, Riesgo al manipular moldes con queso,al introducir y retirar moldes de presna.</t>
  </si>
  <si>
    <t>1.-Capacitacion en Politica de Seguridad
2.-Capcitacion de Reglas de Seguridad Generales
3.-Realizacion de Calentamiento y/o gimnasia laoboral
4.-Capacitación en procedimiento IT-P-QM-11 Producción navideño 3 chiles.
5.-Señalización  de riesgos 
6.-Señalizacion de Tuberias
7.-Controles visulaes de los controles del equipo
8.-Piso o tapete  antiderrapante
9.-Dispositivos de control de presión de aire comprimido
10.-instalacion dispositivos de corte de energia adecuados para aplcar LOTO</t>
  </si>
  <si>
    <t>Riesgo pormanejo manual de cargas, Riesgo al de resbalon al manipular el molde.</t>
  </si>
  <si>
    <t xml:space="preserve">1.-Manipulación de isnumos
2.-Operación de prensa
3.-Manejo manual de cargas.
4.- Manejo de quimicos.
</t>
  </si>
  <si>
    <t>Al momento de realizar limpieza, estisten riesgos por manipulación de quimico, caidas a mismo nivel</t>
  </si>
  <si>
    <t xml:space="preserve">Uso de bota de PVC sanitaria
</t>
  </si>
  <si>
    <t>Paros de emergencia
Uso de guante para químico
Uso de bota de PVC sanitaria
Brigadas de emergencia
Vigilancia Medica</t>
  </si>
  <si>
    <t>Entrenamiento de uso de equipos específicos como: patines, manipulador de tambos, portabobinas, etc, etc.</t>
  </si>
  <si>
    <t xml:space="preserve">1.-Uso de faja de soporte lumbar
2.-Uso de bota de PVC sanitaria
3.-Brigadas de emergencia
4.-Vigilancia Medica
5.-Brigadas de primeros auxilios
</t>
  </si>
  <si>
    <t>8.-Barreras, contenciones , delimitaciones</t>
  </si>
  <si>
    <t>1.-Uso de equipo 
2.-Capacitacion en Politica de Seguridad
3.-Capacitacion en Politica de pisos limpios
4.-Capcitacion de Reglas de Seguridad Generales
5.-LESE I 11 046 Levantamiento seguro de Cargas Pesadas.doco
6.-Realizacion de Calrentamiento y/o gimnasia laoboral 
7.-Rotacion de puestos de trabajo8.-Barreras, contenciones , delimitaciones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</si>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</sst>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1"/>
      <color theme="1"/>
      <name val="Calibri"/>
      <family val="2"/>
      <scheme val="minor"/>
    </font>
    <font>
      <b/>
      <sz val="16"/>
      <color theme="1"/>
      <name val="Arial"/>
      <family val="2"/>
    </font>
    <font>
      <sz val="16"/>
      <color theme="1"/>
      <name val="Calibri"/>
      <family val="2"/>
      <scheme val="minor"/>
    </font>
    <font>
      <u/>
      <sz val="16"/>
      <color theme="1"/>
      <name val="Calibri"/>
      <family val="2"/>
      <scheme val="minor"/>
    </font>
    <font>
      <b/>
      <sz val="14"/>
      <name val="Arial"/>
      <family val="2"/>
    </font>
    <font>
      <b/>
      <sz val="18"/>
      <color theme="1"/>
      <name val="Calibri"/>
      <family val="2"/>
      <scheme val="minor"/>
    </font>
    <font>
      <b/>
      <sz val="12"/>
      <name val="Arial"/>
      <family val="2"/>
    </font>
    <font>
      <b/>
      <sz val="16"/>
      <name val="Arial"/>
      <family val="2"/>
    </font>
    <font>
      <b/>
      <sz val="18"/>
      <name val="Arial"/>
      <family val="2"/>
    </font>
    <font>
      <sz val="10"/>
      <name val="Arial"/>
      <family val="2"/>
    </font>
    <font>
      <sz val="14"/>
      <name val="Arial"/>
      <family val="2"/>
    </font>
    <font>
      <sz val="16"/>
      <name val="Arial"/>
      <family val="2"/>
    </font>
    <font>
      <sz val="8"/>
      <color theme="1"/>
      <name val="Calibri"/>
      <family val="2"/>
      <scheme val="minor"/>
    </font>
    <font>
      <sz val="8"/>
      <color theme="1"/>
      <name val="Arial"/>
      <family val="2"/>
    </font>
    <font>
      <sz val="14"/>
      <color theme="1"/>
      <name val="Arial"/>
      <family val="2"/>
    </font>
    <font>
      <sz val="9"/>
      <color theme="1"/>
      <name val="Arial"/>
      <family val="2"/>
    </font>
    <font>
      <sz val="11"/>
      <color theme="1"/>
      <name val="Arial"/>
      <family val="2"/>
    </font>
    <font>
      <sz val="12"/>
      <color theme="1"/>
      <name val="Calibri"/>
      <family val="2"/>
      <scheme val="minor"/>
    </font>
    <font>
      <sz val="12"/>
      <color theme="1"/>
      <name val="Arial"/>
      <family val="2"/>
    </font>
    <font>
      <sz val="18"/>
      <color theme="1"/>
      <name val="Arial"/>
      <family val="2"/>
    </font>
    <font>
      <sz val="17"/>
      <color theme="1"/>
      <name val="Arial"/>
      <family val="2"/>
    </font>
    <font>
      <b/>
      <sz val="11"/>
      <name val="Arial"/>
      <family val="2"/>
    </font>
    <font>
      <b/>
      <sz val="8"/>
      <name val="Arial"/>
      <family val="2"/>
    </font>
    <font>
      <sz val="8"/>
      <name val="Arial"/>
      <family val="2"/>
    </font>
    <font>
      <b/>
      <sz val="12"/>
      <color theme="1"/>
      <name val="Calibri"/>
      <family val="2"/>
      <scheme val="minor"/>
    </font>
    <font>
      <sz val="9"/>
      <color theme="1"/>
      <name val="Calibri"/>
      <family val="2"/>
    </font>
    <font>
      <sz val="8"/>
      <name val="Calibri"/>
      <family val="2"/>
      <scheme val="minor"/>
    </font>
    <font>
      <sz val="11"/>
      <color theme="0"/>
      <name val="Calibri"/>
      <family val="2"/>
      <scheme val="minor"/>
    </font>
    <font>
      <b/>
      <sz val="8"/>
      <color theme="0"/>
      <name val="Arial"/>
      <family val="2"/>
    </font>
    <font>
      <b/>
      <sz val="12"/>
      <color theme="1"/>
      <name val="72 Condensed"/>
      <family val="2"/>
    </font>
    <font>
      <b/>
      <sz val="12"/>
      <color theme="0"/>
      <name val="72 Condensed"/>
      <family val="2"/>
    </font>
    <font>
      <sz val="11"/>
      <color rgb="FFFF0000"/>
      <name val="Calibri"/>
      <family val="2"/>
      <scheme val="minor"/>
    </font>
    <font>
      <b/>
      <sz val="9"/>
      <color indexed="81"/>
      <name val="Tahoma"/>
      <family val="2"/>
    </font>
    <font>
      <sz val="9"/>
      <color indexed="81"/>
      <name val="Tahoma"/>
      <family val="2"/>
    </font>
    <font>
      <b/>
      <sz val="11"/>
      <color theme="1"/>
      <name val="Calibri"/>
      <family val="2"/>
      <scheme val="minor"/>
    </font>
    <font>
      <sz val="14"/>
      <color theme="1"/>
      <name val="Calibri"/>
      <family val="2"/>
      <scheme val="minor"/>
    </font>
    <font>
      <b/>
      <sz val="14"/>
      <color theme="1"/>
      <name val="Calibri"/>
      <family val="2"/>
      <scheme val="minor"/>
    </font>
    <font>
      <b/>
      <sz val="11"/>
      <color theme="0"/>
      <name val="Tahoma"/>
      <family val="2"/>
    </font>
    <font>
      <b/>
      <sz val="11"/>
      <name val="Tahoma"/>
      <family val="2"/>
    </font>
    <font>
      <sz val="11"/>
      <name val="Tahoma"/>
      <family val="2"/>
    </font>
    <font>
      <b/>
      <sz val="12"/>
      <color theme="0"/>
      <name val="Tahoma"/>
      <family val="2"/>
    </font>
    <font>
      <sz val="10"/>
      <color theme="1"/>
      <name val="Calibri"/>
      <family val="2"/>
      <scheme val="minor"/>
    </font>
  </fonts>
  <fills count="29">
    <fill>
      <patternFill patternType="none"/>
    </fill>
    <fill>
      <patternFill patternType="gray125"/>
    </fill>
    <fill>
      <patternFill patternType="solid">
        <fgColor theme="0" tint="-0.14999847407452621"/>
        <bgColor indexed="64"/>
      </patternFill>
    </fill>
    <fill>
      <patternFill patternType="solid">
        <fgColor indexed="22"/>
        <bgColor indexed="64"/>
      </patternFill>
    </fill>
    <fill>
      <patternFill patternType="gray125">
        <fgColor indexed="8"/>
        <bgColor indexed="22"/>
      </patternFill>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6" tint="-0.249977111117893"/>
        <bgColor theme="6" tint="-0.249977111117893"/>
      </patternFill>
    </fill>
    <fill>
      <patternFill patternType="solid">
        <fgColor rgb="FFFFFF99"/>
        <bgColor indexed="64"/>
      </patternFill>
    </fill>
    <fill>
      <patternFill patternType="solid">
        <fgColor rgb="FFFF0000"/>
        <bgColor indexed="64"/>
      </patternFill>
    </fill>
    <fill>
      <patternFill patternType="solid">
        <fgColor rgb="FFC00000"/>
        <bgColor indexed="64"/>
      </patternFill>
    </fill>
    <fill>
      <patternFill patternType="solid">
        <fgColor rgb="FF009900"/>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7"/>
        <bgColor indexed="64"/>
      </patternFill>
    </fill>
    <fill>
      <patternFill patternType="solid">
        <fgColor rgb="FFFFC000"/>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43"/>
        <bgColor indexed="64"/>
      </patternFill>
    </fill>
    <fill>
      <patternFill patternType="solid">
        <fgColor indexed="46"/>
        <bgColor indexed="64"/>
      </patternFill>
    </fill>
    <fill>
      <patternFill patternType="solid">
        <fgColor indexed="41"/>
        <bgColor indexed="64"/>
      </patternFill>
    </fill>
    <fill>
      <patternFill patternType="solid">
        <fgColor indexed="45"/>
        <bgColor indexed="64"/>
      </patternFill>
    </fill>
    <fill>
      <patternFill patternType="solid">
        <fgColor rgb="FF00B050"/>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s>
  <borders count="47">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s>
  <cellStyleXfs count="4">
    <xf numFmtId="0" fontId="0" fillId="0" borderId="0"/>
    <xf numFmtId="0" fontId="9" fillId="0" borderId="0"/>
    <xf numFmtId="0" fontId="9" fillId="0" borderId="0"/>
    <xf numFmtId="0" fontId="9" fillId="0" borderId="0"/>
  </cellStyleXfs>
  <cellXfs count="250">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0" fillId="0" borderId="2" xfId="0"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0" fillId="0" borderId="2" xfId="0" applyBorder="1"/>
    <xf numFmtId="0" fontId="0" fillId="0" borderId="4" xfId="0" applyBorder="1" applyAlignment="1">
      <alignment horizontal="center" vertical="center"/>
    </xf>
    <xf numFmtId="0" fontId="2" fillId="0" borderId="2" xfId="0" applyFont="1" applyBorder="1" applyAlignment="1">
      <alignment horizontal="center" vertical="center" wrapText="1"/>
    </xf>
    <xf numFmtId="0" fontId="0" fillId="0" borderId="4" xfId="0" applyBorder="1"/>
    <xf numFmtId="0" fontId="0" fillId="0" borderId="4" xfId="0" applyBorder="1" applyAlignment="1">
      <alignment vertical="center"/>
    </xf>
    <xf numFmtId="0" fontId="0" fillId="0" borderId="4" xfId="0" applyBorder="1" applyAlignment="1">
      <alignment horizontal="center"/>
    </xf>
    <xf numFmtId="0" fontId="5" fillId="0" borderId="1" xfId="0" applyFont="1" applyBorder="1" applyAlignment="1">
      <alignment horizontal="center"/>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12" fillId="0" borderId="0" xfId="0" applyFont="1" applyAlignment="1">
      <alignment vertical="center" wrapText="1"/>
    </xf>
    <xf numFmtId="0" fontId="0" fillId="0" borderId="0" xfId="0" applyAlignment="1">
      <alignment horizontal="center" vertical="center"/>
    </xf>
    <xf numFmtId="0" fontId="12" fillId="0" borderId="0" xfId="0" applyFont="1" applyAlignment="1">
      <alignment horizontal="left" vertical="center" wrapText="1"/>
    </xf>
    <xf numFmtId="14" fontId="13" fillId="0" borderId="4" xfId="0" applyNumberFormat="1" applyFont="1" applyBorder="1" applyAlignment="1">
      <alignment vertical="center" wrapText="1"/>
    </xf>
    <xf numFmtId="0" fontId="17" fillId="0" borderId="4" xfId="0" applyFont="1" applyBorder="1" applyAlignment="1">
      <alignment vertical="center" wrapText="1"/>
    </xf>
    <xf numFmtId="0" fontId="18" fillId="0" borderId="4" xfId="0" applyFont="1" applyBorder="1" applyAlignment="1">
      <alignment vertical="center" wrapText="1"/>
    </xf>
    <xf numFmtId="0" fontId="18" fillId="0" borderId="4" xfId="0" applyFont="1" applyBorder="1" applyAlignment="1">
      <alignment horizontal="left" vertical="center" wrapText="1"/>
    </xf>
    <xf numFmtId="0" fontId="14" fillId="0" borderId="4" xfId="0" applyFont="1" applyBorder="1" applyAlignment="1">
      <alignment horizontal="left" vertical="center" wrapText="1"/>
    </xf>
    <xf numFmtId="0" fontId="15"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13" fillId="0" borderId="4" xfId="0" applyFont="1" applyBorder="1" applyAlignment="1">
      <alignment horizontal="left" vertical="center" wrapText="1"/>
    </xf>
    <xf numFmtId="0" fontId="13" fillId="0" borderId="4" xfId="0" applyFont="1" applyBorder="1" applyAlignment="1">
      <alignment horizontal="center" vertical="center" wrapText="1"/>
    </xf>
    <xf numFmtId="14" fontId="13" fillId="0" borderId="4" xfId="0" applyNumberFormat="1" applyFont="1" applyBorder="1" applyAlignment="1">
      <alignment horizontal="left" vertical="center" wrapText="1"/>
    </xf>
    <xf numFmtId="0" fontId="19" fillId="0" borderId="4" xfId="0" applyFont="1" applyBorder="1" applyAlignment="1">
      <alignment horizontal="left" vertical="center" wrapText="1"/>
    </xf>
    <xf numFmtId="0" fontId="14" fillId="0" borderId="4" xfId="0" applyFont="1" applyBorder="1" applyAlignment="1">
      <alignment horizontal="center" vertical="center" wrapText="1"/>
    </xf>
    <xf numFmtId="164" fontId="14" fillId="0" borderId="4" xfId="0" applyNumberFormat="1" applyFont="1" applyBorder="1" applyAlignment="1">
      <alignment horizontal="left" vertical="center" wrapText="1"/>
    </xf>
    <xf numFmtId="0" fontId="20" fillId="0" borderId="4" xfId="0" applyFont="1" applyBorder="1" applyAlignment="1">
      <alignment horizontal="left" vertical="center" wrapText="1"/>
    </xf>
    <xf numFmtId="0" fontId="9" fillId="0" borderId="0" xfId="2"/>
    <xf numFmtId="0" fontId="22" fillId="0" borderId="13" xfId="2" applyFont="1" applyBorder="1" applyAlignment="1">
      <alignment horizontal="center" wrapText="1"/>
    </xf>
    <xf numFmtId="0" fontId="23" fillId="0" borderId="3" xfId="2" applyFont="1" applyBorder="1" applyAlignment="1">
      <alignment vertical="center" wrapText="1"/>
    </xf>
    <xf numFmtId="0" fontId="23" fillId="0" borderId="14" xfId="2" applyFont="1" applyBorder="1" applyAlignment="1">
      <alignment vertical="center" wrapText="1"/>
    </xf>
    <xf numFmtId="0" fontId="22" fillId="0" borderId="13" xfId="2" applyFont="1" applyBorder="1" applyAlignment="1">
      <alignment horizontal="center" vertical="center" wrapText="1"/>
    </xf>
    <xf numFmtId="0" fontId="23" fillId="0" borderId="0" xfId="2" applyFont="1"/>
    <xf numFmtId="0" fontId="22" fillId="0" borderId="15" xfId="2" applyFont="1" applyBorder="1" applyAlignment="1">
      <alignment horizontal="center" wrapText="1"/>
    </xf>
    <xf numFmtId="0" fontId="23" fillId="0" borderId="4" xfId="2" applyFont="1" applyBorder="1" applyAlignment="1">
      <alignment vertical="center" wrapText="1"/>
    </xf>
    <xf numFmtId="0" fontId="23" fillId="0" borderId="16" xfId="2" applyFont="1" applyBorder="1" applyAlignment="1">
      <alignment vertical="center" wrapText="1"/>
    </xf>
    <xf numFmtId="0" fontId="22" fillId="0" borderId="15" xfId="2" applyFont="1" applyBorder="1" applyAlignment="1">
      <alignment horizontal="center" vertical="center" wrapText="1"/>
    </xf>
    <xf numFmtId="0" fontId="22" fillId="0" borderId="17" xfId="2" applyFont="1" applyBorder="1" applyAlignment="1">
      <alignment horizontal="center" vertical="center" wrapText="1"/>
    </xf>
    <xf numFmtId="0" fontId="23" fillId="0" borderId="18" xfId="2" applyFont="1" applyBorder="1" applyAlignment="1">
      <alignment vertical="center" wrapText="1"/>
    </xf>
    <xf numFmtId="0" fontId="4" fillId="0" borderId="0" xfId="2" applyFont="1" applyAlignment="1">
      <alignment vertical="center" wrapText="1"/>
    </xf>
    <xf numFmtId="0" fontId="10" fillId="0" borderId="0" xfId="2" applyFont="1" applyAlignment="1">
      <alignment vertical="center" wrapText="1"/>
    </xf>
    <xf numFmtId="0" fontId="22" fillId="0" borderId="17" xfId="2" applyFont="1" applyBorder="1" applyAlignment="1">
      <alignment horizontal="center" wrapText="1"/>
    </xf>
    <xf numFmtId="0" fontId="23" fillId="0" borderId="19" xfId="2" applyFont="1" applyBorder="1" applyAlignment="1">
      <alignment vertical="center" wrapText="1"/>
    </xf>
    <xf numFmtId="0" fontId="10" fillId="0" borderId="0" xfId="2" applyFont="1"/>
    <xf numFmtId="0" fontId="6" fillId="4" borderId="6" xfId="2" applyFont="1" applyFill="1" applyBorder="1" applyAlignment="1">
      <alignment horizontal="center" vertical="center" wrapText="1"/>
    </xf>
    <xf numFmtId="0" fontId="6" fillId="4" borderId="7" xfId="2" applyFont="1" applyFill="1" applyBorder="1" applyAlignment="1">
      <alignment horizontal="center" vertical="center" wrapText="1"/>
    </xf>
    <xf numFmtId="16" fontId="23" fillId="0" borderId="16" xfId="2" applyNumberFormat="1" applyFont="1" applyBorder="1" applyAlignment="1">
      <alignment horizontal="left" vertical="center" wrapText="1"/>
    </xf>
    <xf numFmtId="0" fontId="23" fillId="0" borderId="16" xfId="2" applyFont="1" applyBorder="1" applyAlignment="1">
      <alignment horizontal="left" vertical="center" wrapText="1"/>
    </xf>
    <xf numFmtId="17" fontId="23" fillId="0" borderId="16" xfId="2" applyNumberFormat="1" applyFont="1" applyBorder="1" applyAlignment="1">
      <alignment horizontal="left" vertical="center" wrapText="1"/>
    </xf>
    <xf numFmtId="0" fontId="23" fillId="0" borderId="18" xfId="2" applyFont="1" applyBorder="1" applyAlignment="1">
      <alignment horizontal="left" vertical="center" wrapText="1"/>
    </xf>
    <xf numFmtId="0" fontId="10" fillId="0" borderId="0" xfId="2" applyFont="1" applyAlignment="1">
      <alignment horizontal="center" vertical="top" wrapText="1"/>
    </xf>
    <xf numFmtId="0" fontId="10" fillId="0" borderId="0" xfId="2" applyFont="1" applyAlignment="1">
      <alignment vertical="top" wrapText="1"/>
    </xf>
    <xf numFmtId="0" fontId="21" fillId="4" borderId="1" xfId="2" applyFont="1" applyFill="1" applyBorder="1" applyAlignment="1">
      <alignment horizontal="center" vertical="center" wrapText="1"/>
    </xf>
    <xf numFmtId="0" fontId="23" fillId="0" borderId="0" xfId="2" applyFont="1" applyAlignment="1">
      <alignment vertical="center" wrapText="1"/>
    </xf>
    <xf numFmtId="0" fontId="6" fillId="4" borderId="1" xfId="2" applyFont="1" applyFill="1" applyBorder="1" applyAlignment="1">
      <alignment horizontal="center" vertical="center" wrapText="1"/>
    </xf>
    <xf numFmtId="0" fontId="23" fillId="0" borderId="33" xfId="2" applyFont="1" applyBorder="1" applyAlignment="1">
      <alignment vertical="center" wrapText="1"/>
    </xf>
    <xf numFmtId="0" fontId="0" fillId="0" borderId="0" xfId="0" applyAlignment="1">
      <alignment horizontal="center"/>
    </xf>
    <xf numFmtId="0" fontId="22" fillId="0" borderId="36" xfId="2" applyFont="1" applyBorder="1" applyAlignment="1">
      <alignment horizontal="center" wrapText="1"/>
    </xf>
    <xf numFmtId="0" fontId="23" fillId="0" borderId="14" xfId="2" applyFont="1" applyBorder="1" applyAlignment="1">
      <alignment horizontal="center" vertical="center" wrapText="1"/>
    </xf>
    <xf numFmtId="0" fontId="23" fillId="0" borderId="37" xfId="2" applyFont="1" applyBorder="1" applyAlignment="1">
      <alignment vertical="center" wrapText="1"/>
    </xf>
    <xf numFmtId="0" fontId="23" fillId="0" borderId="38" xfId="2" applyFont="1" applyBorder="1" applyAlignment="1">
      <alignment vertical="center" wrapText="1"/>
    </xf>
    <xf numFmtId="0" fontId="22" fillId="0" borderId="39" xfId="2" applyFont="1" applyBorder="1" applyAlignment="1">
      <alignment horizontal="center" wrapText="1"/>
    </xf>
    <xf numFmtId="0" fontId="23" fillId="0" borderId="16" xfId="2" applyFont="1" applyBorder="1" applyAlignment="1">
      <alignment horizontal="center" vertical="center" wrapText="1"/>
    </xf>
    <xf numFmtId="0" fontId="23" fillId="0" borderId="34" xfId="2" applyFont="1" applyBorder="1" applyAlignment="1">
      <alignment vertical="center" wrapText="1"/>
    </xf>
    <xf numFmtId="0" fontId="23" fillId="0" borderId="35" xfId="2" applyFont="1" applyBorder="1" applyAlignment="1">
      <alignment vertical="center" wrapText="1"/>
    </xf>
    <xf numFmtId="0" fontId="22" fillId="0" borderId="40" xfId="2" applyFont="1" applyBorder="1" applyAlignment="1">
      <alignment horizontal="center" wrapText="1"/>
    </xf>
    <xf numFmtId="0" fontId="23" fillId="0" borderId="18" xfId="2" applyFont="1" applyBorder="1" applyAlignment="1">
      <alignment horizontal="center" vertical="center" wrapText="1"/>
    </xf>
    <xf numFmtId="0" fontId="23" fillId="0" borderId="41" xfId="2" applyFont="1" applyBorder="1" applyAlignment="1">
      <alignment vertical="center" wrapText="1"/>
    </xf>
    <xf numFmtId="0" fontId="21" fillId="0" borderId="33" xfId="2" applyFont="1" applyBorder="1" applyAlignment="1">
      <alignment horizontal="center" vertical="center" wrapText="1"/>
    </xf>
    <xf numFmtId="0" fontId="6" fillId="0" borderId="31" xfId="2" applyFont="1" applyBorder="1" applyAlignment="1">
      <alignment horizontal="center" vertical="center" wrapText="1"/>
    </xf>
    <xf numFmtId="0" fontId="6" fillId="0" borderId="22" xfId="2" applyFont="1" applyBorder="1" applyAlignment="1">
      <alignment horizontal="center" vertical="center" wrapText="1"/>
    </xf>
    <xf numFmtId="0" fontId="6" fillId="0" borderId="32" xfId="2" applyFont="1" applyBorder="1" applyAlignment="1">
      <alignment horizontal="center" vertical="center" wrapText="1"/>
    </xf>
    <xf numFmtId="0" fontId="6" fillId="0" borderId="31" xfId="2" applyFont="1" applyBorder="1" applyAlignment="1">
      <alignment horizontal="center" wrapText="1"/>
    </xf>
    <xf numFmtId="0" fontId="6" fillId="0" borderId="22" xfId="2" applyFont="1" applyBorder="1" applyAlignment="1">
      <alignment horizontal="center" wrapText="1"/>
    </xf>
    <xf numFmtId="0" fontId="6" fillId="0" borderId="32" xfId="2" applyFont="1" applyBorder="1" applyAlignment="1">
      <alignment horizontal="center" wrapText="1"/>
    </xf>
    <xf numFmtId="0" fontId="18" fillId="0" borderId="2" xfId="0" applyFont="1" applyBorder="1" applyAlignment="1">
      <alignment horizontal="center" vertical="center" wrapText="1"/>
    </xf>
    <xf numFmtId="0" fontId="18" fillId="0" borderId="2" xfId="0" applyFont="1" applyBorder="1" applyAlignment="1">
      <alignment horizontal="left" vertical="center" wrapText="1"/>
    </xf>
    <xf numFmtId="0" fontId="21" fillId="4" borderId="6" xfId="2" applyFont="1" applyFill="1" applyBorder="1" applyAlignment="1">
      <alignment vertical="center" wrapText="1"/>
    </xf>
    <xf numFmtId="0" fontId="21" fillId="4" borderId="6" xfId="2" applyFont="1" applyFill="1" applyBorder="1" applyAlignment="1">
      <alignment vertical="center"/>
    </xf>
    <xf numFmtId="0" fontId="21" fillId="4" borderId="31" xfId="2" applyFont="1" applyFill="1" applyBorder="1" applyAlignment="1">
      <alignment vertical="center" wrapText="1"/>
    </xf>
    <xf numFmtId="0" fontId="21" fillId="0" borderId="31" xfId="2" applyFont="1" applyBorder="1" applyAlignment="1">
      <alignment vertical="center" wrapText="1"/>
    </xf>
    <xf numFmtId="0" fontId="21" fillId="0" borderId="22" xfId="2" applyFont="1" applyBorder="1" applyAlignment="1">
      <alignment vertical="center" wrapText="1"/>
    </xf>
    <xf numFmtId="0" fontId="21" fillId="4" borderId="34" xfId="2" applyFont="1" applyFill="1" applyBorder="1" applyAlignment="1">
      <alignment vertical="center" wrapText="1"/>
    </xf>
    <xf numFmtId="0" fontId="5" fillId="0" borderId="0" xfId="0" applyFont="1" applyAlignment="1">
      <alignment horizontal="left"/>
    </xf>
    <xf numFmtId="0" fontId="8" fillId="0" borderId="7" xfId="0" applyFont="1" applyBorder="1" applyAlignment="1">
      <alignment horizontal="center" vertical="center"/>
    </xf>
    <xf numFmtId="0" fontId="9" fillId="3" borderId="42" xfId="0" applyFont="1" applyFill="1" applyBorder="1" applyAlignment="1">
      <alignment horizontal="center" vertical="center" wrapText="1"/>
    </xf>
    <xf numFmtId="14" fontId="13" fillId="6" borderId="2" xfId="0" applyNumberFormat="1" applyFont="1" applyFill="1" applyBorder="1" applyAlignment="1">
      <alignment horizontal="left" vertical="center" wrapText="1"/>
    </xf>
    <xf numFmtId="0" fontId="0" fillId="0" borderId="6" xfId="0" applyBorder="1" applyAlignment="1">
      <alignment horizontal="center"/>
    </xf>
    <xf numFmtId="0" fontId="0" fillId="0" borderId="7" xfId="0" applyBorder="1" applyAlignment="1">
      <alignment horizontal="center"/>
    </xf>
    <xf numFmtId="0" fontId="0" fillId="0" borderId="22" xfId="0" applyBorder="1" applyAlignment="1">
      <alignment horizontal="center"/>
    </xf>
    <xf numFmtId="0" fontId="6" fillId="4" borderId="8" xfId="2" applyFont="1" applyFill="1" applyBorder="1" applyAlignment="1">
      <alignment wrapText="1"/>
    </xf>
    <xf numFmtId="0" fontId="6" fillId="4" borderId="6" xfId="2" applyFont="1" applyFill="1" applyBorder="1" applyAlignment="1">
      <alignment horizontal="right" wrapText="1"/>
    </xf>
    <xf numFmtId="0" fontId="25" fillId="0" borderId="4" xfId="0" applyFont="1" applyBorder="1" applyAlignment="1">
      <alignment horizontal="center" vertical="center" wrapText="1"/>
    </xf>
    <xf numFmtId="14" fontId="18" fillId="0" borderId="2" xfId="0" applyNumberFormat="1" applyFont="1" applyBorder="1" applyAlignment="1">
      <alignment horizontal="left" vertical="center" wrapText="1"/>
    </xf>
    <xf numFmtId="14" fontId="18" fillId="6" borderId="2" xfId="0" applyNumberFormat="1" applyFont="1" applyFill="1" applyBorder="1" applyAlignment="1">
      <alignment horizontal="left" vertical="center" wrapText="1"/>
    </xf>
    <xf numFmtId="0" fontId="18" fillId="0" borderId="2" xfId="0" applyFont="1" applyBorder="1" applyAlignment="1">
      <alignment vertical="center" wrapText="1"/>
    </xf>
    <xf numFmtId="0" fontId="18" fillId="0" borderId="28" xfId="0" applyFont="1" applyBorder="1" applyAlignment="1">
      <alignment vertical="center" wrapText="1"/>
    </xf>
    <xf numFmtId="0" fontId="18" fillId="0" borderId="30" xfId="0" applyFont="1" applyBorder="1" applyAlignment="1">
      <alignment vertical="center" wrapText="1"/>
    </xf>
    <xf numFmtId="0" fontId="4" fillId="0" borderId="0" xfId="0" applyFont="1"/>
    <xf numFmtId="0" fontId="4" fillId="0" borderId="29" xfId="0" applyFont="1" applyBorder="1"/>
    <xf numFmtId="0" fontId="4" fillId="0" borderId="0" xfId="0" applyFont="1" applyAlignment="1">
      <alignment horizontal="right"/>
    </xf>
    <xf numFmtId="0" fontId="4" fillId="0" borderId="29" xfId="0" applyFont="1" applyBorder="1" applyAlignment="1">
      <alignment horizontal="right"/>
    </xf>
    <xf numFmtId="0" fontId="5" fillId="0" borderId="0" xfId="0" applyFont="1"/>
    <xf numFmtId="0" fontId="0" fillId="0" borderId="43" xfId="0" applyBorder="1"/>
    <xf numFmtId="0" fontId="22" fillId="0" borderId="44" xfId="2" applyFont="1" applyBorder="1" applyAlignment="1">
      <alignment horizontal="center" wrapText="1"/>
    </xf>
    <xf numFmtId="0" fontId="22" fillId="0" borderId="45" xfId="2" applyFont="1" applyBorder="1" applyAlignment="1">
      <alignment horizontal="center" wrapText="1"/>
    </xf>
    <xf numFmtId="0" fontId="18" fillId="6" borderId="2" xfId="0" applyFont="1" applyFill="1" applyBorder="1" applyAlignment="1">
      <alignment horizontal="left" vertical="center" wrapText="1"/>
    </xf>
    <xf numFmtId="0" fontId="13" fillId="6" borderId="2" xfId="0" applyFont="1" applyFill="1" applyBorder="1" applyAlignment="1">
      <alignment horizontal="left" vertical="center" wrapText="1"/>
    </xf>
    <xf numFmtId="14" fontId="18" fillId="0" borderId="2" xfId="0" applyNumberFormat="1" applyFont="1" applyBorder="1" applyAlignment="1">
      <alignment horizontal="center" vertical="center" wrapText="1"/>
    </xf>
    <xf numFmtId="0" fontId="18" fillId="6" borderId="2" xfId="0" applyFont="1" applyFill="1" applyBorder="1" applyAlignment="1">
      <alignment horizontal="center" vertical="center" wrapText="1"/>
    </xf>
    <xf numFmtId="14" fontId="18" fillId="6" borderId="2" xfId="0" applyNumberFormat="1" applyFont="1" applyFill="1" applyBorder="1" applyAlignment="1">
      <alignment horizontal="center" vertical="center" wrapText="1"/>
    </xf>
    <xf numFmtId="0" fontId="18" fillId="0" borderId="28"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30" xfId="0" applyFont="1" applyBorder="1" applyAlignment="1">
      <alignment horizontal="center" vertical="center" wrapText="1"/>
    </xf>
    <xf numFmtId="0" fontId="18" fillId="0" borderId="0" xfId="0" applyFont="1" applyAlignment="1">
      <alignment horizontal="center" vertical="center" wrapText="1"/>
    </xf>
    <xf numFmtId="0" fontId="6" fillId="5" borderId="43" xfId="0" applyFont="1" applyFill="1" applyBorder="1" applyAlignment="1">
      <alignment horizontal="center" vertical="center" wrapText="1"/>
    </xf>
    <xf numFmtId="0" fontId="6" fillId="5" borderId="4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27" fillId="9" borderId="0" xfId="0" applyFont="1" applyFill="1"/>
    <xf numFmtId="0" fontId="0" fillId="0" borderId="4" xfId="0" applyBorder="1" applyAlignment="1">
      <alignment horizontal="left"/>
    </xf>
    <xf numFmtId="14" fontId="0" fillId="0" borderId="0" xfId="0" applyNumberFormat="1"/>
    <xf numFmtId="14" fontId="0" fillId="0" borderId="4" xfId="0" applyNumberFormat="1" applyBorder="1"/>
    <xf numFmtId="0" fontId="28" fillId="0" borderId="0" xfId="2" applyFont="1" applyAlignment="1">
      <alignment horizontal="center" wrapText="1"/>
    </xf>
    <xf numFmtId="0" fontId="28" fillId="0" borderId="0" xfId="2" applyFont="1" applyAlignment="1">
      <alignment horizontal="center" vertical="center" wrapText="1"/>
    </xf>
    <xf numFmtId="1" fontId="29" fillId="10" borderId="4" xfId="0" applyNumberFormat="1" applyFont="1" applyFill="1" applyBorder="1" applyAlignment="1">
      <alignment horizontal="center" vertical="center"/>
    </xf>
    <xf numFmtId="1" fontId="29" fillId="11" borderId="4" xfId="0" applyNumberFormat="1" applyFont="1" applyFill="1" applyBorder="1" applyAlignment="1">
      <alignment horizontal="center" vertical="center"/>
    </xf>
    <xf numFmtId="1" fontId="30" fillId="12" borderId="4" xfId="0" applyNumberFormat="1" applyFont="1" applyFill="1" applyBorder="1" applyAlignment="1">
      <alignment horizontal="center" vertical="center"/>
    </xf>
    <xf numFmtId="1" fontId="30" fillId="13" borderId="4" xfId="0" applyNumberFormat="1" applyFont="1" applyFill="1" applyBorder="1" applyAlignment="1">
      <alignment horizontal="center" vertical="center"/>
    </xf>
    <xf numFmtId="0" fontId="31" fillId="0" borderId="0" xfId="0" applyFont="1"/>
    <xf numFmtId="0" fontId="30" fillId="13" borderId="4" xfId="0" applyFont="1" applyFill="1" applyBorder="1" applyAlignment="1">
      <alignment horizontal="center" vertical="center"/>
    </xf>
    <xf numFmtId="164" fontId="0" fillId="0" borderId="0" xfId="0" applyNumberFormat="1"/>
    <xf numFmtId="1" fontId="0" fillId="0" borderId="0" xfId="0" applyNumberFormat="1"/>
    <xf numFmtId="0" fontId="29" fillId="10" borderId="4" xfId="0" applyFont="1" applyFill="1" applyBorder="1" applyAlignment="1">
      <alignment horizontal="center" vertical="center"/>
    </xf>
    <xf numFmtId="0" fontId="29" fillId="11" borderId="4" xfId="0" applyFont="1" applyFill="1" applyBorder="1" applyAlignment="1">
      <alignment horizontal="center" vertical="center"/>
    </xf>
    <xf numFmtId="0" fontId="30" fillId="12" borderId="4" xfId="0" applyFont="1" applyFill="1" applyBorder="1" applyAlignment="1">
      <alignment horizontal="center" vertical="center"/>
    </xf>
    <xf numFmtId="0" fontId="34" fillId="15" borderId="1" xfId="0" applyFont="1" applyFill="1" applyBorder="1" applyAlignment="1">
      <alignment horizontal="center" vertical="center" wrapText="1"/>
    </xf>
    <xf numFmtId="0" fontId="34" fillId="15" borderId="43" xfId="0" applyFont="1" applyFill="1" applyBorder="1" applyAlignment="1">
      <alignment horizontal="center" vertical="center" wrapText="1"/>
    </xf>
    <xf numFmtId="0" fontId="0" fillId="0" borderId="0" xfId="0" applyAlignment="1">
      <alignment vertical="center" wrapText="1"/>
    </xf>
    <xf numFmtId="0" fontId="0" fillId="16" borderId="28" xfId="0" applyFill="1"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wrapText="1"/>
    </xf>
    <xf numFmtId="0" fontId="0" fillId="16" borderId="23" xfId="0" applyFill="1" applyBorder="1" applyAlignment="1">
      <alignment horizontal="left" vertical="center" wrapText="1"/>
    </xf>
    <xf numFmtId="0" fontId="0" fillId="6" borderId="4" xfId="0" applyFill="1" applyBorder="1"/>
    <xf numFmtId="0" fontId="0" fillId="17" borderId="4" xfId="0" applyFill="1" applyBorder="1" applyAlignment="1">
      <alignment horizontal="left" vertical="center" wrapText="1"/>
    </xf>
    <xf numFmtId="0" fontId="0" fillId="6" borderId="4" xfId="0" applyFill="1" applyBorder="1" applyAlignment="1">
      <alignment horizontal="left" vertical="center" wrapText="1"/>
    </xf>
    <xf numFmtId="0" fontId="0" fillId="6" borderId="46" xfId="0" applyFill="1" applyBorder="1" applyAlignment="1">
      <alignment horizontal="left" vertical="center" wrapText="1"/>
    </xf>
    <xf numFmtId="0" fontId="0" fillId="6" borderId="23" xfId="0" applyFill="1" applyBorder="1" applyAlignment="1">
      <alignment horizontal="left" vertical="center" wrapText="1"/>
    </xf>
    <xf numFmtId="0" fontId="0" fillId="0" borderId="23" xfId="0" applyBorder="1" applyAlignment="1">
      <alignment horizontal="left" vertical="center" wrapText="1"/>
    </xf>
    <xf numFmtId="0" fontId="0" fillId="6" borderId="4" xfId="0" applyFill="1" applyBorder="1" applyAlignment="1">
      <alignment wrapText="1"/>
    </xf>
    <xf numFmtId="0" fontId="0" fillId="0" borderId="4" xfId="0" applyBorder="1" applyAlignment="1">
      <alignment wrapText="1"/>
    </xf>
    <xf numFmtId="0" fontId="0" fillId="0" borderId="24" xfId="0" applyBorder="1" applyAlignment="1">
      <alignment horizontal="left" vertical="center" wrapText="1"/>
    </xf>
    <xf numFmtId="0" fontId="0" fillId="0" borderId="24" xfId="0" applyBorder="1" applyAlignment="1">
      <alignment wrapText="1"/>
    </xf>
    <xf numFmtId="0" fontId="35" fillId="0" borderId="0" xfId="0" applyFont="1" applyAlignment="1">
      <alignment horizontal="center"/>
    </xf>
    <xf numFmtId="0" fontId="37" fillId="14" borderId="23" xfId="0" applyFont="1" applyFill="1" applyBorder="1" applyAlignment="1">
      <alignment horizontal="center"/>
    </xf>
    <xf numFmtId="0" fontId="37" fillId="14" borderId="4" xfId="0" applyFont="1" applyFill="1" applyBorder="1" applyAlignment="1">
      <alignment horizontal="center"/>
    </xf>
    <xf numFmtId="0" fontId="38" fillId="0" borderId="0" xfId="0" applyFont="1" applyAlignment="1">
      <alignment horizontal="center"/>
    </xf>
    <xf numFmtId="0" fontId="39" fillId="0" borderId="0" xfId="0" applyFont="1"/>
    <xf numFmtId="0" fontId="39" fillId="18" borderId="4" xfId="0" applyFont="1" applyFill="1" applyBorder="1" applyAlignment="1">
      <alignment horizontal="left" vertical="center"/>
    </xf>
    <xf numFmtId="0" fontId="39" fillId="0" borderId="4" xfId="0" applyFont="1" applyBorder="1" applyAlignment="1">
      <alignment horizontal="left" vertical="center" wrapText="1"/>
    </xf>
    <xf numFmtId="0" fontId="39" fillId="0" borderId="0" xfId="0" applyFont="1" applyAlignment="1">
      <alignment horizontal="left" vertical="center" wrapText="1"/>
    </xf>
    <xf numFmtId="0" fontId="39" fillId="0" borderId="4" xfId="0" applyFont="1" applyBorder="1"/>
    <xf numFmtId="0" fontId="39" fillId="19" borderId="4" xfId="0" applyFont="1" applyFill="1" applyBorder="1" applyAlignment="1">
      <alignment horizontal="left" vertical="center"/>
    </xf>
    <xf numFmtId="0" fontId="39" fillId="0" borderId="4" xfId="0" applyFont="1" applyBorder="1" applyAlignment="1">
      <alignment vertical="center"/>
    </xf>
    <xf numFmtId="0" fontId="39" fillId="20" borderId="2" xfId="0" applyFont="1" applyFill="1" applyBorder="1" applyAlignment="1">
      <alignment horizontal="left" vertical="center" wrapText="1"/>
    </xf>
    <xf numFmtId="0" fontId="39" fillId="0" borderId="2" xfId="0" applyFont="1" applyBorder="1" applyAlignment="1">
      <alignment horizontal="left" vertical="center" wrapText="1"/>
    </xf>
    <xf numFmtId="0" fontId="39" fillId="20" borderId="4" xfId="0" applyFont="1" applyFill="1" applyBorder="1" applyAlignment="1">
      <alignment horizontal="left" vertical="center"/>
    </xf>
    <xf numFmtId="0" fontId="39" fillId="21" borderId="2" xfId="0" applyFont="1" applyFill="1" applyBorder="1" applyAlignment="1">
      <alignment horizontal="left" vertical="center" wrapText="1"/>
    </xf>
    <xf numFmtId="0" fontId="39" fillId="21" borderId="4" xfId="0" applyFont="1" applyFill="1" applyBorder="1" applyAlignment="1">
      <alignment horizontal="left" vertical="center" wrapText="1"/>
    </xf>
    <xf numFmtId="0" fontId="39" fillId="22" borderId="4" xfId="0" applyFont="1" applyFill="1" applyBorder="1" applyAlignment="1">
      <alignment horizontal="left" vertical="center"/>
    </xf>
    <xf numFmtId="0" fontId="39" fillId="23" borderId="4" xfId="0" applyFont="1" applyFill="1" applyBorder="1" applyAlignment="1">
      <alignment horizontal="left" vertical="center" wrapText="1"/>
    </xf>
    <xf numFmtId="0" fontId="39" fillId="24" borderId="4" xfId="0" applyFont="1" applyFill="1" applyBorder="1" applyAlignment="1">
      <alignment horizontal="left" vertical="center"/>
    </xf>
    <xf numFmtId="0" fontId="18" fillId="25" borderId="2" xfId="0" applyFont="1" applyFill="1" applyBorder="1" applyAlignment="1">
      <alignment horizontal="center" vertical="center" wrapText="1"/>
    </xf>
    <xf numFmtId="0" fontId="9" fillId="26" borderId="0" xfId="2" applyFill="1"/>
    <xf numFmtId="0" fontId="9" fillId="25" borderId="0" xfId="2" applyFill="1"/>
    <xf numFmtId="0" fontId="9" fillId="5" borderId="0" xfId="2" applyFill="1"/>
    <xf numFmtId="0" fontId="9" fillId="17" borderId="0" xfId="2" applyFill="1"/>
    <xf numFmtId="0" fontId="9" fillId="11" borderId="0" xfId="2" applyFill="1"/>
    <xf numFmtId="0" fontId="9" fillId="27" borderId="0" xfId="2" applyFill="1"/>
    <xf numFmtId="0" fontId="9" fillId="28" borderId="0" xfId="2" applyFill="1"/>
    <xf numFmtId="0" fontId="41" fillId="0" borderId="0" xfId="0" applyFont="1" applyAlignment="1">
      <alignment wrapText="1"/>
    </xf>
    <xf numFmtId="0" fontId="1" fillId="0" borderId="0" xfId="0" applyFont="1" applyAlignment="1">
      <alignment horizontal="center" vertical="center"/>
    </xf>
    <xf numFmtId="0" fontId="2" fillId="0" borderId="0" xfId="0" applyFont="1" applyAlignment="1">
      <alignment horizontal="left"/>
    </xf>
    <xf numFmtId="0" fontId="5" fillId="0" borderId="0" xfId="0" applyFont="1" applyAlignment="1">
      <alignment horizontal="right"/>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8"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7"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8" fillId="7" borderId="6"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7" xfId="0" applyFont="1" applyFill="1" applyBorder="1" applyAlignment="1">
      <alignment horizontal="center" vertical="center"/>
    </xf>
    <xf numFmtId="0" fontId="6" fillId="4" borderId="6" xfId="2" applyFont="1" applyFill="1" applyBorder="1" applyAlignment="1">
      <alignment horizontal="center" wrapText="1"/>
    </xf>
    <xf numFmtId="0" fontId="6" fillId="4" borderId="8" xfId="2" applyFont="1" applyFill="1" applyBorder="1" applyAlignment="1">
      <alignment horizontal="center" wrapText="1"/>
    </xf>
    <xf numFmtId="0" fontId="6" fillId="4" borderId="7" xfId="2" applyFont="1" applyFill="1" applyBorder="1" applyAlignment="1">
      <alignment horizontal="center" wrapText="1"/>
    </xf>
    <xf numFmtId="0" fontId="6" fillId="4" borderId="6" xfId="2" applyFont="1" applyFill="1" applyBorder="1" applyAlignment="1">
      <alignment horizontal="center" vertical="center" wrapText="1"/>
    </xf>
    <xf numFmtId="0" fontId="6" fillId="4" borderId="7" xfId="2" applyFont="1" applyFill="1" applyBorder="1" applyAlignment="1">
      <alignment horizontal="center" vertical="center" wrapText="1"/>
    </xf>
    <xf numFmtId="0" fontId="21" fillId="4" borderId="6" xfId="2" applyFont="1" applyFill="1" applyBorder="1" applyAlignment="1">
      <alignment horizontal="center" vertical="center" wrapText="1"/>
    </xf>
    <xf numFmtId="0" fontId="21" fillId="4" borderId="7" xfId="2" applyFont="1" applyFill="1" applyBorder="1" applyAlignment="1">
      <alignment horizontal="center" vertical="center" wrapText="1"/>
    </xf>
    <xf numFmtId="0" fontId="21" fillId="4" borderId="31" xfId="2" applyFont="1" applyFill="1" applyBorder="1" applyAlignment="1">
      <alignment horizontal="center" vertical="center" wrapText="1"/>
    </xf>
    <xf numFmtId="0" fontId="21" fillId="4" borderId="32" xfId="2" applyFont="1" applyFill="1" applyBorder="1" applyAlignment="1">
      <alignment horizontal="center" vertical="center" wrapText="1"/>
    </xf>
    <xf numFmtId="0" fontId="21" fillId="4" borderId="34" xfId="2" applyFont="1" applyFill="1" applyBorder="1" applyAlignment="1">
      <alignment horizontal="center" vertical="center" wrapText="1"/>
    </xf>
    <xf numFmtId="0" fontId="21" fillId="4" borderId="35" xfId="2" applyFont="1" applyFill="1" applyBorder="1" applyAlignment="1">
      <alignment horizontal="center" vertical="center" wrapText="1"/>
    </xf>
    <xf numFmtId="0" fontId="8" fillId="8" borderId="7" xfId="0" applyFont="1" applyFill="1" applyBorder="1" applyAlignment="1">
      <alignment horizontal="center" vertical="center"/>
    </xf>
    <xf numFmtId="0" fontId="6" fillId="5" borderId="22"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8" fillId="5" borderId="6" xfId="0" applyFont="1" applyFill="1" applyBorder="1" applyAlignment="1">
      <alignment horizontal="center" vertical="center"/>
    </xf>
    <xf numFmtId="0" fontId="24" fillId="0" borderId="24" xfId="0" applyFont="1" applyBorder="1" applyAlignment="1">
      <alignment wrapText="1"/>
    </xf>
    <xf numFmtId="0" fontId="24" fillId="0" borderId="25" xfId="0" applyFont="1" applyBorder="1" applyAlignment="1">
      <alignment wrapText="1"/>
    </xf>
    <xf numFmtId="0" fontId="24" fillId="0" borderId="4" xfId="0" applyFont="1" applyBorder="1" applyAlignment="1">
      <alignment horizontal="left" wrapText="1"/>
    </xf>
    <xf numFmtId="0" fontId="24" fillId="0" borderId="26" xfId="0" applyFont="1" applyBorder="1" applyAlignment="1">
      <alignment wrapText="1"/>
    </xf>
    <xf numFmtId="0" fontId="24" fillId="0" borderId="27" xfId="0" applyFont="1" applyBorder="1" applyAlignment="1">
      <alignment wrapText="1"/>
    </xf>
    <xf numFmtId="0" fontId="24" fillId="0" borderId="28" xfId="0" applyFont="1" applyBorder="1" applyAlignment="1">
      <alignment horizontal="left" wrapText="1"/>
    </xf>
    <xf numFmtId="0" fontId="24" fillId="0" borderId="29" xfId="0" applyFont="1" applyBorder="1" applyAlignment="1">
      <alignment horizontal="left" wrapText="1"/>
    </xf>
    <xf numFmtId="0" fontId="24" fillId="0" borderId="30" xfId="0" applyFont="1" applyBorder="1" applyAlignment="1">
      <alignment horizontal="left" wrapText="1"/>
    </xf>
    <xf numFmtId="0" fontId="24" fillId="0" borderId="4" xfId="0" applyFont="1" applyBorder="1" applyAlignment="1">
      <alignment wrapText="1"/>
    </xf>
    <xf numFmtId="0" fontId="24" fillId="0" borderId="23" xfId="0" applyFont="1" applyBorder="1" applyAlignment="1">
      <alignment wrapText="1"/>
    </xf>
    <xf numFmtId="0" fontId="23" fillId="0" borderId="4" xfId="2" applyFont="1" applyBorder="1" applyAlignment="1">
      <alignment horizontal="left" vertical="center" wrapText="1"/>
    </xf>
    <xf numFmtId="0" fontId="23" fillId="0" borderId="16" xfId="2" applyFont="1" applyBorder="1" applyAlignment="1">
      <alignment horizontal="left" vertical="center" wrapText="1"/>
    </xf>
    <xf numFmtId="0" fontId="7" fillId="0" borderId="22" xfId="2" applyFont="1" applyBorder="1" applyAlignment="1">
      <alignment horizontal="center" vertical="center"/>
    </xf>
    <xf numFmtId="0" fontId="7" fillId="0" borderId="0" xfId="2" applyFont="1" applyAlignment="1">
      <alignment horizontal="center" vertical="center"/>
    </xf>
    <xf numFmtId="0" fontId="23" fillId="0" borderId="19" xfId="2" applyFont="1" applyBorder="1" applyAlignment="1">
      <alignment horizontal="left" vertical="center" wrapText="1"/>
    </xf>
    <xf numFmtId="0" fontId="23" fillId="0" borderId="18" xfId="2" applyFont="1" applyBorder="1" applyAlignment="1">
      <alignment horizontal="left" vertical="center" wrapText="1"/>
    </xf>
    <xf numFmtId="0" fontId="7" fillId="0" borderId="0" xfId="2" applyFont="1" applyAlignment="1">
      <alignment horizontal="center"/>
    </xf>
    <xf numFmtId="0" fontId="23" fillId="0" borderId="3" xfId="2" applyFont="1" applyBorder="1" applyAlignment="1">
      <alignment horizontal="left" vertical="center" wrapText="1"/>
    </xf>
    <xf numFmtId="0" fontId="23" fillId="0" borderId="14" xfId="2" applyFont="1" applyBorder="1" applyAlignment="1">
      <alignment horizontal="left" vertical="center" wrapText="1"/>
    </xf>
    <xf numFmtId="0" fontId="6" fillId="4" borderId="8" xfId="2" applyFont="1" applyFill="1" applyBorder="1" applyAlignment="1">
      <alignment horizontal="center" vertical="center" wrapText="1"/>
    </xf>
    <xf numFmtId="0" fontId="4" fillId="4" borderId="20" xfId="2" applyFont="1" applyFill="1" applyBorder="1" applyAlignment="1">
      <alignment horizontal="center" vertical="center" wrapText="1"/>
    </xf>
    <xf numFmtId="0" fontId="4" fillId="4" borderId="21" xfId="2" applyFont="1" applyFill="1" applyBorder="1" applyAlignment="1">
      <alignment horizontal="center" vertical="center" wrapText="1"/>
    </xf>
    <xf numFmtId="0" fontId="36" fillId="0" borderId="0" xfId="0" applyFont="1" applyAlignment="1">
      <alignment horizontal="center"/>
    </xf>
    <xf numFmtId="0" fontId="40" fillId="14" borderId="4" xfId="0" applyFont="1" applyFill="1" applyBorder="1" applyAlignment="1">
      <alignment horizontal="center"/>
    </xf>
    <xf numFmtId="0" fontId="35" fillId="14" borderId="6" xfId="0" applyFont="1" applyFill="1" applyBorder="1" applyAlignment="1">
      <alignment horizontal="center"/>
    </xf>
    <xf numFmtId="0" fontId="35" fillId="14" borderId="7" xfId="0" applyFont="1" applyFill="1" applyBorder="1" applyAlignment="1">
      <alignment horizontal="center"/>
    </xf>
    <xf numFmtId="0" fontId="35" fillId="14" borderId="31" xfId="0" applyFont="1" applyFill="1" applyBorder="1" applyAlignment="1">
      <alignment horizontal="center" vertical="center"/>
    </xf>
    <xf numFmtId="0" fontId="35" fillId="14" borderId="37" xfId="0" applyFont="1" applyFill="1" applyBorder="1" applyAlignment="1">
      <alignment horizontal="center" vertical="center"/>
    </xf>
  </cellXfs>
  <cellStyles count="4">
    <cellStyle name="Normal" xfId="0" builtinId="0"/>
    <cellStyle name="Normal 2" xfId="2" xr:uid="{9564A5A3-0BD3-4F27-A467-57F476F5C21A}"/>
    <cellStyle name="Normal 2 10" xfId="3" xr:uid="{ABF423EB-E01F-4F72-BF6E-B77107D2625E}"/>
    <cellStyle name="Normal 3" xfId="1" xr:uid="{850285F1-0951-4DD7-B24E-CF5BCFB8DFA8}"/>
  </cellStyles>
  <dxfs count="12">
    <dxf>
      <fill>
        <patternFill>
          <bgColor rgb="FF92D050"/>
        </patternFill>
      </fill>
    </dxf>
    <dxf>
      <fill>
        <patternFill>
          <bgColor rgb="FF92D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rgb="FF7030A0"/>
        </patternFill>
      </fill>
    </dxf>
    <dxf>
      <numFmt numFmtId="0" formatCode="General"/>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0FF00"/>
      <color rgb="FFFF3300"/>
      <color rgb="FFCC0000"/>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07/relationships/slicerCache" Target="slicerCaches/slicerCache7.xml"/><Relationship Id="rId28"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HRN-FOMATO NUEVO 2025.xlsx]Graficas Nivel Riesgo y Estatus!PivotTable2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MX"/>
              <a:t>Estatus</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MX"/>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'Graficas Nivel Riesgo y Estatus'!$B$32:$B$33</c:f>
              <c:strCache>
                <c:ptCount val="1"/>
                <c:pt idx="0">
                  <c:v>(blank)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'Graficas Nivel Riesgo y Estatus'!$A$34:$A$52</c:f>
              <c:strCache>
                <c:ptCount val="18"/>
                <c:pt idx="0">
                  <c:v>Atitalaquia</c:v>
                </c:pt>
                <c:pt idx="1">
                  <c:v>Chihuahua</c:v>
                </c:pt>
                <c:pt idx="2">
                  <c:v>Eugenia</c:v>
                </c:pt>
                <c:pt idx="3">
                  <c:v>Guadalajara</c:v>
                </c:pt>
                <c:pt idx="4">
                  <c:v>Linares</c:v>
                </c:pt>
                <c:pt idx="5">
                  <c:v>Molino</c:v>
                </c:pt>
                <c:pt idx="6">
                  <c:v>Noreste</c:v>
                </c:pt>
                <c:pt idx="7">
                  <c:v>Sabinas</c:v>
                </c:pt>
                <c:pt idx="8">
                  <c:v>Tangamanga</c:v>
                </c:pt>
                <c:pt idx="9">
                  <c:v>Xalostoc</c:v>
                </c:pt>
                <c:pt idx="10">
                  <c:v>(blank)</c:v>
                </c:pt>
                <c:pt idx="11">
                  <c:v>Pizzas</c:v>
                </c:pt>
                <c:pt idx="12">
                  <c:v>Supremo</c:v>
                </c:pt>
                <c:pt idx="13">
                  <c:v>Saltillo</c:v>
                </c:pt>
                <c:pt idx="14">
                  <c:v>Celaya</c:v>
                </c:pt>
                <c:pt idx="15">
                  <c:v>Pénjamo</c:v>
                </c:pt>
                <c:pt idx="16">
                  <c:v>Lagos de Moreno Quesos</c:v>
                </c:pt>
                <c:pt idx="17">
                  <c:v>Lagos de Moreno Yogurt</c:v>
                </c:pt>
              </c:strCache>
            </c:strRef>
          </c:cat>
          <c:val>
            <c:numRef>
              <c:f>'Graficas Nivel Riesgo y Estatus'!$B$34:$B$52</c:f>
              <c:numCache>
                <c:formatCode>General</c:formatCode>
                <c:ptCount val="18"/>
              </c:numCache>
            </c:numRef>
          </c:val>
          <c:extLst>
            <c:ext xmlns:c16="http://schemas.microsoft.com/office/drawing/2014/chart" uri="{C3380CC4-5D6E-409C-BE32-E72D297353CC}">
              <c16:uniqueId val="{00000000-EC2B-437E-A7CA-D41D2E3A0335}"/>
            </c:ext>
          </c:extLst>
        </c:ser>
        <c:ser>
          <c:idx val="1"/>
          <c:order val="1"/>
          <c:tx>
            <c:strRef>
              <c:f>'Graficas Nivel Riesgo y Estatus'!$C$32:$C$33</c:f>
              <c:strCache>
                <c:ptCount val="1"/>
                <c:pt idx="0">
                  <c:v>Abierto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'Graficas Nivel Riesgo y Estatus'!$A$34:$A$52</c:f>
              <c:strCache>
                <c:ptCount val="18"/>
                <c:pt idx="0">
                  <c:v>Atitalaquia</c:v>
                </c:pt>
                <c:pt idx="1">
                  <c:v>Chihuahua</c:v>
                </c:pt>
                <c:pt idx="2">
                  <c:v>Eugenia</c:v>
                </c:pt>
                <c:pt idx="3">
                  <c:v>Guadalajara</c:v>
                </c:pt>
                <c:pt idx="4">
                  <c:v>Linares</c:v>
                </c:pt>
                <c:pt idx="5">
                  <c:v>Molino</c:v>
                </c:pt>
                <c:pt idx="6">
                  <c:v>Noreste</c:v>
                </c:pt>
                <c:pt idx="7">
                  <c:v>Sabinas</c:v>
                </c:pt>
                <c:pt idx="8">
                  <c:v>Tangamanga</c:v>
                </c:pt>
                <c:pt idx="9">
                  <c:v>Xalostoc</c:v>
                </c:pt>
                <c:pt idx="10">
                  <c:v>(blank)</c:v>
                </c:pt>
                <c:pt idx="11">
                  <c:v>Pizzas</c:v>
                </c:pt>
                <c:pt idx="12">
                  <c:v>Supremo</c:v>
                </c:pt>
                <c:pt idx="13">
                  <c:v>Saltillo</c:v>
                </c:pt>
                <c:pt idx="14">
                  <c:v>Celaya</c:v>
                </c:pt>
                <c:pt idx="15">
                  <c:v>Pénjamo</c:v>
                </c:pt>
                <c:pt idx="16">
                  <c:v>Lagos de Moreno Quesos</c:v>
                </c:pt>
                <c:pt idx="17">
                  <c:v>Lagos de Moreno Yogurt</c:v>
                </c:pt>
              </c:strCache>
            </c:strRef>
          </c:cat>
          <c:val>
            <c:numRef>
              <c:f>'Graficas Nivel Riesgo y Estatus'!$C$34:$C$52</c:f>
              <c:numCache>
                <c:formatCode>General</c:formatCode>
                <c:ptCount val="18"/>
                <c:pt idx="0">
                  <c:v>3</c:v>
                </c:pt>
                <c:pt idx="1">
                  <c:v>3</c:v>
                </c:pt>
                <c:pt idx="2">
                  <c:v>2</c:v>
                </c:pt>
                <c:pt idx="3">
                  <c:v>3</c:v>
                </c:pt>
                <c:pt idx="4">
                  <c:v>3</c:v>
                </c:pt>
                <c:pt idx="5">
                  <c:v>2</c:v>
                </c:pt>
                <c:pt idx="6">
                  <c:v>2</c:v>
                </c:pt>
                <c:pt idx="7">
                  <c:v>3</c:v>
                </c:pt>
                <c:pt idx="8">
                  <c:v>2</c:v>
                </c:pt>
                <c:pt idx="9">
                  <c:v>4</c:v>
                </c:pt>
                <c:pt idx="11">
                  <c:v>2</c:v>
                </c:pt>
                <c:pt idx="12">
                  <c:v>3</c:v>
                </c:pt>
                <c:pt idx="13">
                  <c:v>3</c:v>
                </c:pt>
                <c:pt idx="14">
                  <c:v>2</c:v>
                </c:pt>
                <c:pt idx="15">
                  <c:v>2</c:v>
                </c:pt>
                <c:pt idx="16">
                  <c:v>3</c:v>
                </c:pt>
                <c:pt idx="17">
                  <c:v>2</c:v>
                </c:pt>
              </c:numCache>
            </c:numRef>
          </c:val>
          <c:extLst>
            <c:ext xmlns:c16="http://schemas.microsoft.com/office/drawing/2014/chart" uri="{C3380CC4-5D6E-409C-BE32-E72D297353CC}">
              <c16:uniqueId val="{00000005-EC2B-437E-A7CA-D41D2E3A0335}"/>
            </c:ext>
          </c:extLst>
        </c:ser>
        <c:ser>
          <c:idx val="2"/>
          <c:order val="2"/>
          <c:tx>
            <c:strRef>
              <c:f>'Graficas Nivel Riesgo y Estatus'!$D$32:$D$33</c:f>
              <c:strCache>
                <c:ptCount val="1"/>
                <c:pt idx="0">
                  <c:v>Cerrado</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Estatus'!$A$34:$A$52</c:f>
              <c:strCache>
                <c:ptCount val="18"/>
                <c:pt idx="0">
                  <c:v>Atitalaquia</c:v>
                </c:pt>
                <c:pt idx="1">
                  <c:v>Chihuahua</c:v>
                </c:pt>
                <c:pt idx="2">
                  <c:v>Eugenia</c:v>
                </c:pt>
                <c:pt idx="3">
                  <c:v>Guadalajara</c:v>
                </c:pt>
                <c:pt idx="4">
                  <c:v>Linares</c:v>
                </c:pt>
                <c:pt idx="5">
                  <c:v>Molino</c:v>
                </c:pt>
                <c:pt idx="6">
                  <c:v>Noreste</c:v>
                </c:pt>
                <c:pt idx="7">
                  <c:v>Sabinas</c:v>
                </c:pt>
                <c:pt idx="8">
                  <c:v>Tangamanga</c:v>
                </c:pt>
                <c:pt idx="9">
                  <c:v>Xalostoc</c:v>
                </c:pt>
                <c:pt idx="10">
                  <c:v>(blank)</c:v>
                </c:pt>
                <c:pt idx="11">
                  <c:v>Pizzas</c:v>
                </c:pt>
                <c:pt idx="12">
                  <c:v>Supremo</c:v>
                </c:pt>
                <c:pt idx="13">
                  <c:v>Saltillo</c:v>
                </c:pt>
                <c:pt idx="14">
                  <c:v>Celaya</c:v>
                </c:pt>
                <c:pt idx="15">
                  <c:v>Pénjamo</c:v>
                </c:pt>
                <c:pt idx="16">
                  <c:v>Lagos de Moreno Quesos</c:v>
                </c:pt>
                <c:pt idx="17">
                  <c:v>Lagos de Moreno Yogurt</c:v>
                </c:pt>
              </c:strCache>
            </c:strRef>
          </c:cat>
          <c:val>
            <c:numRef>
              <c:f>'Graficas Nivel Riesgo y Estatus'!$D$34:$D$52</c:f>
              <c:numCache>
                <c:formatCode>General</c:formatCode>
                <c:ptCount val="18"/>
                <c:pt idx="0">
                  <c:v>2</c:v>
                </c:pt>
                <c:pt idx="1">
                  <c:v>2</c:v>
                </c:pt>
                <c:pt idx="2">
                  <c:v>3</c:v>
                </c:pt>
                <c:pt idx="3">
                  <c:v>3</c:v>
                </c:pt>
                <c:pt idx="4">
                  <c:v>2</c:v>
                </c:pt>
                <c:pt idx="5">
                  <c:v>3</c:v>
                </c:pt>
                <c:pt idx="6">
                  <c:v>3</c:v>
                </c:pt>
                <c:pt idx="7">
                  <c:v>2</c:v>
                </c:pt>
                <c:pt idx="8">
                  <c:v>3</c:v>
                </c:pt>
                <c:pt idx="9">
                  <c:v>3</c:v>
                </c:pt>
                <c:pt idx="11">
                  <c:v>3</c:v>
                </c:pt>
                <c:pt idx="12">
                  <c:v>2</c:v>
                </c:pt>
                <c:pt idx="13">
                  <c:v>2</c:v>
                </c:pt>
                <c:pt idx="14">
                  <c:v>3</c:v>
                </c:pt>
                <c:pt idx="15">
                  <c:v>3</c:v>
                </c:pt>
                <c:pt idx="16">
                  <c:v>2</c:v>
                </c:pt>
                <c:pt idx="17">
                  <c:v>3</c:v>
                </c:pt>
              </c:numCache>
            </c:numRef>
          </c:val>
          <c:extLst>
            <c:ext xmlns:c16="http://schemas.microsoft.com/office/drawing/2014/chart" uri="{C3380CC4-5D6E-409C-BE32-E72D297353CC}">
              <c16:uniqueId val="{00000001-E288-4C59-9102-AFEB7089730A}"/>
            </c:ext>
          </c:extLst>
        </c:ser>
        <c:dLbls>
          <c:showLegendKey val="0"/>
          <c:showVal val="0"/>
          <c:showCatName val="0"/>
          <c:showSerName val="0"/>
          <c:showPercent val="0"/>
          <c:showBubbleSize val="0"/>
        </c:dLbls>
        <c:gapWidth val="150"/>
        <c:overlap val="100"/>
        <c:axId val="676387776"/>
        <c:axId val="425846784"/>
      </c:barChart>
      <c:catAx>
        <c:axId val="676387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25846784"/>
        <c:crosses val="autoZero"/>
        <c:auto val="1"/>
        <c:lblAlgn val="ctr"/>
        <c:lblOffset val="100"/>
        <c:noMultiLvlLbl val="0"/>
      </c:catAx>
      <c:valAx>
        <c:axId val="42584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7638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HRN-FOMATO NUEVO 2025.xlsx]Peligros Identificados!PivotTable5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Peligros Identificados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'Peligros Identificados'!$B$1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0F8-45BF-9B7B-23686D1BE1F1}"/>
              </c:ext>
            </c:extLst>
          </c:dPt>
          <c:dPt>
            <c:idx val="1"/>
            <c:bubble3D val="0"/>
            <c:spPr>
              <a:solidFill>
                <a:schemeClr val="accent2"/>
              </a:solidFill>
              <a:ln>
                <a:noFill/>
              </a:ln>
              <a:effectLst/>
            </c:spPr>
            <c:extLst>
              <c:ext xmlns:c16="http://schemas.microsoft.com/office/drawing/2014/chart" uri="{C3380CC4-5D6E-409C-BE32-E72D297353CC}">
                <c16:uniqueId val="{00000003-12CC-48BE-B7AC-864F025D1EF7}"/>
              </c:ext>
            </c:extLst>
          </c:dPt>
          <c:dPt>
            <c:idx val="2"/>
            <c:bubble3D val="0"/>
            <c:spPr>
              <a:solidFill>
                <a:schemeClr val="accent3"/>
              </a:solidFill>
              <a:ln>
                <a:noFill/>
              </a:ln>
              <a:effectLst/>
            </c:spPr>
            <c:extLst>
              <c:ext xmlns:c16="http://schemas.microsoft.com/office/drawing/2014/chart" uri="{C3380CC4-5D6E-409C-BE32-E72D297353CC}">
                <c16:uniqueId val="{00000005-12CC-48BE-B7AC-864F025D1EF7}"/>
              </c:ext>
            </c:extLst>
          </c:dPt>
          <c:dPt>
            <c:idx val="3"/>
            <c:bubble3D val="0"/>
            <c:spPr>
              <a:solidFill>
                <a:schemeClr val="accent4"/>
              </a:solidFill>
              <a:ln>
                <a:noFill/>
              </a:ln>
              <a:effectLst/>
            </c:spPr>
            <c:extLst>
              <c:ext xmlns:c16="http://schemas.microsoft.com/office/drawing/2014/chart" uri="{C3380CC4-5D6E-409C-BE32-E72D297353CC}">
                <c16:uniqueId val="{00000007-12CC-48BE-B7AC-864F025D1EF7}"/>
              </c:ext>
            </c:extLst>
          </c:dPt>
          <c:dPt>
            <c:idx val="4"/>
            <c:bubble3D val="0"/>
            <c:spPr>
              <a:solidFill>
                <a:schemeClr val="accent5"/>
              </a:solidFill>
              <a:ln>
                <a:noFill/>
              </a:ln>
              <a:effectLst/>
            </c:spPr>
            <c:extLst>
              <c:ext xmlns:c16="http://schemas.microsoft.com/office/drawing/2014/chart" uri="{C3380CC4-5D6E-409C-BE32-E72D297353CC}">
                <c16:uniqueId val="{00000009-12CC-48BE-B7AC-864F025D1EF7}"/>
              </c:ext>
            </c:extLst>
          </c:dPt>
          <c:dPt>
            <c:idx val="5"/>
            <c:bubble3D val="0"/>
            <c:spPr>
              <a:solidFill>
                <a:schemeClr val="accent6"/>
              </a:solidFill>
              <a:ln>
                <a:noFill/>
              </a:ln>
              <a:effectLst/>
            </c:spPr>
            <c:extLst>
              <c:ext xmlns:c16="http://schemas.microsoft.com/office/drawing/2014/chart" uri="{C3380CC4-5D6E-409C-BE32-E72D297353CC}">
                <c16:uniqueId val="{0000000B-12CC-48BE-B7AC-864F025D1EF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2CC-48BE-B7AC-864F025D1EF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2CC-48BE-B7AC-864F025D1EF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2CC-48BE-B7AC-864F025D1E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'Peligros Identificados'!$A$2:$A$11</c:f>
              <c:strCache>
                <c:ptCount val="9"/>
                <c:pt idx="0">
                  <c:v>(blank)</c:v>
                </c:pt>
                <c:pt idx="1">
                  <c:v>Caída al mismo nivel</c:v>
                </c:pt>
                <c:pt idx="2">
                  <c:v>Partes en movimiento</c:v>
                </c:pt>
                <c:pt idx="3">
                  <c:v>Electricidad</c:v>
                </c:pt>
                <c:pt idx="4">
                  <c:v>Amoniaco</c:v>
                </c:pt>
                <c:pt idx="5">
                  <c:v>Piso resbaloso</c:v>
                </c:pt>
                <c:pt idx="6">
                  <c:v>Filos</c:v>
                </c:pt>
                <c:pt idx="7">
                  <c:v>Superficies calientes</c:v>
                </c:pt>
                <c:pt idx="8">
                  <c:v>Engranes expuestos</c:v>
                </c:pt>
              </c:strCache>
            </c:strRef>
          </c:cat>
          <c:val>
            <c:numRef>
              <c:f>'Peligros Identificados'!$B$2:$B$11</c:f>
              <c:numCache>
                <c:formatCode>General</c:formatCode>
                <c:ptCount val="9"/>
                <c:pt idx="1">
                  <c:v>14</c:v>
                </c:pt>
                <c:pt idx="2">
                  <c:v>12</c:v>
                </c:pt>
                <c:pt idx="3">
                  <c:v>13</c:v>
                </c:pt>
                <c:pt idx="4">
                  <c:v>13</c:v>
                </c:pt>
                <c:pt idx="5">
                  <c:v>13</c:v>
                </c:pt>
                <c:pt idx="6">
                  <c:v>13</c:v>
                </c:pt>
                <c:pt idx="7">
                  <c:v>9</c:v>
                </c:pt>
                <c:pt idx="8">
                  <c:v>1</c:v>
                </c:pt>
              </c:numCache>
            </c:numRef>
          </c:val>
          <c:extLst>
            <c:ext xmlns:c16="http://schemas.microsoft.com/office/drawing/2014/chart" uri="{C3380CC4-5D6E-409C-BE32-E72D297353CC}">
              <c16:uniqueId val="{00000002-30F8-45BF-9B7B-23686D1BE1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HRN-FOMATO NUEVO 2025.xlsx]Grafica Área!PivotTable4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Área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MX"/>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 Área'!$B$2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'Grafica Área'!$A$3:$A$41</c:f>
              <c:strCache>
                <c:ptCount val="38"/>
                <c:pt idx="0">
                  <c:v>(blank)</c:v>
                </c:pt>
                <c:pt idx="1">
                  <c:v>DESCONGELADO</c:v>
                </c:pt>
                <c:pt idx="2">
                  <c:v>SALMUERAS</c:v>
                </c:pt>
                <c:pt idx="3">
                  <c:v>INYECCIÓN</c:v>
                </c:pt>
                <c:pt idx="4">
                  <c:v>FORMULACION</c:v>
                </c:pt>
                <c:pt idx="5">
                  <c:v>MASAJEO</c:v>
                </c:pt>
                <c:pt idx="6">
                  <c:v>EMBUTIDO</c:v>
                </c:pt>
                <c:pt idx="7">
                  <c:v>COCIMIENTO Y ENFRIAMIENTO</c:v>
                </c:pt>
                <c:pt idx="8">
                  <c:v>DESCARGA DE PRODUCTO</c:v>
                </c:pt>
                <c:pt idx="9">
                  <c:v>EMPAQUE</c:v>
                </c:pt>
                <c:pt idx="10">
                  <c:v>REBANADOS</c:v>
                </c:pt>
                <c:pt idx="11">
                  <c:v>LAVADO DE CANASTILLAS</c:v>
                </c:pt>
                <c:pt idx="12">
                  <c:v>LAVADO DE PILAS</c:v>
                </c:pt>
                <c:pt idx="13">
                  <c:v>ALMACEN DE SECOS</c:v>
                </c:pt>
                <c:pt idx="14">
                  <c:v>ALMACEN DE CARNICOS</c:v>
                </c:pt>
                <c:pt idx="15">
                  <c:v>COMEDOR</c:v>
                </c:pt>
                <c:pt idx="16">
                  <c:v>OFICINAS ADMINISTRATIVAS</c:v>
                </c:pt>
                <c:pt idx="17">
                  <c:v>CAPITAL HUMANO</c:v>
                </c:pt>
                <c:pt idx="18">
                  <c:v>SERVICIOS</c:v>
                </c:pt>
                <c:pt idx="19">
                  <c:v>CUARTO DE MAQUINAS</c:v>
                </c:pt>
                <c:pt idx="20">
                  <c:v>PTAR</c:v>
                </c:pt>
                <c:pt idx="21">
                  <c:v>ÁREA DE RESIDUOS NO PELIGROSOS</c:v>
                </c:pt>
                <c:pt idx="22">
                  <c:v>RESIDUOS PELIGROSOS</c:v>
                </c:pt>
                <c:pt idx="23">
                  <c:v>SUBESTACION ELECTRICA</c:v>
                </c:pt>
                <c:pt idx="24">
                  <c:v>DECOMISO</c:v>
                </c:pt>
                <c:pt idx="25">
                  <c:v>ÁREA DE PRODUCTO TERMINADO</c:v>
                </c:pt>
                <c:pt idx="26">
                  <c:v>CEDI</c:v>
                </c:pt>
                <c:pt idx="27">
                  <c:v>CADI</c:v>
                </c:pt>
                <c:pt idx="28">
                  <c:v>COMERCIAL</c:v>
                </c:pt>
                <c:pt idx="29">
                  <c:v>DCV</c:v>
                </c:pt>
                <c:pt idx="30">
                  <c:v>CASETA DE VIGILANCIA</c:v>
                </c:pt>
                <c:pt idx="31">
                  <c:v>SALA DE CAPACITACION</c:v>
                </c:pt>
                <c:pt idx="32">
                  <c:v>SERVICIO MEDICO</c:v>
                </c:pt>
                <c:pt idx="33">
                  <c:v>ALMACEN DE REFACCIONES</c:v>
                </c:pt>
                <c:pt idx="34">
                  <c:v>CAMARAS DE ALMACENAMIENTO CARNICO</c:v>
                </c:pt>
                <c:pt idx="35">
                  <c:v>COCEDORES</c:v>
                </c:pt>
                <c:pt idx="36">
                  <c:v>BAÑOS</c:v>
                </c:pt>
                <c:pt idx="37">
                  <c:v>VESTIDORES</c:v>
                </c:pt>
              </c:strCache>
            </c:strRef>
          </c:cat>
          <c:val>
            <c:numRef>
              <c:f>'Grafica Área'!$B$3:$B$41</c:f>
              <c:numCache>
                <c:formatCode>General</c:formatCode>
                <c:ptCount val="38"/>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numCache>
            </c:numRef>
          </c:val>
          <c:extLst>
            <c:ext xmlns:c16="http://schemas.microsoft.com/office/drawing/2014/chart" uri="{C3380CC4-5D6E-409C-BE32-E72D297353CC}">
              <c16:uniqueId val="{00000000-BD95-4230-856C-E2B14E8CC3A1}"/>
            </c:ext>
          </c:extLst>
        </c:ser>
        <c:dLbls>
          <c:showLegendKey val="0"/>
          <c:showVal val="0"/>
          <c:showCatName val="0"/>
          <c:showSerName val="0"/>
          <c:showPercent val="0"/>
          <c:showBubbleSize val="0"/>
        </c:dLbls>
        <c:gapWidth val="115"/>
        <c:overlap val="-20"/>
        <c:axId val="750983696"/>
        <c:axId val="750984056"/>
      </c:barChart>
      <c:catAx>
        <c:axId val="750983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50984056"/>
        <c:crosses val="autoZero"/>
        <c:auto val="1"/>
        <c:lblAlgn val="ctr"/>
        <c:lblOffset val="100"/>
        <c:noMultiLvlLbl val="0"/>
      </c:catAx>
      <c:valAx>
        <c:axId val="750984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5098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MX"/>
              <a:t>Estándares Implementados en Gemba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MX"/>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45-4F9A-9AF9-677B267BB6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45-4F9A-9AF9-677B267BB6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1"/>
            <c:showBubbleSize val="0"/>
            <c:showLeaderLines val="0"/>
            <c:extLst>
              <c:ext xmlns:c15="http://schemas.microsoft.com/office/drawing/2012/chart" uri="{CE6537A1-D6FC-4f65-9D91-7224C49458BB}"/>
            </c:extLst>
          </c:dLbls>
          <c:cat>
            <c:strRef>
              <c:f>'Estandares Implementados'!$D$3:$E$3</c:f>
              <c:strCache>
                <c:ptCount val="2"/>
                <c:pt idx="0">
                  <c:v>SI</c:v>
                </c:pt>
                <c:pt idx="1">
                  <c:v>NO</c:v>
                </c:pt>
              </c:strCache>
            </c:strRef>
          </c:cat>
          <c:val>
            <c:numRef>
              <c:f>'Estandares Implementados'!$D$4:$E$4</c:f>
              <c:numCache>
                <c:formatCode>General</c:formatCode>
                <c:ptCount val="2"/>
                <c:pt idx="0">
                  <c:v>52</c:v>
                </c:pt>
                <c:pt idx="1">
                  <c:v>50</c:v>
                </c:pt>
              </c:numCache>
            </c:numRef>
          </c:val>
          <c:extLst>
            <c:ext xmlns:c16="http://schemas.microsoft.com/office/drawing/2014/chart" uri="{C3380CC4-5D6E-409C-BE32-E72D297353CC}">
              <c16:uniqueId val="{00000004-A245-4F9A-9AF9-677B267BB6F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HRN-FOMATO NUEVO 2025.xlsx]Graficas Nivel Riesgo y Estatus!PivotTable1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MX"/>
              <a:t>Nivel</a:t>
            </a:r>
            <a:r>
              <a:rPr lang="es-MX" baseline="0"/>
              <a:t> de Riesgo</a:t>
            </a:r>
            <a:endParaRPr lang="es-MX"/>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MX"/>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'Graficas Nivel Riesgo y Estatus'!$B$3:$B$4</c:f>
              <c:strCache>
                <c:ptCount val="1"/>
                <c:pt idx="0">
                  <c:v>Bajo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Estatus'!$B$5:$B$23</c:f>
              <c:numCache>
                <c:formatCode>General</c:formatCode>
                <c:ptCount val="18"/>
                <c:pt idx="5">
                  <c:v>1</c:v>
                </c:pt>
                <c:pt idx="6">
                  <c:v>2</c:v>
                </c:pt>
                <c:pt idx="7">
                  <c:v>1</c:v>
                </c:pt>
                <c:pt idx="10">
                  <c:v>2</c:v>
                </c:pt>
                <c:pt idx="13">
                  <c:v>1</c:v>
                </c:pt>
                <c:pt idx="15">
                  <c:v>2</c:v>
                </c:pt>
                <c:pt idx="16">
                  <c:v>1</c:v>
                </c:pt>
              </c:numCache>
            </c:numRef>
          </c:val>
          <c:extLst>
            <c:ext xmlns:c16="http://schemas.microsoft.com/office/drawing/2014/chart" uri="{C3380CC4-5D6E-409C-BE32-E72D297353CC}">
              <c16:uniqueId val="{00000000-BAFB-4116-84A1-554413463B81}"/>
            </c:ext>
          </c:extLst>
        </c:ser>
        <c:ser>
          <c:idx val="1"/>
          <c:order val="1"/>
          <c:tx>
            <c:strRef>
              <c:f>'Graficas Nivel Riesgo y Estatus'!$C$3:$C$4</c:f>
              <c:strCache>
                <c:ptCount val="1"/>
                <c:pt idx="0">
                  <c:v>Insignificante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Estatus'!$C$5:$C$23</c:f>
              <c:numCache>
                <c:formatCode>General</c:formatCode>
                <c:ptCount val="18"/>
                <c:pt idx="0">
                  <c:v>3</c:v>
                </c:pt>
                <c:pt idx="1">
                  <c:v>3</c:v>
                </c:pt>
                <c:pt idx="2">
                  <c:v>2</c:v>
                </c:pt>
                <c:pt idx="3">
                  <c:v>5</c:v>
                </c:pt>
                <c:pt idx="4">
                  <c:v>5</c:v>
                </c:pt>
                <c:pt idx="5">
                  <c:v>3</c:v>
                </c:pt>
                <c:pt idx="6">
                  <c:v>2</c:v>
                </c:pt>
                <c:pt idx="7">
                  <c:v>2</c:v>
                </c:pt>
                <c:pt idx="8">
                  <c:v>3</c:v>
                </c:pt>
                <c:pt idx="9">
                  <c:v>2</c:v>
                </c:pt>
                <c:pt idx="10">
                  <c:v>2</c:v>
                </c:pt>
                <c:pt idx="11">
                  <c:v>3</c:v>
                </c:pt>
                <c:pt idx="12">
                  <c:v>2</c:v>
                </c:pt>
                <c:pt idx="13">
                  <c:v>4</c:v>
                </c:pt>
                <c:pt idx="14">
                  <c:v>2</c:v>
                </c:pt>
                <c:pt idx="15">
                  <c:v>2</c:v>
                </c:pt>
                <c:pt idx="16">
                  <c:v>4</c:v>
                </c:pt>
              </c:numCache>
            </c:numRef>
          </c:val>
          <c:extLst>
            <c:ext xmlns:c16="http://schemas.microsoft.com/office/drawing/2014/chart" uri="{C3380CC4-5D6E-409C-BE32-E72D297353CC}">
              <c16:uniqueId val="{00000001-BAFB-4116-84A1-554413463B81}"/>
            </c:ext>
          </c:extLst>
        </c:ser>
        <c:ser>
          <c:idx val="2"/>
          <c:order val="2"/>
          <c:tx>
            <c:strRef>
              <c:f>'Graficas Nivel Riesgo y Estatus'!$D$3:$D$4</c:f>
              <c:strCache>
                <c:ptCount val="1"/>
                <c:pt idx="0">
                  <c:v>Medio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Estatus'!$D$5:$D$23</c:f>
              <c:numCache>
                <c:formatCode>General</c:formatCode>
                <c:ptCount val="18"/>
                <c:pt idx="0">
                  <c:v>2</c:v>
                </c:pt>
                <c:pt idx="2">
                  <c:v>1</c:v>
                </c:pt>
                <c:pt idx="7">
                  <c:v>1</c:v>
                </c:pt>
                <c:pt idx="8">
                  <c:v>2</c:v>
                </c:pt>
                <c:pt idx="9">
                  <c:v>1</c:v>
                </c:pt>
                <c:pt idx="14">
                  <c:v>3</c:v>
                </c:pt>
                <c:pt idx="15">
                  <c:v>1</c:v>
                </c:pt>
              </c:numCache>
            </c:numRef>
          </c:val>
          <c:extLst>
            <c:ext xmlns:c16="http://schemas.microsoft.com/office/drawing/2014/chart" uri="{C3380CC4-5D6E-409C-BE32-E72D297353CC}">
              <c16:uniqueId val="{00000002-BAFB-4116-84A1-554413463B81}"/>
            </c:ext>
          </c:extLst>
        </c:ser>
        <c:ser>
          <c:idx val="3"/>
          <c:order val="3"/>
          <c:tx>
            <c:strRef>
              <c:f>'Graficas Nivel Riesgo y Estatus'!$E$3:$E$4</c:f>
              <c:strCache>
                <c:ptCount val="1"/>
                <c:pt idx="0">
                  <c:v>Muy Bajo</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Estatus'!$E$5:$E$23</c:f>
              <c:numCache>
                <c:formatCode>General</c:formatCode>
                <c:ptCount val="18"/>
                <c:pt idx="1">
                  <c:v>1</c:v>
                </c:pt>
                <c:pt idx="2">
                  <c:v>2</c:v>
                </c:pt>
                <c:pt idx="5">
                  <c:v>1</c:v>
                </c:pt>
                <c:pt idx="6">
                  <c:v>1</c:v>
                </c:pt>
                <c:pt idx="7">
                  <c:v>1</c:v>
                </c:pt>
                <c:pt idx="9">
                  <c:v>2</c:v>
                </c:pt>
                <c:pt idx="10">
                  <c:v>1</c:v>
                </c:pt>
                <c:pt idx="11">
                  <c:v>2</c:v>
                </c:pt>
                <c:pt idx="12">
                  <c:v>2</c:v>
                </c:pt>
                <c:pt idx="16">
                  <c:v>1</c:v>
                </c:pt>
              </c:numCache>
            </c:numRef>
          </c:val>
          <c:extLst>
            <c:ext xmlns:c16="http://schemas.microsoft.com/office/drawing/2014/chart" uri="{C3380CC4-5D6E-409C-BE32-E72D297353CC}">
              <c16:uniqueId val="{00000000-A26C-48E3-B881-68E0A1F6C6AD}"/>
            </c:ext>
          </c:extLst>
        </c:ser>
        <c:ser>
          <c:idx val="4"/>
          <c:order val="4"/>
          <c:tx>
            <c:strRef>
              <c:f>'Graficas Nivel Riesgo y Estatus'!$F$3:$F$4</c:f>
              <c:strCache>
                <c:ptCount val="1"/>
                <c:pt idx="0">
                  <c:v>#N/A</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Estatus'!$F$5:$F$23</c:f>
              <c:numCache>
                <c:formatCode>General</c:formatCode>
                <c:ptCount val="18"/>
                <c:pt idx="1">
                  <c:v>1</c:v>
                </c:pt>
                <c:pt idx="4">
                  <c:v>1</c:v>
                </c:pt>
                <c:pt idx="12">
                  <c:v>1</c:v>
                </c:pt>
                <c:pt idx="16">
                  <c:v>1</c:v>
                </c:pt>
              </c:numCache>
            </c:numRef>
          </c:val>
          <c:extLst>
            <c:ext xmlns:c16="http://schemas.microsoft.com/office/drawing/2014/chart" uri="{C3380CC4-5D6E-409C-BE32-E72D297353CC}">
              <c16:uniqueId val="{00000001-A26C-48E3-B881-68E0A1F6C6AD}"/>
            </c:ext>
          </c:extLst>
        </c:ser>
        <c:ser>
          <c:idx val="5"/>
          <c:order val="5"/>
          <c:tx>
            <c:strRef>
              <c:f>'Graficas Nivel Riesgo y Estatus'!$G$3:$G$4</c:f>
              <c:strCache>
                <c:ptCount val="1"/>
                <c:pt idx="0">
                  <c:v>(blank)</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Estatus'!$G$5:$G$23</c:f>
              <c:numCache>
                <c:formatCode>General</c:formatCode>
                <c:ptCount val="18"/>
              </c:numCache>
            </c:numRef>
          </c:val>
          <c:extLst>
            <c:ext xmlns:c16="http://schemas.microsoft.com/office/drawing/2014/chart" uri="{C3380CC4-5D6E-409C-BE32-E72D297353CC}">
              <c16:uniqueId val="{00000002-A26C-48E3-B881-68E0A1F6C6AD}"/>
            </c:ext>
          </c:extLst>
        </c:ser>
        <c:dLbls>
          <c:showLegendKey val="0"/>
          <c:showVal val="0"/>
          <c:showCatName val="0"/>
          <c:showSerName val="0"/>
          <c:showPercent val="0"/>
          <c:showBubbleSize val="0"/>
        </c:dLbls>
        <c:gapWidth val="150"/>
        <c:overlap val="100"/>
        <c:axId val="690924344"/>
        <c:axId val="690923264"/>
      </c:barChart>
      <c:catAx>
        <c:axId val="690924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90923264"/>
        <c:crosses val="autoZero"/>
        <c:auto val="1"/>
        <c:lblAlgn val="ctr"/>
        <c:lblOffset val="100"/>
        <c:noMultiLvlLbl val="0"/>
      </c:catAx>
      <c:valAx>
        <c:axId val="69092326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90924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MX"/>
              <a:t>Estándares Implementados en Gemba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MX"/>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AB2-48B5-AEE8-F412AC89461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B2-48B5-AEE8-F412AC8946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1"/>
            <c:showBubbleSize val="0"/>
            <c:showLeaderLines val="0"/>
            <c:extLst>
              <c:ext xmlns:c15="http://schemas.microsoft.com/office/drawing/2012/chart" uri="{CE6537A1-D6FC-4f65-9D91-7224C49458BB}"/>
            </c:extLst>
          </c:dLbls>
          <c:cat>
            <c:strRef>
              <c:f>'Estandares Implementados'!$D$3:$E$3</c:f>
              <c:strCache>
                <c:ptCount val="2"/>
                <c:pt idx="0">
                  <c:v>SI</c:v>
                </c:pt>
                <c:pt idx="1">
                  <c:v>NO</c:v>
                </c:pt>
              </c:strCache>
            </c:strRef>
          </c:cat>
          <c:val>
            <c:numRef>
              <c:f>'Estandares Implementados'!$D$4:$E$4</c:f>
              <c:numCache>
                <c:formatCode>General</c:formatCode>
                <c:ptCount val="2"/>
                <c:pt idx="0">
                  <c:v>52</c:v>
                </c:pt>
                <c:pt idx="1">
                  <c:v>50</c:v>
                </c:pt>
              </c:numCache>
            </c:numRef>
          </c:val>
          <c:extLst>
            <c:ext xmlns:c16="http://schemas.microsoft.com/office/drawing/2014/chart" uri="{C3380CC4-5D6E-409C-BE32-E72D297353CC}">
              <c16:uniqueId val="{00000000-0E05-4C37-AE59-232164F213DC}"/>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HRN-FOMATO NUEVO 2025.xlsx]Peligros Identificados!PivotTable5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Peligros Identificados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'Peligros Identificados'!$B$1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2F0-4764-A30A-A3FFE6ABB245}"/>
              </c:ext>
            </c:extLst>
          </c:dPt>
          <c:dPt>
            <c:idx val="1"/>
            <c:bubble3D val="0"/>
            <c:spPr>
              <a:solidFill>
                <a:schemeClr val="accent2"/>
              </a:solidFill>
              <a:ln>
                <a:noFill/>
              </a:ln>
              <a:effectLst/>
            </c:spPr>
            <c:extLst>
              <c:ext xmlns:c16="http://schemas.microsoft.com/office/drawing/2014/chart" uri="{C3380CC4-5D6E-409C-BE32-E72D297353CC}">
                <c16:uniqueId val="{00000003-E2F0-4764-A30A-A3FFE6ABB245}"/>
              </c:ext>
            </c:extLst>
          </c:dPt>
          <c:dPt>
            <c:idx val="2"/>
            <c:bubble3D val="0"/>
            <c:spPr>
              <a:solidFill>
                <a:schemeClr val="accent3"/>
              </a:solidFill>
              <a:ln>
                <a:noFill/>
              </a:ln>
              <a:effectLst/>
            </c:spPr>
            <c:extLst>
              <c:ext xmlns:c16="http://schemas.microsoft.com/office/drawing/2014/chart" uri="{C3380CC4-5D6E-409C-BE32-E72D297353CC}">
                <c16:uniqueId val="{00000005-E2F0-4764-A30A-A3FFE6ABB245}"/>
              </c:ext>
            </c:extLst>
          </c:dPt>
          <c:dPt>
            <c:idx val="3"/>
            <c:bubble3D val="0"/>
            <c:spPr>
              <a:solidFill>
                <a:schemeClr val="accent4"/>
              </a:solidFill>
              <a:ln>
                <a:noFill/>
              </a:ln>
              <a:effectLst/>
            </c:spPr>
            <c:extLst>
              <c:ext xmlns:c16="http://schemas.microsoft.com/office/drawing/2014/chart" uri="{C3380CC4-5D6E-409C-BE32-E72D297353CC}">
                <c16:uniqueId val="{00000007-E2F0-4764-A30A-A3FFE6ABB245}"/>
              </c:ext>
            </c:extLst>
          </c:dPt>
          <c:dPt>
            <c:idx val="4"/>
            <c:bubble3D val="0"/>
            <c:spPr>
              <a:solidFill>
                <a:schemeClr val="accent5"/>
              </a:solidFill>
              <a:ln>
                <a:noFill/>
              </a:ln>
              <a:effectLst/>
            </c:spPr>
            <c:extLst>
              <c:ext xmlns:c16="http://schemas.microsoft.com/office/drawing/2014/chart" uri="{C3380CC4-5D6E-409C-BE32-E72D297353CC}">
                <c16:uniqueId val="{00000009-E2F0-4764-A30A-A3FFE6ABB245}"/>
              </c:ext>
            </c:extLst>
          </c:dPt>
          <c:dPt>
            <c:idx val="5"/>
            <c:bubble3D val="0"/>
            <c:spPr>
              <a:solidFill>
                <a:schemeClr val="accent6"/>
              </a:solidFill>
              <a:ln>
                <a:noFill/>
              </a:ln>
              <a:effectLst/>
            </c:spPr>
            <c:extLst>
              <c:ext xmlns:c16="http://schemas.microsoft.com/office/drawing/2014/chart" uri="{C3380CC4-5D6E-409C-BE32-E72D297353CC}">
                <c16:uniqueId val="{0000000B-E2F0-4764-A30A-A3FFE6ABB24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2F0-4764-A30A-A3FFE6ABB24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E2F0-4764-A30A-A3FFE6ABB24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E2F0-4764-A30A-A3FFE6ABB2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'Peligros Identificados'!$A$2:$A$11</c:f>
              <c:strCache>
                <c:ptCount val="9"/>
                <c:pt idx="0">
                  <c:v>(blank)</c:v>
                </c:pt>
                <c:pt idx="1">
                  <c:v>Caída al mismo nivel</c:v>
                </c:pt>
                <c:pt idx="2">
                  <c:v>Partes en movimiento</c:v>
                </c:pt>
                <c:pt idx="3">
                  <c:v>Electricidad</c:v>
                </c:pt>
                <c:pt idx="4">
                  <c:v>Amoniaco</c:v>
                </c:pt>
                <c:pt idx="5">
                  <c:v>Piso resbaloso</c:v>
                </c:pt>
                <c:pt idx="6">
                  <c:v>Filos</c:v>
                </c:pt>
                <c:pt idx="7">
                  <c:v>Superficies calientes</c:v>
                </c:pt>
                <c:pt idx="8">
                  <c:v>Engranes expuestos</c:v>
                </c:pt>
              </c:strCache>
            </c:strRef>
          </c:cat>
          <c:val>
            <c:numRef>
              <c:f>'Peligros Identificados'!$B$2:$B$11</c:f>
              <c:numCache>
                <c:formatCode>General</c:formatCode>
                <c:ptCount val="9"/>
                <c:pt idx="1">
                  <c:v>14</c:v>
                </c:pt>
                <c:pt idx="2">
                  <c:v>12</c:v>
                </c:pt>
                <c:pt idx="3">
                  <c:v>13</c:v>
                </c:pt>
                <c:pt idx="4">
                  <c:v>13</c:v>
                </c:pt>
                <c:pt idx="5">
                  <c:v>13</c:v>
                </c:pt>
                <c:pt idx="6">
                  <c:v>13</c:v>
                </c:pt>
                <c:pt idx="7">
                  <c:v>9</c:v>
                </c:pt>
                <c:pt idx="8">
                  <c:v>1</c:v>
                </c:pt>
              </c:numCache>
            </c:numRef>
          </c:val>
          <c:extLst>
            <c:ext xmlns:c16="http://schemas.microsoft.com/office/drawing/2014/chart" uri="{C3380CC4-5D6E-409C-BE32-E72D297353CC}">
              <c16:uniqueId val="{00000000-D99D-41B3-AEF9-2A8CC14F43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HRN-FOMATO NUEVO 2025.xlsx]Grafica Área!PivotTable4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Área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MX"/>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'Grafica Área'!$B$2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'Grafica Área'!$A$3:$A$41</c:f>
              <c:strCache>
                <c:ptCount val="38"/>
                <c:pt idx="0">
                  <c:v>(blank)</c:v>
                </c:pt>
                <c:pt idx="1">
                  <c:v>DESCONGELADO</c:v>
                </c:pt>
                <c:pt idx="2">
                  <c:v>SALMUERAS</c:v>
                </c:pt>
                <c:pt idx="3">
                  <c:v>INYECCIÓN</c:v>
                </c:pt>
                <c:pt idx="4">
                  <c:v>FORMULACION</c:v>
                </c:pt>
                <c:pt idx="5">
                  <c:v>MASAJEO</c:v>
                </c:pt>
                <c:pt idx="6">
                  <c:v>EMBUTIDO</c:v>
                </c:pt>
                <c:pt idx="7">
                  <c:v>COCIMIENTO Y ENFRIAMIENTO</c:v>
                </c:pt>
                <c:pt idx="8">
                  <c:v>DESCARGA DE PRODUCTO</c:v>
                </c:pt>
                <c:pt idx="9">
                  <c:v>EMPAQUE</c:v>
                </c:pt>
                <c:pt idx="10">
                  <c:v>REBANADOS</c:v>
                </c:pt>
                <c:pt idx="11">
                  <c:v>LAVADO DE CANASTILLAS</c:v>
                </c:pt>
                <c:pt idx="12">
                  <c:v>LAVADO DE PILAS</c:v>
                </c:pt>
                <c:pt idx="13">
                  <c:v>ALMACEN DE SECOS</c:v>
                </c:pt>
                <c:pt idx="14">
                  <c:v>ALMACEN DE CARNICOS</c:v>
                </c:pt>
                <c:pt idx="15">
                  <c:v>COMEDOR</c:v>
                </c:pt>
                <c:pt idx="16">
                  <c:v>OFICINAS ADMINISTRATIVAS</c:v>
                </c:pt>
                <c:pt idx="17">
                  <c:v>CAPITAL HUMANO</c:v>
                </c:pt>
                <c:pt idx="18">
                  <c:v>SERVICIOS</c:v>
                </c:pt>
                <c:pt idx="19">
                  <c:v>CUARTO DE MAQUINAS</c:v>
                </c:pt>
                <c:pt idx="20">
                  <c:v>PTAR</c:v>
                </c:pt>
                <c:pt idx="21">
                  <c:v>ÁREA DE RESIDUOS NO PELIGROSOS</c:v>
                </c:pt>
                <c:pt idx="22">
                  <c:v>RESIDUOS PELIGROSOS</c:v>
                </c:pt>
                <c:pt idx="23">
                  <c:v>SUBESTACION ELECTRICA</c:v>
                </c:pt>
                <c:pt idx="24">
                  <c:v>DECOMISO</c:v>
                </c:pt>
                <c:pt idx="25">
                  <c:v>ÁREA DE PRODUCTO TERMINADO</c:v>
                </c:pt>
                <c:pt idx="26">
                  <c:v>CEDI</c:v>
                </c:pt>
                <c:pt idx="27">
                  <c:v>CADI</c:v>
                </c:pt>
                <c:pt idx="28">
                  <c:v>COMERCIAL</c:v>
                </c:pt>
                <c:pt idx="29">
                  <c:v>DCV</c:v>
                </c:pt>
                <c:pt idx="30">
                  <c:v>CASETA DE VIGILANCIA</c:v>
                </c:pt>
                <c:pt idx="31">
                  <c:v>SALA DE CAPACITACION</c:v>
                </c:pt>
                <c:pt idx="32">
                  <c:v>SERVICIO MEDICO</c:v>
                </c:pt>
                <c:pt idx="33">
                  <c:v>ALMACEN DE REFACCIONES</c:v>
                </c:pt>
                <c:pt idx="34">
                  <c:v>CAMARAS DE ALMACENAMIENTO CARNICO</c:v>
                </c:pt>
                <c:pt idx="35">
                  <c:v>COCEDORES</c:v>
                </c:pt>
                <c:pt idx="36">
                  <c:v>BAÑOS</c:v>
                </c:pt>
                <c:pt idx="37">
                  <c:v>VESTIDORES</c:v>
                </c:pt>
              </c:strCache>
            </c:strRef>
          </c:cat>
          <c:val>
            <c:numRef>
              <c:f>'Grafica Área'!$B$3:$B$41</c:f>
              <c:numCache>
                <c:formatCode>General</c:formatCode>
                <c:ptCount val="38"/>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numCache>
            </c:numRef>
          </c:val>
          <c:extLst>
            <c:ext xmlns:c16="http://schemas.microsoft.com/office/drawing/2014/chart" uri="{C3380CC4-5D6E-409C-BE32-E72D297353CC}">
              <c16:uniqueId val="{00000000-DD38-426F-AC55-AD5D0CC248D4}"/>
            </c:ext>
          </c:extLst>
        </c:ser>
        <c:dLbls>
          <c:showLegendKey val="0"/>
          <c:showVal val="0"/>
          <c:showCatName val="0"/>
          <c:showSerName val="0"/>
          <c:showPercent val="0"/>
          <c:showBubbleSize val="0"/>
        </c:dLbls>
        <c:gapWidth val="115"/>
        <c:overlap val="-20"/>
        <c:axId val="750983696"/>
        <c:axId val="750984056"/>
      </c:barChart>
      <c:catAx>
        <c:axId val="750983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50984056"/>
        <c:crosses val="autoZero"/>
        <c:auto val="1"/>
        <c:lblAlgn val="ctr"/>
        <c:lblOffset val="100"/>
        <c:noMultiLvlLbl val="0"/>
      </c:catAx>
      <c:valAx>
        <c:axId val="750984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5098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HRN-FOMATO NUEVO 2025.xlsx]Graficas Nivel Riesgo y Estatus!PivotTable2</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'Graficas Nivel Riesgo y Estatus'!$B$32:$B$33</c:f>
              <c:strCache>
                <c:ptCount val="1"/>
                <c:pt idx="0">
                  <c:v>(blank)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'Graficas Nivel Riesgo y Estatus'!$A$34:$A$52</c:f>
              <c:strCache>
                <c:ptCount val="18"/>
                <c:pt idx="0">
                  <c:v>Atitalaquia</c:v>
                </c:pt>
                <c:pt idx="1">
                  <c:v>Chihuahua</c:v>
                </c:pt>
                <c:pt idx="2">
                  <c:v>Eugenia</c:v>
                </c:pt>
                <c:pt idx="3">
                  <c:v>Guadalajara</c:v>
                </c:pt>
                <c:pt idx="4">
                  <c:v>Linares</c:v>
                </c:pt>
                <c:pt idx="5">
                  <c:v>Molino</c:v>
                </c:pt>
                <c:pt idx="6">
                  <c:v>Noreste</c:v>
                </c:pt>
                <c:pt idx="7">
                  <c:v>Sabinas</c:v>
                </c:pt>
                <c:pt idx="8">
                  <c:v>Tangamanga</c:v>
                </c:pt>
                <c:pt idx="9">
                  <c:v>Xalostoc</c:v>
                </c:pt>
                <c:pt idx="10">
                  <c:v>(blank)</c:v>
                </c:pt>
                <c:pt idx="11">
                  <c:v>Pizzas</c:v>
                </c:pt>
                <c:pt idx="12">
                  <c:v>Supremo</c:v>
                </c:pt>
                <c:pt idx="13">
                  <c:v>Saltillo</c:v>
                </c:pt>
                <c:pt idx="14">
                  <c:v>Celaya</c:v>
                </c:pt>
                <c:pt idx="15">
                  <c:v>Pénjamo</c:v>
                </c:pt>
                <c:pt idx="16">
                  <c:v>Lagos de Moreno Quesos</c:v>
                </c:pt>
                <c:pt idx="17">
                  <c:v>Lagos de Moreno Yogurt</c:v>
                </c:pt>
              </c:strCache>
            </c:strRef>
          </c:cat>
          <c:val>
            <c:numRef>
              <c:f>'Graficas Nivel Riesgo y Estatus'!$B$34:$B$52</c:f>
              <c:numCache>
                <c:formatCode>General</c:formatCode>
                <c:ptCount val="18"/>
              </c:numCache>
            </c:numRef>
          </c:val>
          <c:extLst>
            <c:ext xmlns:c16="http://schemas.microsoft.com/office/drawing/2014/chart" uri="{C3380CC4-5D6E-409C-BE32-E72D297353CC}">
              <c16:uniqueId val="{00000000-812F-4910-AB81-0B62AB835A30}"/>
            </c:ext>
          </c:extLst>
        </c:ser>
        <c:ser>
          <c:idx val="1"/>
          <c:order val="1"/>
          <c:tx>
            <c:strRef>
              <c:f>'Graficas Nivel Riesgo y Estatus'!$C$32:$C$33</c:f>
              <c:strCache>
                <c:ptCount val="1"/>
                <c:pt idx="0">
                  <c:v>Abierto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'Graficas Nivel Riesgo y Estatus'!$A$34:$A$52</c:f>
              <c:strCache>
                <c:ptCount val="18"/>
                <c:pt idx="0">
                  <c:v>Atitalaquia</c:v>
                </c:pt>
                <c:pt idx="1">
                  <c:v>Chihuahua</c:v>
                </c:pt>
                <c:pt idx="2">
                  <c:v>Eugenia</c:v>
                </c:pt>
                <c:pt idx="3">
                  <c:v>Guadalajara</c:v>
                </c:pt>
                <c:pt idx="4">
                  <c:v>Linares</c:v>
                </c:pt>
                <c:pt idx="5">
                  <c:v>Molino</c:v>
                </c:pt>
                <c:pt idx="6">
                  <c:v>Noreste</c:v>
                </c:pt>
                <c:pt idx="7">
                  <c:v>Sabinas</c:v>
                </c:pt>
                <c:pt idx="8">
                  <c:v>Tangamanga</c:v>
                </c:pt>
                <c:pt idx="9">
                  <c:v>Xalostoc</c:v>
                </c:pt>
                <c:pt idx="10">
                  <c:v>(blank)</c:v>
                </c:pt>
                <c:pt idx="11">
                  <c:v>Pizzas</c:v>
                </c:pt>
                <c:pt idx="12">
                  <c:v>Supremo</c:v>
                </c:pt>
                <c:pt idx="13">
                  <c:v>Saltillo</c:v>
                </c:pt>
                <c:pt idx="14">
                  <c:v>Celaya</c:v>
                </c:pt>
                <c:pt idx="15">
                  <c:v>Pénjamo</c:v>
                </c:pt>
                <c:pt idx="16">
                  <c:v>Lagos de Moreno Quesos</c:v>
                </c:pt>
                <c:pt idx="17">
                  <c:v>Lagos de Moreno Yogurt</c:v>
                </c:pt>
              </c:strCache>
            </c:strRef>
          </c:cat>
          <c:val>
            <c:numRef>
              <c:f>'Graficas Nivel Riesgo y Estatus'!$C$34:$C$52</c:f>
              <c:numCache>
                <c:formatCode>General</c:formatCode>
                <c:ptCount val="18"/>
                <c:pt idx="0">
                  <c:v>3</c:v>
                </c:pt>
                <c:pt idx="1">
                  <c:v>3</c:v>
                </c:pt>
                <c:pt idx="2">
                  <c:v>2</c:v>
                </c:pt>
                <c:pt idx="3">
                  <c:v>3</c:v>
                </c:pt>
                <c:pt idx="4">
                  <c:v>3</c:v>
                </c:pt>
                <c:pt idx="5">
                  <c:v>2</c:v>
                </c:pt>
                <c:pt idx="6">
                  <c:v>2</c:v>
                </c:pt>
                <c:pt idx="7">
                  <c:v>3</c:v>
                </c:pt>
                <c:pt idx="8">
                  <c:v>2</c:v>
                </c:pt>
                <c:pt idx="9">
                  <c:v>4</c:v>
                </c:pt>
                <c:pt idx="11">
                  <c:v>2</c:v>
                </c:pt>
                <c:pt idx="12">
                  <c:v>3</c:v>
                </c:pt>
                <c:pt idx="13">
                  <c:v>3</c:v>
                </c:pt>
                <c:pt idx="14">
                  <c:v>2</c:v>
                </c:pt>
                <c:pt idx="15">
                  <c:v>2</c:v>
                </c:pt>
                <c:pt idx="16">
                  <c:v>3</c:v>
                </c:pt>
                <c:pt idx="17">
                  <c:v>2</c:v>
                </c:pt>
              </c:numCache>
            </c:numRef>
          </c:val>
          <c:extLst>
            <c:ext xmlns:c16="http://schemas.microsoft.com/office/drawing/2014/chart" uri="{C3380CC4-5D6E-409C-BE32-E72D297353CC}">
              <c16:uniqueId val="{00000005-812F-4910-AB81-0B62AB835A30}"/>
            </c:ext>
          </c:extLst>
        </c:ser>
        <c:ser>
          <c:idx val="2"/>
          <c:order val="2"/>
          <c:tx>
            <c:strRef>
              <c:f>'Graficas Nivel Riesgo y Estatus'!$D$32:$D$33</c:f>
              <c:strCache>
                <c:ptCount val="1"/>
                <c:pt idx="0">
                  <c:v>Cerrado</c:v>
                </c:pt>
              </c:strCache>
            </c:strRef>
          </c:tx>
          <c:spPr>
            <a:solidFill>
              <a:srgbClr val="92D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Estatus'!$A$34:$A$52</c:f>
              <c:strCache>
                <c:ptCount val="18"/>
                <c:pt idx="0">
                  <c:v>Atitalaquia</c:v>
                </c:pt>
                <c:pt idx="1">
                  <c:v>Chihuahua</c:v>
                </c:pt>
                <c:pt idx="2">
                  <c:v>Eugenia</c:v>
                </c:pt>
                <c:pt idx="3">
                  <c:v>Guadalajara</c:v>
                </c:pt>
                <c:pt idx="4">
                  <c:v>Linares</c:v>
                </c:pt>
                <c:pt idx="5">
                  <c:v>Molino</c:v>
                </c:pt>
                <c:pt idx="6">
                  <c:v>Noreste</c:v>
                </c:pt>
                <c:pt idx="7">
                  <c:v>Sabinas</c:v>
                </c:pt>
                <c:pt idx="8">
                  <c:v>Tangamanga</c:v>
                </c:pt>
                <c:pt idx="9">
                  <c:v>Xalostoc</c:v>
                </c:pt>
                <c:pt idx="10">
                  <c:v>(blank)</c:v>
                </c:pt>
                <c:pt idx="11">
                  <c:v>Pizzas</c:v>
                </c:pt>
                <c:pt idx="12">
                  <c:v>Supremo</c:v>
                </c:pt>
                <c:pt idx="13">
                  <c:v>Saltillo</c:v>
                </c:pt>
                <c:pt idx="14">
                  <c:v>Celaya</c:v>
                </c:pt>
                <c:pt idx="15">
                  <c:v>Pénjamo</c:v>
                </c:pt>
                <c:pt idx="16">
                  <c:v>Lagos de Moreno Quesos</c:v>
                </c:pt>
                <c:pt idx="17">
                  <c:v>Lagos de Moreno Yogurt</c:v>
                </c:pt>
              </c:strCache>
            </c:strRef>
          </c:cat>
          <c:val>
            <c:numRef>
              <c:f>'Graficas Nivel Riesgo y Estatus'!$D$34:$D$52</c:f>
              <c:numCache>
                <c:formatCode>General</c:formatCode>
                <c:ptCount val="18"/>
                <c:pt idx="0">
                  <c:v>2</c:v>
                </c:pt>
                <c:pt idx="1">
                  <c:v>2</c:v>
                </c:pt>
                <c:pt idx="2">
                  <c:v>3</c:v>
                </c:pt>
                <c:pt idx="3">
                  <c:v>3</c:v>
                </c:pt>
                <c:pt idx="4">
                  <c:v>2</c:v>
                </c:pt>
                <c:pt idx="5">
                  <c:v>3</c:v>
                </c:pt>
                <c:pt idx="6">
                  <c:v>3</c:v>
                </c:pt>
                <c:pt idx="7">
                  <c:v>2</c:v>
                </c:pt>
                <c:pt idx="8">
                  <c:v>3</c:v>
                </c:pt>
                <c:pt idx="9">
                  <c:v>3</c:v>
                </c:pt>
                <c:pt idx="11">
                  <c:v>3</c:v>
                </c:pt>
                <c:pt idx="12">
                  <c:v>2</c:v>
                </c:pt>
                <c:pt idx="13">
                  <c:v>2</c:v>
                </c:pt>
                <c:pt idx="14">
                  <c:v>3</c:v>
                </c:pt>
                <c:pt idx="15">
                  <c:v>3</c:v>
                </c:pt>
                <c:pt idx="16">
                  <c:v>2</c:v>
                </c:pt>
                <c:pt idx="17">
                  <c:v>3</c:v>
                </c:pt>
              </c:numCache>
            </c:numRef>
          </c:val>
          <c:extLst>
            <c:ext xmlns:c16="http://schemas.microsoft.com/office/drawing/2014/chart" uri="{C3380CC4-5D6E-409C-BE32-E72D297353CC}">
              <c16:uniqueId val="{00000001-B603-4409-9D6F-19B5AD411914}"/>
            </c:ext>
          </c:extLst>
        </c:ser>
        <c:dLbls>
          <c:showLegendKey val="0"/>
          <c:showVal val="0"/>
          <c:showCatName val="0"/>
          <c:showSerName val="0"/>
          <c:showPercent val="0"/>
          <c:showBubbleSize val="0"/>
        </c:dLbls>
        <c:gapWidth val="150"/>
        <c:overlap val="100"/>
        <c:axId val="676387776"/>
        <c:axId val="425846784"/>
      </c:barChart>
      <c:catAx>
        <c:axId val="676387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25846784"/>
        <c:crosses val="autoZero"/>
        <c:auto val="1"/>
        <c:lblAlgn val="ctr"/>
        <c:lblOffset val="100"/>
        <c:noMultiLvlLbl val="0"/>
      </c:catAx>
      <c:valAx>
        <c:axId val="42584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7638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HRN-FOMATO NUEVO 2025.xlsx]Graficas Nivel Riesgo y Estatus!PivotTable1</c:name>
    <c:fmtId val="0"/>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'Graficas Nivel Riesgo y Estatus'!$B$3:$B$4</c:f>
              <c:strCache>
                <c:ptCount val="1"/>
                <c:pt idx="0">
                  <c:v>Bajo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Estatus'!$B$5:$B$23</c:f>
              <c:numCache>
                <c:formatCode>General</c:formatCode>
                <c:ptCount val="18"/>
                <c:pt idx="5">
                  <c:v>1</c:v>
                </c:pt>
                <c:pt idx="6">
                  <c:v>2</c:v>
                </c:pt>
                <c:pt idx="7">
                  <c:v>1</c:v>
                </c:pt>
                <c:pt idx="10">
                  <c:v>2</c:v>
                </c:pt>
                <c:pt idx="13">
                  <c:v>1</c:v>
                </c:pt>
                <c:pt idx="15">
                  <c:v>2</c:v>
                </c:pt>
                <c:pt idx="16">
                  <c:v>1</c:v>
                </c:pt>
              </c:numCache>
            </c:numRef>
          </c:val>
          <c:extLst>
            <c:ext xmlns:c16="http://schemas.microsoft.com/office/drawing/2014/chart" uri="{C3380CC4-5D6E-409C-BE32-E72D297353CC}">
              <c16:uniqueId val="{00000000-B899-460A-A6A8-1C5059AE445E}"/>
            </c:ext>
          </c:extLst>
        </c:ser>
        <c:ser>
          <c:idx val="1"/>
          <c:order val="1"/>
          <c:tx>
            <c:strRef>
              <c:f>'Graficas Nivel Riesgo y Estatus'!$C$3:$C$4</c:f>
              <c:strCache>
                <c:ptCount val="1"/>
                <c:pt idx="0">
                  <c:v>Insignificante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Estatus'!$C$5:$C$23</c:f>
              <c:numCache>
                <c:formatCode>General</c:formatCode>
                <c:ptCount val="18"/>
                <c:pt idx="0">
                  <c:v>3</c:v>
                </c:pt>
                <c:pt idx="1">
                  <c:v>3</c:v>
                </c:pt>
                <c:pt idx="2">
                  <c:v>2</c:v>
                </c:pt>
                <c:pt idx="3">
                  <c:v>5</c:v>
                </c:pt>
                <c:pt idx="4">
                  <c:v>5</c:v>
                </c:pt>
                <c:pt idx="5">
                  <c:v>3</c:v>
                </c:pt>
                <c:pt idx="6">
                  <c:v>2</c:v>
                </c:pt>
                <c:pt idx="7">
                  <c:v>2</c:v>
                </c:pt>
                <c:pt idx="8">
                  <c:v>3</c:v>
                </c:pt>
                <c:pt idx="9">
                  <c:v>2</c:v>
                </c:pt>
                <c:pt idx="10">
                  <c:v>2</c:v>
                </c:pt>
                <c:pt idx="11">
                  <c:v>3</c:v>
                </c:pt>
                <c:pt idx="12">
                  <c:v>2</c:v>
                </c:pt>
                <c:pt idx="13">
                  <c:v>4</c:v>
                </c:pt>
                <c:pt idx="14">
                  <c:v>2</c:v>
                </c:pt>
                <c:pt idx="15">
                  <c:v>2</c:v>
                </c:pt>
                <c:pt idx="16">
                  <c:v>4</c:v>
                </c:pt>
              </c:numCache>
            </c:numRef>
          </c:val>
          <c:extLst>
            <c:ext xmlns:c16="http://schemas.microsoft.com/office/drawing/2014/chart" uri="{C3380CC4-5D6E-409C-BE32-E72D297353CC}">
              <c16:uniqueId val="{00000001-B899-460A-A6A8-1C5059AE445E}"/>
            </c:ext>
          </c:extLst>
        </c:ser>
        <c:ser>
          <c:idx val="2"/>
          <c:order val="2"/>
          <c:tx>
            <c:strRef>
              <c:f>'Graficas Nivel Riesgo y Estatus'!$D$3:$D$4</c:f>
              <c:strCache>
                <c:ptCount val="1"/>
                <c:pt idx="0">
                  <c:v>Medio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Estatus'!$D$5:$D$23</c:f>
              <c:numCache>
                <c:formatCode>General</c:formatCode>
                <c:ptCount val="18"/>
                <c:pt idx="0">
                  <c:v>2</c:v>
                </c:pt>
                <c:pt idx="2">
                  <c:v>1</c:v>
                </c:pt>
                <c:pt idx="7">
                  <c:v>1</c:v>
                </c:pt>
                <c:pt idx="8">
                  <c:v>2</c:v>
                </c:pt>
                <c:pt idx="9">
                  <c:v>1</c:v>
                </c:pt>
                <c:pt idx="14">
                  <c:v>3</c:v>
                </c:pt>
                <c:pt idx="15">
                  <c:v>1</c:v>
                </c:pt>
              </c:numCache>
            </c:numRef>
          </c:val>
          <c:extLst>
            <c:ext xmlns:c16="http://schemas.microsoft.com/office/drawing/2014/chart" uri="{C3380CC4-5D6E-409C-BE32-E72D297353CC}">
              <c16:uniqueId val="{00000002-B899-460A-A6A8-1C5059AE445E}"/>
            </c:ext>
          </c:extLst>
        </c:ser>
        <c:ser>
          <c:idx val="3"/>
          <c:order val="3"/>
          <c:tx>
            <c:strRef>
              <c:f>'Graficas Nivel Riesgo y Estatus'!$E$3:$E$4</c:f>
              <c:strCache>
                <c:ptCount val="1"/>
                <c:pt idx="0">
                  <c:v>Muy Bajo</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Estatus'!$E$5:$E$23</c:f>
              <c:numCache>
                <c:formatCode>General</c:formatCode>
                <c:ptCount val="18"/>
                <c:pt idx="1">
                  <c:v>1</c:v>
                </c:pt>
                <c:pt idx="2">
                  <c:v>2</c:v>
                </c:pt>
                <c:pt idx="5">
                  <c:v>1</c:v>
                </c:pt>
                <c:pt idx="6">
                  <c:v>1</c:v>
                </c:pt>
                <c:pt idx="7">
                  <c:v>1</c:v>
                </c:pt>
                <c:pt idx="9">
                  <c:v>2</c:v>
                </c:pt>
                <c:pt idx="10">
                  <c:v>1</c:v>
                </c:pt>
                <c:pt idx="11">
                  <c:v>2</c:v>
                </c:pt>
                <c:pt idx="12">
                  <c:v>2</c:v>
                </c:pt>
                <c:pt idx="16">
                  <c:v>1</c:v>
                </c:pt>
              </c:numCache>
            </c:numRef>
          </c:val>
          <c:extLst>
            <c:ext xmlns:c16="http://schemas.microsoft.com/office/drawing/2014/chart" uri="{C3380CC4-5D6E-409C-BE32-E72D297353CC}">
              <c16:uniqueId val="{00000000-6564-4527-92E0-C5C6CB50B7A4}"/>
            </c:ext>
          </c:extLst>
        </c:ser>
        <c:ser>
          <c:idx val="4"/>
          <c:order val="4"/>
          <c:tx>
            <c:strRef>
              <c:f>'Graficas Nivel Riesgo y Estatus'!$F$3:$F$4</c:f>
              <c:strCache>
                <c:ptCount val="1"/>
                <c:pt idx="0">
                  <c:v>#N/A</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Estatus'!$F$5:$F$23</c:f>
              <c:numCache>
                <c:formatCode>General</c:formatCode>
                <c:ptCount val="18"/>
                <c:pt idx="1">
                  <c:v>1</c:v>
                </c:pt>
                <c:pt idx="4">
                  <c:v>1</c:v>
                </c:pt>
                <c:pt idx="12">
                  <c:v>1</c:v>
                </c:pt>
                <c:pt idx="16">
                  <c:v>1</c:v>
                </c:pt>
              </c:numCache>
            </c:numRef>
          </c:val>
          <c:extLst>
            <c:ext xmlns:c16="http://schemas.microsoft.com/office/drawing/2014/chart" uri="{C3380CC4-5D6E-409C-BE32-E72D297353CC}">
              <c16:uniqueId val="{00000001-6564-4527-92E0-C5C6CB50B7A4}"/>
            </c:ext>
          </c:extLst>
        </c:ser>
        <c:ser>
          <c:idx val="5"/>
          <c:order val="5"/>
          <c:tx>
            <c:strRef>
              <c:f>'Graficas Nivel Riesgo y Estatus'!$G$3:$G$4</c:f>
              <c:strCache>
                <c:ptCount val="1"/>
                <c:pt idx="0">
                  <c:v>(blank)</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'Graficas Nivel Riesgo y Estatus'!$A$5:$A$23</c:f>
              <c:strCache>
                <c:ptCount val="18"/>
                <c:pt idx="0">
                  <c:v>Atitalaquia</c:v>
                </c:pt>
                <c:pt idx="1">
                  <c:v>Celaya</c:v>
                </c:pt>
                <c:pt idx="2">
                  <c:v>Chihuahua</c:v>
                </c:pt>
                <c:pt idx="3">
                  <c:v>Eugenia</c:v>
                </c:pt>
                <c:pt idx="4">
                  <c:v>Guadalajara</c:v>
                </c:pt>
                <c:pt idx="5">
                  <c:v>Lagos de Moreno Quesos</c:v>
                </c:pt>
                <c:pt idx="6">
                  <c:v>Lagos de Moreno Yogurt</c:v>
                </c:pt>
                <c:pt idx="7">
                  <c:v>Linares</c:v>
                </c:pt>
                <c:pt idx="8">
                  <c:v>Molino</c:v>
                </c:pt>
                <c:pt idx="9">
                  <c:v>Noreste</c:v>
                </c:pt>
                <c:pt idx="10">
                  <c:v>Pénjamo</c:v>
                </c:pt>
                <c:pt idx="11">
                  <c:v>Pizzas</c:v>
                </c:pt>
                <c:pt idx="12">
                  <c:v>Sabinas</c:v>
                </c:pt>
                <c:pt idx="13">
                  <c:v>Saltillo</c:v>
                </c:pt>
                <c:pt idx="14">
                  <c:v>Supremo</c:v>
                </c:pt>
                <c:pt idx="15">
                  <c:v>Tangamanga</c:v>
                </c:pt>
                <c:pt idx="16">
                  <c:v>Xalostoc</c:v>
                </c:pt>
                <c:pt idx="17">
                  <c:v>(blank)</c:v>
                </c:pt>
              </c:strCache>
            </c:strRef>
          </c:cat>
          <c:val>
            <c:numRef>
              <c:f>'Graficas Nivel Riesgo y Estatus'!$G$5:$G$23</c:f>
              <c:numCache>
                <c:formatCode>General</c:formatCode>
                <c:ptCount val="18"/>
              </c:numCache>
            </c:numRef>
          </c:val>
          <c:extLst>
            <c:ext xmlns:c16="http://schemas.microsoft.com/office/drawing/2014/chart" uri="{C3380CC4-5D6E-409C-BE32-E72D297353CC}">
              <c16:uniqueId val="{00000002-6564-4527-92E0-C5C6CB50B7A4}"/>
            </c:ext>
          </c:extLst>
        </c:ser>
        <c:dLbls>
          <c:showLegendKey val="0"/>
          <c:showVal val="0"/>
          <c:showCatName val="0"/>
          <c:showSerName val="0"/>
          <c:showPercent val="0"/>
          <c:showBubbleSize val="0"/>
        </c:dLbls>
        <c:gapWidth val="150"/>
        <c:overlap val="100"/>
        <c:axId val="690924344"/>
        <c:axId val="690923264"/>
      </c:barChart>
      <c:catAx>
        <c:axId val="690924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90923264"/>
        <c:crosses val="autoZero"/>
        <c:auto val="1"/>
        <c:lblAlgn val="ctr"/>
        <c:lblOffset val="100"/>
        <c:noMultiLvlLbl val="0"/>
      </c:catAx>
      <c:valAx>
        <c:axId val="69092326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90924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https://www.google.com.mx/url?sa=i&amp;rct=j&amp;q=&amp;esrc=s&amp;source=images&amp;cd=&amp;ved=2ahUKEwiH0sals8jhAhVYvJ4KHVHfDosQjRx6BAgBEAU&amp;url=https://articulo.mercadolibre.com.mx/MLM-629588678-equipo-de-seguridad-overol-tyvek-cdmx-df-_JM&amp;psig=AOvVaw31qlcOIyyngrEeSWagH1jx&amp;ust=1555084480599192"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1</xdr:rowOff>
    </xdr:from>
    <xdr:to>
      <xdr:col>3</xdr:col>
      <xdr:colOff>47625</xdr:colOff>
      <xdr:row>6</xdr:row>
      <xdr:rowOff>133351</xdr:rowOff>
    </xdr:to>
    <mc:AlternateContent xmlns:mc="http://schemas.openxmlformats.org/markup-compatibility/2006" xmlns:a14="http://schemas.microsoft.com/office/drawing/2010/main">
      <mc:Choice Requires="a14">
        <xdr:graphicFrame macro="">
          <xdr:nvGraphicFramePr>
            <xdr:cNvPr id="2" name="Planta 1">
              <a:extLst>
                <a:ext uri="{FF2B5EF4-FFF2-40B4-BE49-F238E27FC236}">
                  <a16:creationId xmlns:a16="http://schemas.microsoft.com/office/drawing/2014/main" id="{EA50B145-2539-4CF3-ACAE-03DDC69467B1}"/>
                </a:ext>
              </a:extLst>
            </xdr:cNvPr>
            <xdr:cNvGraphicFramePr/>
          </xdr:nvGraphicFramePr>
          <xdr:xfrm>
            <a:off x="0" y="0"/>
            <a:ext cx="0" cy="0"/>
          </xdr:xfrm>
          <a:graphic>
            <a:graphicData uri="http://schemas.microsoft.com/office/drawing/2010/slicer">
              <sle:slicer xmlns:sle="http://schemas.microsoft.com/office/drawing/2010/slicer" name="Planta 1"/>
            </a:graphicData>
          </a:graphic>
        </xdr:graphicFrame>
      </mc:Choice>
      <mc:Fallback xmlns="">
        <xdr:sp macro="" textlink="">
          <xdr:nvSpPr>
            <xdr:cNvPr id="0" name=""/>
            <xdr:cNvSpPr>
              <a:spLocks noTextEdit="1"/>
            </xdr:cNvSpPr>
          </xdr:nvSpPr>
          <xdr:spPr>
            <a:xfrm>
              <a:off x="47625" y="1"/>
              <a:ext cx="1828800" cy="127635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xdr:colOff>
      <xdr:row>0</xdr:row>
      <xdr:rowOff>1</xdr:rowOff>
    </xdr:from>
    <xdr:to>
      <xdr:col>6</xdr:col>
      <xdr:colOff>19050</xdr:colOff>
      <xdr:row>6</xdr:row>
      <xdr:rowOff>133351</xdr:rowOff>
    </xdr:to>
    <mc:AlternateContent xmlns:mc="http://schemas.openxmlformats.org/markup-compatibility/2006" xmlns:a14="http://schemas.microsoft.com/office/drawing/2010/main">
      <mc:Choice Requires="a14">
        <xdr:graphicFrame macro="">
          <xdr:nvGraphicFramePr>
            <xdr:cNvPr id="3" name="Área 1">
              <a:extLst>
                <a:ext uri="{FF2B5EF4-FFF2-40B4-BE49-F238E27FC236}">
                  <a16:creationId xmlns:a16="http://schemas.microsoft.com/office/drawing/2014/main" id="{AE4A488E-8533-4862-804F-A4F058881FFC}"/>
                </a:ext>
              </a:extLst>
            </xdr:cNvPr>
            <xdr:cNvGraphicFramePr/>
          </xdr:nvGraphicFramePr>
          <xdr:xfrm>
            <a:off x="0" y="0"/>
            <a:ext cx="0" cy="0"/>
          </xdr:xfrm>
          <a:graphic>
            <a:graphicData uri="http://schemas.microsoft.com/office/drawing/2010/slicer">
              <sle:slicer xmlns:sle="http://schemas.microsoft.com/office/drawing/2010/slicer" name="Área 1"/>
            </a:graphicData>
          </a:graphic>
        </xdr:graphicFrame>
      </mc:Choice>
      <mc:Fallback xmlns="">
        <xdr:sp macro="" textlink="">
          <xdr:nvSpPr>
            <xdr:cNvPr id="0" name=""/>
            <xdr:cNvSpPr>
              <a:spLocks noTextEdit="1"/>
            </xdr:cNvSpPr>
          </xdr:nvSpPr>
          <xdr:spPr>
            <a:xfrm>
              <a:off x="1847850" y="1"/>
              <a:ext cx="1828800" cy="127635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590550</xdr:colOff>
      <xdr:row>0</xdr:row>
      <xdr:rowOff>1</xdr:rowOff>
    </xdr:from>
    <xdr:to>
      <xdr:col>8</xdr:col>
      <xdr:colOff>590550</xdr:colOff>
      <xdr:row>6</xdr:row>
      <xdr:rowOff>133351</xdr:rowOff>
    </xdr:to>
    <mc:AlternateContent xmlns:mc="http://schemas.openxmlformats.org/markup-compatibility/2006" xmlns:a14="http://schemas.microsoft.com/office/drawing/2010/main">
      <mc:Choice Requires="a14">
        <xdr:graphicFrame macro="">
          <xdr:nvGraphicFramePr>
            <xdr:cNvPr id="4" name="Peligros identificados 1">
              <a:extLst>
                <a:ext uri="{FF2B5EF4-FFF2-40B4-BE49-F238E27FC236}">
                  <a16:creationId xmlns:a16="http://schemas.microsoft.com/office/drawing/2014/main" id="{B442A881-3707-4E2D-A7D6-5492A3BDDDCE}"/>
                </a:ext>
              </a:extLst>
            </xdr:cNvPr>
            <xdr:cNvGraphicFramePr/>
          </xdr:nvGraphicFramePr>
          <xdr:xfrm>
            <a:off x="0" y="0"/>
            <a:ext cx="0" cy="0"/>
          </xdr:xfrm>
          <a:graphic>
            <a:graphicData uri="http://schemas.microsoft.com/office/drawing/2010/slicer">
              <sle:slicer xmlns:sle="http://schemas.microsoft.com/office/drawing/2010/slicer" name="Peligros identificados 1"/>
            </a:graphicData>
          </a:graphic>
        </xdr:graphicFrame>
      </mc:Choice>
      <mc:Fallback xmlns="">
        <xdr:sp macro="" textlink="">
          <xdr:nvSpPr>
            <xdr:cNvPr id="0" name=""/>
            <xdr:cNvSpPr>
              <a:spLocks noTextEdit="1"/>
            </xdr:cNvSpPr>
          </xdr:nvSpPr>
          <xdr:spPr>
            <a:xfrm>
              <a:off x="3638550" y="1"/>
              <a:ext cx="1828800" cy="127635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561975</xdr:colOff>
      <xdr:row>0</xdr:row>
      <xdr:rowOff>1</xdr:rowOff>
    </xdr:from>
    <xdr:to>
      <xdr:col>11</xdr:col>
      <xdr:colOff>9525</xdr:colOff>
      <xdr:row>6</xdr:row>
      <xdr:rowOff>133351</xdr:rowOff>
    </xdr:to>
    <mc:AlternateContent xmlns:mc="http://schemas.openxmlformats.org/markup-compatibility/2006" xmlns:a14="http://schemas.microsoft.com/office/drawing/2010/main">
      <mc:Choice Requires="a14">
        <xdr:graphicFrame macro="">
          <xdr:nvGraphicFramePr>
            <xdr:cNvPr id="5" name="Mecanismo de lesión (Ligar tabla) 1">
              <a:extLst>
                <a:ext uri="{FF2B5EF4-FFF2-40B4-BE49-F238E27FC236}">
                  <a16:creationId xmlns:a16="http://schemas.microsoft.com/office/drawing/2014/main" id="{B5C299A0-A258-425F-A7EE-FD6C22B8688B}"/>
                </a:ext>
              </a:extLst>
            </xdr:cNvPr>
            <xdr:cNvGraphicFramePr/>
          </xdr:nvGraphicFramePr>
          <xdr:xfrm>
            <a:off x="0" y="0"/>
            <a:ext cx="0" cy="0"/>
          </xdr:xfrm>
          <a:graphic>
            <a:graphicData uri="http://schemas.microsoft.com/office/drawing/2010/slicer">
              <sle:slicer xmlns:sle="http://schemas.microsoft.com/office/drawing/2010/slicer" name="Mecanismo de lesión (Ligar tabla) 1"/>
            </a:graphicData>
          </a:graphic>
        </xdr:graphicFrame>
      </mc:Choice>
      <mc:Fallback xmlns="">
        <xdr:sp macro="" textlink="">
          <xdr:nvSpPr>
            <xdr:cNvPr id="0" name=""/>
            <xdr:cNvSpPr>
              <a:spLocks noTextEdit="1"/>
            </xdr:cNvSpPr>
          </xdr:nvSpPr>
          <xdr:spPr>
            <a:xfrm>
              <a:off x="5438775" y="1"/>
              <a:ext cx="1828800" cy="127635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0</xdr:row>
      <xdr:rowOff>1</xdr:rowOff>
    </xdr:from>
    <xdr:to>
      <xdr:col>14</xdr:col>
      <xdr:colOff>152400</xdr:colOff>
      <xdr:row>6</xdr:row>
      <xdr:rowOff>133351</xdr:rowOff>
    </xdr:to>
    <mc:AlternateContent xmlns:mc="http://schemas.openxmlformats.org/markup-compatibility/2006" xmlns:a14="http://schemas.microsoft.com/office/drawing/2010/main">
      <mc:Choice Requires="a14">
        <xdr:graphicFrame macro="">
          <xdr:nvGraphicFramePr>
            <xdr:cNvPr id="6" name="Tiempo de acción 1">
              <a:extLst>
                <a:ext uri="{FF2B5EF4-FFF2-40B4-BE49-F238E27FC236}">
                  <a16:creationId xmlns:a16="http://schemas.microsoft.com/office/drawing/2014/main" id="{89797AD7-FED4-4F66-AD1A-81195398FDB8}"/>
                </a:ext>
              </a:extLst>
            </xdr:cNvPr>
            <xdr:cNvGraphicFramePr/>
          </xdr:nvGraphicFramePr>
          <xdr:xfrm>
            <a:off x="0" y="0"/>
            <a:ext cx="0" cy="0"/>
          </xdr:xfrm>
          <a:graphic>
            <a:graphicData uri="http://schemas.microsoft.com/office/drawing/2010/slicer">
              <sle:slicer xmlns:sle="http://schemas.microsoft.com/office/drawing/2010/slicer" name="Tiempo de acción 1"/>
            </a:graphicData>
          </a:graphic>
        </xdr:graphicFrame>
      </mc:Choice>
      <mc:Fallback xmlns="">
        <xdr:sp macro="" textlink="">
          <xdr:nvSpPr>
            <xdr:cNvPr id="0" name=""/>
            <xdr:cNvSpPr>
              <a:spLocks noTextEdit="1"/>
            </xdr:cNvSpPr>
          </xdr:nvSpPr>
          <xdr:spPr>
            <a:xfrm>
              <a:off x="7267575" y="1"/>
              <a:ext cx="1828800" cy="127635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133350</xdr:colOff>
      <xdr:row>0</xdr:row>
      <xdr:rowOff>0</xdr:rowOff>
    </xdr:from>
    <xdr:to>
      <xdr:col>16</xdr:col>
      <xdr:colOff>552450</xdr:colOff>
      <xdr:row>6</xdr:row>
      <xdr:rowOff>133350</xdr:rowOff>
    </xdr:to>
    <mc:AlternateContent xmlns:mc="http://schemas.openxmlformats.org/markup-compatibility/2006" xmlns:a14="http://schemas.microsoft.com/office/drawing/2010/main">
      <mc:Choice Requires="a14">
        <xdr:graphicFrame macro="">
          <xdr:nvGraphicFramePr>
            <xdr:cNvPr id="7" name="Estatus 1">
              <a:extLst>
                <a:ext uri="{FF2B5EF4-FFF2-40B4-BE49-F238E27FC236}">
                  <a16:creationId xmlns:a16="http://schemas.microsoft.com/office/drawing/2014/main" id="{0879670F-81A2-41EE-A2DC-13A18C1C4702}"/>
                </a:ext>
              </a:extLst>
            </xdr:cNvPr>
            <xdr:cNvGraphicFramePr/>
          </xdr:nvGraphicFramePr>
          <xdr:xfrm>
            <a:off x="0" y="0"/>
            <a:ext cx="0" cy="0"/>
          </xdr:xfrm>
          <a:graphic>
            <a:graphicData uri="http://schemas.microsoft.com/office/drawing/2010/slicer">
              <sle:slicer xmlns:sle="http://schemas.microsoft.com/office/drawing/2010/slicer" name="Estatus 1"/>
            </a:graphicData>
          </a:graphic>
        </xdr:graphicFrame>
      </mc:Choice>
      <mc:Fallback xmlns="">
        <xdr:sp macro="" textlink="">
          <xdr:nvSpPr>
            <xdr:cNvPr id="0" name=""/>
            <xdr:cNvSpPr>
              <a:spLocks noTextEdit="1"/>
            </xdr:cNvSpPr>
          </xdr:nvSpPr>
          <xdr:spPr>
            <a:xfrm>
              <a:off x="9077325" y="0"/>
              <a:ext cx="1543050" cy="127635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523875</xdr:colOff>
      <xdr:row>0</xdr:row>
      <xdr:rowOff>0</xdr:rowOff>
    </xdr:from>
    <xdr:to>
      <xdr:col>20</xdr:col>
      <xdr:colOff>419100</xdr:colOff>
      <xdr:row>6</xdr:row>
      <xdr:rowOff>133350</xdr:rowOff>
    </xdr:to>
    <mc:AlternateContent xmlns:mc="http://schemas.openxmlformats.org/markup-compatibility/2006" xmlns:a14="http://schemas.microsoft.com/office/drawing/2010/main">
      <mc:Choice Requires="a14">
        <xdr:graphicFrame macro="">
          <xdr:nvGraphicFramePr>
            <xdr:cNvPr id="8" name="Piramide de Contramedidas 1">
              <a:extLst>
                <a:ext uri="{FF2B5EF4-FFF2-40B4-BE49-F238E27FC236}">
                  <a16:creationId xmlns:a16="http://schemas.microsoft.com/office/drawing/2014/main" id="{C923B466-0570-4C02-A3E5-ADB81782EF5F}"/>
                </a:ext>
              </a:extLst>
            </xdr:cNvPr>
            <xdr:cNvGraphicFramePr/>
          </xdr:nvGraphicFramePr>
          <xdr:xfrm>
            <a:off x="0" y="0"/>
            <a:ext cx="0" cy="0"/>
          </xdr:xfrm>
          <a:graphic>
            <a:graphicData uri="http://schemas.microsoft.com/office/drawing/2010/slicer">
              <sle:slicer xmlns:sle="http://schemas.microsoft.com/office/drawing/2010/slicer" name="Piramide de Contramedidas 1"/>
            </a:graphicData>
          </a:graphic>
        </xdr:graphicFrame>
      </mc:Choice>
      <mc:Fallback xmlns="">
        <xdr:sp macro="" textlink="">
          <xdr:nvSpPr>
            <xdr:cNvPr id="0" name=""/>
            <xdr:cNvSpPr>
              <a:spLocks noTextEdit="1"/>
            </xdr:cNvSpPr>
          </xdr:nvSpPr>
          <xdr:spPr>
            <a:xfrm>
              <a:off x="10591800" y="0"/>
              <a:ext cx="1828800" cy="127635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238125</xdr:colOff>
      <xdr:row>20</xdr:row>
      <xdr:rowOff>9525</xdr:rowOff>
    </xdr:from>
    <xdr:to>
      <xdr:col>18</xdr:col>
      <xdr:colOff>169050</xdr:colOff>
      <xdr:row>31</xdr:row>
      <xdr:rowOff>74025</xdr:rowOff>
    </xdr:to>
    <xdr:graphicFrame macro="">
      <xdr:nvGraphicFramePr>
        <xdr:cNvPr id="10" name="Chart 9">
          <a:extLst>
            <a:ext uri="{FF2B5EF4-FFF2-40B4-BE49-F238E27FC236}">
              <a16:creationId xmlns:a16="http://schemas.microsoft.com/office/drawing/2014/main" id="{2CB491F4-3F33-44E9-B4DF-9E77959C5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561975</xdr:colOff>
      <xdr:row>20</xdr:row>
      <xdr:rowOff>0</xdr:rowOff>
    </xdr:from>
    <xdr:to>
      <xdr:col>11</xdr:col>
      <xdr:colOff>200025</xdr:colOff>
      <xdr:row>30</xdr:row>
      <xdr:rowOff>171450</xdr:rowOff>
    </xdr:to>
    <xdr:graphicFrame macro="">
      <xdr:nvGraphicFramePr>
        <xdr:cNvPr id="13" name="Chart 12">
          <a:extLst>
            <a:ext uri="{FF2B5EF4-FFF2-40B4-BE49-F238E27FC236}">
              <a16:creationId xmlns:a16="http://schemas.microsoft.com/office/drawing/2014/main" id="{FCBB56F0-5CFA-4403-8BE2-709E952D2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209550</xdr:colOff>
      <xdr:row>19</xdr:row>
      <xdr:rowOff>171449</xdr:rowOff>
    </xdr:from>
    <xdr:to>
      <xdr:col>6</xdr:col>
      <xdr:colOff>511950</xdr:colOff>
      <xdr:row>31</xdr:row>
      <xdr:rowOff>45449</xdr:rowOff>
    </xdr:to>
    <xdr:graphicFrame macro="">
      <xdr:nvGraphicFramePr>
        <xdr:cNvPr id="14" name="Chart 13">
          <a:extLst>
            <a:ext uri="{FF2B5EF4-FFF2-40B4-BE49-F238E27FC236}">
              <a16:creationId xmlns:a16="http://schemas.microsoft.com/office/drawing/2014/main" id="{85274F09-51B6-42B2-8FAA-D69BC23A9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133350</xdr:colOff>
      <xdr:row>32</xdr:row>
      <xdr:rowOff>190499</xdr:rowOff>
    </xdr:from>
    <xdr:to>
      <xdr:col>7</xdr:col>
      <xdr:colOff>190500</xdr:colOff>
      <xdr:row>48</xdr:row>
      <xdr:rowOff>9525</xdr:rowOff>
    </xdr:to>
    <xdr:graphicFrame macro="">
      <xdr:nvGraphicFramePr>
        <xdr:cNvPr id="16" name="Chart 15">
          <a:extLst>
            <a:ext uri="{FF2B5EF4-FFF2-40B4-BE49-F238E27FC236}">
              <a16:creationId xmlns:a16="http://schemas.microsoft.com/office/drawing/2014/main" id="{34A41DB1-E852-42EE-B5F7-CBA9F3151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314325</xdr:colOff>
      <xdr:row>7</xdr:row>
      <xdr:rowOff>38099</xdr:rowOff>
    </xdr:from>
    <xdr:to>
      <xdr:col>9</xdr:col>
      <xdr:colOff>514351</xdr:colOff>
      <xdr:row>15</xdr:row>
      <xdr:rowOff>257174</xdr:rowOff>
    </xdr:to>
    <xdr:sp macro="" textlink="">
      <xdr:nvSpPr>
        <xdr:cNvPr id="17" name="TextBox 16">
          <a:extLst>
            <a:ext uri="{FF2B5EF4-FFF2-40B4-BE49-F238E27FC236}">
              <a16:creationId xmlns:a16="http://schemas.microsoft.com/office/drawing/2014/main" id="{7A777A3C-860C-F20C-B569-46EAB7D6CC7C}"/>
            </a:ext>
          </a:extLst>
        </xdr:cNvPr>
        <xdr:cNvSpPr txBox="1"/>
      </xdr:nvSpPr>
      <xdr:spPr>
        <a:xfrm>
          <a:off x="5800725" y="1371599"/>
          <a:ext cx="200026" cy="2581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Probabilidad</a:t>
          </a:r>
        </a:p>
      </xdr:txBody>
    </xdr:sp>
    <xdr:clientData/>
  </xdr:twoCellAnchor>
  <xdr:twoCellAnchor>
    <xdr:from>
      <xdr:col>13</xdr:col>
      <xdr:colOff>466725</xdr:colOff>
      <xdr:row>17</xdr:row>
      <xdr:rowOff>66675</xdr:rowOff>
    </xdr:from>
    <xdr:to>
      <xdr:col>15</xdr:col>
      <xdr:colOff>161925</xdr:colOff>
      <xdr:row>18</xdr:row>
      <xdr:rowOff>123825</xdr:rowOff>
    </xdr:to>
    <xdr:sp macro="" textlink="">
      <xdr:nvSpPr>
        <xdr:cNvPr id="18" name="TextBox 17">
          <a:extLst>
            <a:ext uri="{FF2B5EF4-FFF2-40B4-BE49-F238E27FC236}">
              <a16:creationId xmlns:a16="http://schemas.microsoft.com/office/drawing/2014/main" id="{9E379AB8-B408-471E-B108-D5BF0F59224B}"/>
            </a:ext>
          </a:extLst>
        </xdr:cNvPr>
        <xdr:cNvSpPr txBox="1"/>
      </xdr:nvSpPr>
      <xdr:spPr>
        <a:xfrm>
          <a:off x="8848725" y="5629275"/>
          <a:ext cx="8191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Gravedad</a:t>
          </a:r>
        </a:p>
      </xdr:txBody>
    </xdr:sp>
    <xdr:clientData/>
  </xdr:twoCellAnchor>
  <xdr:twoCellAnchor>
    <xdr:from>
      <xdr:col>0</xdr:col>
      <xdr:colOff>133349</xdr:colOff>
      <xdr:row>6</xdr:row>
      <xdr:rowOff>171450</xdr:rowOff>
    </xdr:from>
    <xdr:to>
      <xdr:col>9</xdr:col>
      <xdr:colOff>104774</xdr:colOff>
      <xdr:row>16</xdr:row>
      <xdr:rowOff>923925</xdr:rowOff>
    </xdr:to>
    <xdr:graphicFrame macro="">
      <xdr:nvGraphicFramePr>
        <xdr:cNvPr id="11" name="Chart 10">
          <a:extLst>
            <a:ext uri="{FF2B5EF4-FFF2-40B4-BE49-F238E27FC236}">
              <a16:creationId xmlns:a16="http://schemas.microsoft.com/office/drawing/2014/main" id="{25A77F79-4A34-418C-B59A-3AA7913C9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419100</xdr:colOff>
      <xdr:row>11</xdr:row>
      <xdr:rowOff>85725</xdr:rowOff>
    </xdr:from>
    <xdr:to>
      <xdr:col>23</xdr:col>
      <xdr:colOff>114300</xdr:colOff>
      <xdr:row>12</xdr:row>
      <xdr:rowOff>142875</xdr:rowOff>
    </xdr:to>
    <xdr:sp macro="" textlink="">
      <xdr:nvSpPr>
        <xdr:cNvPr id="5" name="TextBox 4">
          <a:extLst>
            <a:ext uri="{FF2B5EF4-FFF2-40B4-BE49-F238E27FC236}">
              <a16:creationId xmlns:a16="http://schemas.microsoft.com/office/drawing/2014/main" id="{5520FA2B-AEC9-4687-87FF-BB552265F70E}"/>
            </a:ext>
          </a:extLst>
        </xdr:cNvPr>
        <xdr:cNvSpPr txBox="1"/>
      </xdr:nvSpPr>
      <xdr:spPr>
        <a:xfrm>
          <a:off x="8801100" y="5648325"/>
          <a:ext cx="8191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a:t>Gravedad</a:t>
          </a:r>
        </a:p>
      </xdr:txBody>
    </xdr:sp>
    <xdr:clientData/>
  </xdr:twoCellAnchor>
  <xdr:twoCellAnchor editAs="absolute">
    <xdr:from>
      <xdr:col>1</xdr:col>
      <xdr:colOff>533400</xdr:colOff>
      <xdr:row>1048576</xdr:row>
      <xdr:rowOff>161923</xdr:rowOff>
    </xdr:from>
    <xdr:to>
      <xdr:col>3</xdr:col>
      <xdr:colOff>1400175</xdr:colOff>
      <xdr:row>1048576</xdr:row>
      <xdr:rowOff>161925</xdr:rowOff>
    </xdr:to>
    <mc:AlternateContent xmlns:mc="http://schemas.openxmlformats.org/markup-compatibility/2006" xmlns:sle15="http://schemas.microsoft.com/office/drawing/2012/slicer">
      <mc:Choice Requires="sle15">
        <xdr:graphicFrame macro="">
          <xdr:nvGraphicFramePr>
            <xdr:cNvPr id="6" name="Planta 4">
              <a:extLst>
                <a:ext uri="{FF2B5EF4-FFF2-40B4-BE49-F238E27FC236}">
                  <a16:creationId xmlns:a16="http://schemas.microsoft.com/office/drawing/2014/main" id="{D0AA0552-B2CA-44E0-9A10-A2B63D141132}"/>
                </a:ext>
              </a:extLst>
            </xdr:cNvPr>
            <xdr:cNvGraphicFramePr/>
          </xdr:nvGraphicFramePr>
          <xdr:xfrm>
            <a:off x="0" y="0"/>
            <a:ext cx="0" cy="0"/>
          </xdr:xfrm>
          <a:graphic>
            <a:graphicData uri="http://schemas.microsoft.com/office/drawing/2010/slicer">
              <sle:slicer xmlns:sle="http://schemas.microsoft.com/office/drawing/2010/slicer" name="Planta 4"/>
            </a:graphicData>
          </a:graphic>
        </xdr:graphicFrame>
      </mc:Choice>
      <mc:Fallback xmlns="">
        <xdr:sp macro="" textlink="">
          <xdr:nvSpPr>
            <xdr:cNvPr id="0" name=""/>
            <xdr:cNvSpPr>
              <a:spLocks noTextEdit="1"/>
            </xdr:cNvSpPr>
          </xdr:nvSpPr>
          <xdr:spPr>
            <a:xfrm>
              <a:off x="2095500" y="1495423"/>
              <a:ext cx="2895600" cy="2"/>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16</xdr:col>
      <xdr:colOff>142875</xdr:colOff>
      <xdr:row>2</xdr:row>
      <xdr:rowOff>133350</xdr:rowOff>
    </xdr:from>
    <xdr:to>
      <xdr:col>21</xdr:col>
      <xdr:colOff>409575</xdr:colOff>
      <xdr:row>11</xdr:row>
      <xdr:rowOff>1076325</xdr:rowOff>
    </xdr:to>
    <mc:AlternateContent xmlns:mc="http://schemas.openxmlformats.org/markup-compatibility/2006" xmlns:sle15="http://schemas.microsoft.com/office/drawing/2012/slicer">
      <mc:Choice Requires="sle15">
        <xdr:graphicFrame macro="">
          <xdr:nvGraphicFramePr>
            <xdr:cNvPr id="2" name="Planta 3">
              <a:extLst>
                <a:ext uri="{FF2B5EF4-FFF2-40B4-BE49-F238E27FC236}">
                  <a16:creationId xmlns:a16="http://schemas.microsoft.com/office/drawing/2014/main" id="{684330BE-8729-438E-9311-20BB4D8ABF05}"/>
                </a:ext>
              </a:extLst>
            </xdr:cNvPr>
            <xdr:cNvGraphicFramePr/>
          </xdr:nvGraphicFramePr>
          <xdr:xfrm>
            <a:off x="0" y="0"/>
            <a:ext cx="0" cy="0"/>
          </xdr:xfrm>
          <a:graphic>
            <a:graphicData uri="http://schemas.microsoft.com/office/drawing/2010/slicer">
              <sle:slicer xmlns:sle="http://schemas.microsoft.com/office/drawing/2010/slicer" name="Planta 3"/>
            </a:graphicData>
          </a:graphic>
        </xdr:graphicFrame>
      </mc:Choice>
      <mc:Fallback xmlns="">
        <xdr:sp macro="" textlink="">
          <xdr:nvSpPr>
            <xdr:cNvPr id="0" name=""/>
            <xdr:cNvSpPr>
              <a:spLocks noTextEdit="1"/>
            </xdr:cNvSpPr>
          </xdr:nvSpPr>
          <xdr:spPr>
            <a:xfrm>
              <a:off x="9896475" y="514350"/>
              <a:ext cx="3314700" cy="3181350"/>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666750</xdr:colOff>
      <xdr:row>4</xdr:row>
      <xdr:rowOff>157162</xdr:rowOff>
    </xdr:from>
    <xdr:to>
      <xdr:col>7</xdr:col>
      <xdr:colOff>171450</xdr:colOff>
      <xdr:row>19</xdr:row>
      <xdr:rowOff>42862</xdr:rowOff>
    </xdr:to>
    <xdr:graphicFrame macro="">
      <xdr:nvGraphicFramePr>
        <xdr:cNvPr id="6" name="Chart 5">
          <a:extLst>
            <a:ext uri="{FF2B5EF4-FFF2-40B4-BE49-F238E27FC236}">
              <a16:creationId xmlns:a16="http://schemas.microsoft.com/office/drawing/2014/main" id="{C8C0BA49-5B12-CD0A-8CD8-72ADDFE48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495300</xdr:colOff>
      <xdr:row>2</xdr:row>
      <xdr:rowOff>33337</xdr:rowOff>
    </xdr:from>
    <xdr:to>
      <xdr:col>11</xdr:col>
      <xdr:colOff>190500</xdr:colOff>
      <xdr:row>16</xdr:row>
      <xdr:rowOff>109537</xdr:rowOff>
    </xdr:to>
    <xdr:graphicFrame macro="">
      <xdr:nvGraphicFramePr>
        <xdr:cNvPr id="2" name="Chart 1">
          <a:extLst>
            <a:ext uri="{FF2B5EF4-FFF2-40B4-BE49-F238E27FC236}">
              <a16:creationId xmlns:a16="http://schemas.microsoft.com/office/drawing/2014/main" id="{7226E973-930F-90B2-D058-64176471B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314325</xdr:colOff>
      <xdr:row>2</xdr:row>
      <xdr:rowOff>23812</xdr:rowOff>
    </xdr:from>
    <xdr:to>
      <xdr:col>15</xdr:col>
      <xdr:colOff>9525</xdr:colOff>
      <xdr:row>16</xdr:row>
      <xdr:rowOff>100012</xdr:rowOff>
    </xdr:to>
    <xdr:graphicFrame macro="">
      <xdr:nvGraphicFramePr>
        <xdr:cNvPr id="2" name="Chart 1">
          <a:extLst>
            <a:ext uri="{FF2B5EF4-FFF2-40B4-BE49-F238E27FC236}">
              <a16:creationId xmlns:a16="http://schemas.microsoft.com/office/drawing/2014/main" id="{F820A8B7-86A8-633A-C174-3D8D57A5A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219075</xdr:colOff>
      <xdr:row>31</xdr:row>
      <xdr:rowOff>33337</xdr:rowOff>
    </xdr:from>
    <xdr:to>
      <xdr:col>12</xdr:col>
      <xdr:colOff>733425</xdr:colOff>
      <xdr:row>45</xdr:row>
      <xdr:rowOff>109537</xdr:rowOff>
    </xdr:to>
    <xdr:graphicFrame macro="">
      <xdr:nvGraphicFramePr>
        <xdr:cNvPr id="3" name="Chart 2">
          <a:extLst>
            <a:ext uri="{FF2B5EF4-FFF2-40B4-BE49-F238E27FC236}">
              <a16:creationId xmlns:a16="http://schemas.microsoft.com/office/drawing/2014/main" id="{EB4CA080-DB9A-0F8D-526D-1CB26FEFC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152400</xdr:colOff>
      <xdr:row>31</xdr:row>
      <xdr:rowOff>57150</xdr:rowOff>
    </xdr:from>
    <xdr:to>
      <xdr:col>16</xdr:col>
      <xdr:colOff>9525</xdr:colOff>
      <xdr:row>44</xdr:row>
      <xdr:rowOff>104775</xdr:rowOff>
    </xdr:to>
    <mc:AlternateContent xmlns:mc="http://schemas.openxmlformats.org/markup-compatibility/2006" xmlns:a14="http://schemas.microsoft.com/office/drawing/2010/main">
      <mc:Choice Requires="a14">
        <xdr:graphicFrame macro="">
          <xdr:nvGraphicFramePr>
            <xdr:cNvPr id="4" name="Planta">
              <a:extLst>
                <a:ext uri="{FF2B5EF4-FFF2-40B4-BE49-F238E27FC236}">
                  <a16:creationId xmlns:a16="http://schemas.microsoft.com/office/drawing/2014/main" id="{57659F83-BEA8-B07A-81FC-713DC1148B18}"/>
                </a:ext>
              </a:extLst>
            </xdr:cNvPr>
            <xdr:cNvGraphicFramePr/>
          </xdr:nvGraphicFramePr>
          <xdr:xfrm>
            <a:off x="0" y="0"/>
            <a:ext cx="0" cy="0"/>
          </xdr:xfrm>
          <a:graphic>
            <a:graphicData uri="http://schemas.microsoft.com/office/drawing/2010/slicer">
              <sle:slicer xmlns:sle="http://schemas.microsoft.com/office/drawing/2010/slicer" name="Planta"/>
            </a:graphicData>
          </a:graphic>
        </xdr:graphicFrame>
      </mc:Choice>
      <mc:Fallback xmlns="">
        <xdr:sp macro="" textlink="">
          <xdr:nvSpPr>
            <xdr:cNvPr id="0" name=""/>
            <xdr:cNvSpPr>
              <a:spLocks noTextEdit="1"/>
            </xdr:cNvSpPr>
          </xdr:nvSpPr>
          <xdr:spPr>
            <a:xfrm>
              <a:off x="9344025" y="5962650"/>
              <a:ext cx="1828800" cy="25241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142875</xdr:colOff>
      <xdr:row>31</xdr:row>
      <xdr:rowOff>142875</xdr:rowOff>
    </xdr:from>
    <xdr:to>
      <xdr:col>17</xdr:col>
      <xdr:colOff>142875</xdr:colOff>
      <xdr:row>45</xdr:row>
      <xdr:rowOff>0</xdr:rowOff>
    </xdr:to>
    <mc:AlternateContent xmlns:mc="http://schemas.openxmlformats.org/markup-compatibility/2006" xmlns:a14="http://schemas.microsoft.com/office/drawing/2010/main">
      <mc:Choice Requires="a14">
        <xdr:graphicFrame macro="">
          <xdr:nvGraphicFramePr>
            <xdr:cNvPr id="5" name="Área">
              <a:extLst>
                <a:ext uri="{FF2B5EF4-FFF2-40B4-BE49-F238E27FC236}">
                  <a16:creationId xmlns:a16="http://schemas.microsoft.com/office/drawing/2014/main" id="{934738E7-194C-23E6-F444-190D02C3E55B}"/>
                </a:ext>
              </a:extLst>
            </xdr:cNvPr>
            <xdr:cNvGraphicFramePr/>
          </xdr:nvGraphicFramePr>
          <xdr:xfrm>
            <a:off x="0" y="0"/>
            <a:ext cx="0" cy="0"/>
          </xdr:xfrm>
          <a:graphic>
            <a:graphicData uri="http://schemas.microsoft.com/office/drawing/2010/slicer">
              <sle:slicer xmlns:sle="http://schemas.microsoft.com/office/drawing/2010/slicer" name="Área"/>
            </a:graphicData>
          </a:graphic>
        </xdr:graphicFrame>
      </mc:Choice>
      <mc:Fallback xmlns="">
        <xdr:sp macro="" textlink="">
          <xdr:nvSpPr>
            <xdr:cNvPr id="0" name=""/>
            <xdr:cNvSpPr>
              <a:spLocks noTextEdit="1"/>
            </xdr:cNvSpPr>
          </xdr:nvSpPr>
          <xdr:spPr>
            <a:xfrm>
              <a:off x="10086975" y="6048375"/>
              <a:ext cx="1828800" cy="25241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95250</xdr:colOff>
      <xdr:row>32</xdr:row>
      <xdr:rowOff>66675</xdr:rowOff>
    </xdr:from>
    <xdr:to>
      <xdr:col>18</xdr:col>
      <xdr:colOff>95250</xdr:colOff>
      <xdr:row>45</xdr:row>
      <xdr:rowOff>114300</xdr:rowOff>
    </xdr:to>
    <mc:AlternateContent xmlns:mc="http://schemas.openxmlformats.org/markup-compatibility/2006" xmlns:a14="http://schemas.microsoft.com/office/drawing/2010/main">
      <mc:Choice Requires="a14">
        <xdr:graphicFrame macro="">
          <xdr:nvGraphicFramePr>
            <xdr:cNvPr id="6" name="Peligros identificados">
              <a:extLst>
                <a:ext uri="{FF2B5EF4-FFF2-40B4-BE49-F238E27FC236}">
                  <a16:creationId xmlns:a16="http://schemas.microsoft.com/office/drawing/2014/main" id="{1608C1D6-21B2-5E3E-DC5F-935EA5DFCD17}"/>
                </a:ext>
              </a:extLst>
            </xdr:cNvPr>
            <xdr:cNvGraphicFramePr/>
          </xdr:nvGraphicFramePr>
          <xdr:xfrm>
            <a:off x="0" y="0"/>
            <a:ext cx="0" cy="0"/>
          </xdr:xfrm>
          <a:graphic>
            <a:graphicData uri="http://schemas.microsoft.com/office/drawing/2010/slicer">
              <sle:slicer xmlns:sle="http://schemas.microsoft.com/office/drawing/2010/slicer" name="Peligros identificados"/>
            </a:graphicData>
          </a:graphic>
        </xdr:graphicFrame>
      </mc:Choice>
      <mc:Fallback xmlns="">
        <xdr:sp macro="" textlink="">
          <xdr:nvSpPr>
            <xdr:cNvPr id="0" name=""/>
            <xdr:cNvSpPr>
              <a:spLocks noTextEdit="1"/>
            </xdr:cNvSpPr>
          </xdr:nvSpPr>
          <xdr:spPr>
            <a:xfrm>
              <a:off x="10648950" y="6162675"/>
              <a:ext cx="1828800" cy="25241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85725</xdr:colOff>
      <xdr:row>33</xdr:row>
      <xdr:rowOff>9525</xdr:rowOff>
    </xdr:from>
    <xdr:to>
      <xdr:col>19</xdr:col>
      <xdr:colOff>85725</xdr:colOff>
      <xdr:row>46</xdr:row>
      <xdr:rowOff>57150</xdr:rowOff>
    </xdr:to>
    <mc:AlternateContent xmlns:mc="http://schemas.openxmlformats.org/markup-compatibility/2006" xmlns:a14="http://schemas.microsoft.com/office/drawing/2010/main">
      <mc:Choice Requires="a14">
        <xdr:graphicFrame macro="">
          <xdr:nvGraphicFramePr>
            <xdr:cNvPr id="7" name="Mecanismo de lesión (Ligar tabla)">
              <a:extLst>
                <a:ext uri="{FF2B5EF4-FFF2-40B4-BE49-F238E27FC236}">
                  <a16:creationId xmlns:a16="http://schemas.microsoft.com/office/drawing/2014/main" id="{00B289F1-0267-FAD9-72AF-E4E761B3587A}"/>
                </a:ext>
              </a:extLst>
            </xdr:cNvPr>
            <xdr:cNvGraphicFramePr/>
          </xdr:nvGraphicFramePr>
          <xdr:xfrm>
            <a:off x="0" y="0"/>
            <a:ext cx="0" cy="0"/>
          </xdr:xfrm>
          <a:graphic>
            <a:graphicData uri="http://schemas.microsoft.com/office/drawing/2010/slicer">
              <sle:slicer xmlns:sle="http://schemas.microsoft.com/office/drawing/2010/slicer" name="Mecanismo de lesión (Ligar tabla)"/>
            </a:graphicData>
          </a:graphic>
        </xdr:graphicFrame>
      </mc:Choice>
      <mc:Fallback xmlns="">
        <xdr:sp macro="" textlink="">
          <xdr:nvSpPr>
            <xdr:cNvPr id="0" name=""/>
            <xdr:cNvSpPr>
              <a:spLocks noTextEdit="1"/>
            </xdr:cNvSpPr>
          </xdr:nvSpPr>
          <xdr:spPr>
            <a:xfrm>
              <a:off x="11249025" y="6296025"/>
              <a:ext cx="1828800" cy="25241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200025</xdr:colOff>
      <xdr:row>33</xdr:row>
      <xdr:rowOff>66675</xdr:rowOff>
    </xdr:from>
    <xdr:to>
      <xdr:col>20</xdr:col>
      <xdr:colOff>200025</xdr:colOff>
      <xdr:row>46</xdr:row>
      <xdr:rowOff>114300</xdr:rowOff>
    </xdr:to>
    <mc:AlternateContent xmlns:mc="http://schemas.openxmlformats.org/markup-compatibility/2006" xmlns:a14="http://schemas.microsoft.com/office/drawing/2010/main">
      <mc:Choice Requires="a14">
        <xdr:graphicFrame macro="">
          <xdr:nvGraphicFramePr>
            <xdr:cNvPr id="8" name="Tiempo de acción">
              <a:extLst>
                <a:ext uri="{FF2B5EF4-FFF2-40B4-BE49-F238E27FC236}">
                  <a16:creationId xmlns:a16="http://schemas.microsoft.com/office/drawing/2014/main" id="{AB223099-B370-E9E0-D6FC-C510404F6273}"/>
                </a:ext>
              </a:extLst>
            </xdr:cNvPr>
            <xdr:cNvGraphicFramePr/>
          </xdr:nvGraphicFramePr>
          <xdr:xfrm>
            <a:off x="0" y="0"/>
            <a:ext cx="0" cy="0"/>
          </xdr:xfrm>
          <a:graphic>
            <a:graphicData uri="http://schemas.microsoft.com/office/drawing/2010/slicer">
              <sle:slicer xmlns:sle="http://schemas.microsoft.com/office/drawing/2010/slicer" name="Tiempo de acción"/>
            </a:graphicData>
          </a:graphic>
        </xdr:graphicFrame>
      </mc:Choice>
      <mc:Fallback xmlns="">
        <xdr:sp macro="" textlink="">
          <xdr:nvSpPr>
            <xdr:cNvPr id="0" name=""/>
            <xdr:cNvSpPr>
              <a:spLocks noTextEdit="1"/>
            </xdr:cNvSpPr>
          </xdr:nvSpPr>
          <xdr:spPr>
            <a:xfrm>
              <a:off x="11972925" y="6353175"/>
              <a:ext cx="1828800" cy="25241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xdr:colOff>
      <xdr:row>33</xdr:row>
      <xdr:rowOff>171450</xdr:rowOff>
    </xdr:from>
    <xdr:to>
      <xdr:col>21</xdr:col>
      <xdr:colOff>47625</xdr:colOff>
      <xdr:row>47</xdr:row>
      <xdr:rowOff>28575</xdr:rowOff>
    </xdr:to>
    <mc:AlternateContent xmlns:mc="http://schemas.openxmlformats.org/markup-compatibility/2006" xmlns:a14="http://schemas.microsoft.com/office/drawing/2010/main">
      <mc:Choice Requires="a14">
        <xdr:graphicFrame macro="">
          <xdr:nvGraphicFramePr>
            <xdr:cNvPr id="9" name="Estatus">
              <a:extLst>
                <a:ext uri="{FF2B5EF4-FFF2-40B4-BE49-F238E27FC236}">
                  <a16:creationId xmlns:a16="http://schemas.microsoft.com/office/drawing/2014/main" id="{10803375-AF36-F894-1E45-2B7FE2639B94}"/>
                </a:ext>
              </a:extLst>
            </xdr:cNvPr>
            <xdr:cNvGraphicFramePr/>
          </xdr:nvGraphicFramePr>
          <xdr:xfrm>
            <a:off x="0" y="0"/>
            <a:ext cx="0" cy="0"/>
          </xdr:xfrm>
          <a:graphic>
            <a:graphicData uri="http://schemas.microsoft.com/office/drawing/2010/slicer">
              <sle:slicer xmlns:sle="http://schemas.microsoft.com/office/drawing/2010/slicer" name="Estatus"/>
            </a:graphicData>
          </a:graphic>
        </xdr:graphicFrame>
      </mc:Choice>
      <mc:Fallback xmlns="">
        <xdr:sp macro="" textlink="">
          <xdr:nvSpPr>
            <xdr:cNvPr id="0" name=""/>
            <xdr:cNvSpPr>
              <a:spLocks noTextEdit="1"/>
            </xdr:cNvSpPr>
          </xdr:nvSpPr>
          <xdr:spPr>
            <a:xfrm>
              <a:off x="12430125" y="6457950"/>
              <a:ext cx="1828800" cy="25241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34</xdr:row>
      <xdr:rowOff>38100</xdr:rowOff>
    </xdr:from>
    <xdr:to>
      <xdr:col>22</xdr:col>
      <xdr:colOff>38100</xdr:colOff>
      <xdr:row>47</xdr:row>
      <xdr:rowOff>85725</xdr:rowOff>
    </xdr:to>
    <mc:AlternateContent xmlns:mc="http://schemas.openxmlformats.org/markup-compatibility/2006" xmlns:a14="http://schemas.microsoft.com/office/drawing/2010/main">
      <mc:Choice Requires="a14">
        <xdr:graphicFrame macro="">
          <xdr:nvGraphicFramePr>
            <xdr:cNvPr id="10" name="Piramide de Contramedidas">
              <a:extLst>
                <a:ext uri="{FF2B5EF4-FFF2-40B4-BE49-F238E27FC236}">
                  <a16:creationId xmlns:a16="http://schemas.microsoft.com/office/drawing/2014/main" id="{9521F69E-9290-7D90-A002-B9CAA6A56A29}"/>
                </a:ext>
              </a:extLst>
            </xdr:cNvPr>
            <xdr:cNvGraphicFramePr/>
          </xdr:nvGraphicFramePr>
          <xdr:xfrm>
            <a:off x="0" y="0"/>
            <a:ext cx="0" cy="0"/>
          </xdr:xfrm>
          <a:graphic>
            <a:graphicData uri="http://schemas.microsoft.com/office/drawing/2010/slicer">
              <sle:slicer xmlns:sle="http://schemas.microsoft.com/office/drawing/2010/slicer" name="Piramide de Contramedidas"/>
            </a:graphicData>
          </a:graphic>
        </xdr:graphicFrame>
      </mc:Choice>
      <mc:Fallback xmlns="">
        <xdr:sp macro="" textlink="">
          <xdr:nvSpPr>
            <xdr:cNvPr id="0" name=""/>
            <xdr:cNvSpPr>
              <a:spLocks noTextEdit="1"/>
            </xdr:cNvSpPr>
          </xdr:nvSpPr>
          <xdr:spPr>
            <a:xfrm>
              <a:off x="13030200" y="6515100"/>
              <a:ext cx="1828800" cy="252412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447675</xdr:colOff>
      <xdr:row>5</xdr:row>
      <xdr:rowOff>80962</xdr:rowOff>
    </xdr:from>
    <xdr:to>
      <xdr:col>16</xdr:col>
      <xdr:colOff>495300</xdr:colOff>
      <xdr:row>19</xdr:row>
      <xdr:rowOff>157162</xdr:rowOff>
    </xdr:to>
    <xdr:graphicFrame macro="">
      <xdr:nvGraphicFramePr>
        <xdr:cNvPr id="11" name="Chart 10">
          <a:extLst>
            <a:ext uri="{FF2B5EF4-FFF2-40B4-BE49-F238E27FC236}">
              <a16:creationId xmlns:a16="http://schemas.microsoft.com/office/drawing/2014/main" id="{832DBDD4-4B00-C87B-1990-8F5F8BC48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231319</xdr:colOff>
      <xdr:row>5</xdr:row>
      <xdr:rowOff>13607</xdr:rowOff>
    </xdr:from>
    <xdr:to>
      <xdr:col>6</xdr:col>
      <xdr:colOff>2122712</xdr:colOff>
      <xdr:row>5</xdr:row>
      <xdr:rowOff>1141403</xdr:rowOff>
    </xdr:to>
    <xdr:pic>
      <xdr:nvPicPr>
        <xdr:cNvPr id="2" name="Picture 1">
          <a:extLst>
            <a:ext uri="{FF2B5EF4-FFF2-40B4-BE49-F238E27FC236}">
              <a16:creationId xmlns:a16="http://schemas.microsoft.com/office/drawing/2014/main" id="{877DD7EE-B2D9-4397-824C-074423970B27}"/>
            </a:ext>
          </a:extLst>
        </xdr:cNvPr>
        <xdr:cNvPicPr>
          <a:picLocks noChangeAspect="1"/>
        </xdr:cNvPicPr>
      </xdr:nvPicPr>
      <xdr:blipFill>
        <a:blip xmlns:r="http://schemas.openxmlformats.org/officeDocument/2006/relationships" r:embed="rId1"/>
        <a:stretch>
          <a:fillRect/>
        </a:stretch>
      </xdr:blipFill>
      <xdr:spPr>
        <a:xfrm>
          <a:off x="6260644" y="2109107"/>
          <a:ext cx="1891393" cy="1127796"/>
        </a:xfrm>
        <a:prstGeom prst="rect">
          <a:avLst/>
        </a:prstGeom>
      </xdr:spPr>
    </xdr:pic>
    <xdr:clientData/>
  </xdr:twoCellAnchor>
  <xdr:twoCellAnchor>
    <xdr:from>
      <xdr:col>1</xdr:col>
      <xdr:colOff>27213</xdr:colOff>
      <xdr:row>0</xdr:row>
      <xdr:rowOff>312965</xdr:rowOff>
    </xdr:from>
    <xdr:to>
      <xdr:col>2</xdr:col>
      <xdr:colOff>285749</xdr:colOff>
      <xdr:row>2</xdr:row>
      <xdr:rowOff>312965</xdr:rowOff>
    </xdr:to>
    <xdr:sp macro="" textlink="">
      <xdr:nvSpPr>
        <xdr:cNvPr id="3" name="Callout: Line 2">
          <a:extLst>
            <a:ext uri="{FF2B5EF4-FFF2-40B4-BE49-F238E27FC236}">
              <a16:creationId xmlns:a16="http://schemas.microsoft.com/office/drawing/2014/main" id="{3796DE0B-2F7F-295A-2234-E6D4CC7845D4}"/>
            </a:ext>
          </a:extLst>
        </xdr:cNvPr>
        <xdr:cNvSpPr/>
      </xdr:nvSpPr>
      <xdr:spPr>
        <a:xfrm>
          <a:off x="272142" y="312965"/>
          <a:ext cx="1047750" cy="762000"/>
        </a:xfrm>
        <a:prstGeom prst="borderCallout1">
          <a:avLst>
            <a:gd name="adj1" fmla="val 101607"/>
            <a:gd name="adj2" fmla="val 46212"/>
            <a:gd name="adj3" fmla="val 170679"/>
            <a:gd name="adj4" fmla="val 27709"/>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Colocar</a:t>
          </a:r>
          <a:r>
            <a:rPr lang="es-MX" sz="1600" baseline="0"/>
            <a:t> la planta</a:t>
          </a:r>
          <a:endParaRPr lang="es-MX" sz="1600"/>
        </a:p>
      </xdr:txBody>
    </xdr:sp>
    <xdr:clientData/>
  </xdr:twoCellAnchor>
  <xdr:twoCellAnchor>
    <xdr:from>
      <xdr:col>2</xdr:col>
      <xdr:colOff>356506</xdr:colOff>
      <xdr:row>0</xdr:row>
      <xdr:rowOff>315686</xdr:rowOff>
    </xdr:from>
    <xdr:to>
      <xdr:col>3</xdr:col>
      <xdr:colOff>492578</xdr:colOff>
      <xdr:row>2</xdr:row>
      <xdr:rowOff>315686</xdr:rowOff>
    </xdr:to>
    <xdr:sp macro="" textlink="">
      <xdr:nvSpPr>
        <xdr:cNvPr id="4" name="Callout: Line 3">
          <a:extLst>
            <a:ext uri="{FF2B5EF4-FFF2-40B4-BE49-F238E27FC236}">
              <a16:creationId xmlns:a16="http://schemas.microsoft.com/office/drawing/2014/main" id="{0BBFC770-7B2B-4F4E-A017-FBF700E959B2}"/>
            </a:ext>
          </a:extLst>
        </xdr:cNvPr>
        <xdr:cNvSpPr/>
      </xdr:nvSpPr>
      <xdr:spPr>
        <a:xfrm>
          <a:off x="1390649" y="315686"/>
          <a:ext cx="1047750" cy="762000"/>
        </a:xfrm>
        <a:prstGeom prst="borderCallout1">
          <a:avLst>
            <a:gd name="adj1" fmla="val 101607"/>
            <a:gd name="adj2" fmla="val 46212"/>
            <a:gd name="adj3" fmla="val 170679"/>
            <a:gd name="adj4" fmla="val 27709"/>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Colocar</a:t>
          </a:r>
          <a:r>
            <a:rPr lang="es-MX" sz="1600" baseline="0"/>
            <a:t> el código</a:t>
          </a:r>
          <a:endParaRPr lang="es-MX" sz="1600"/>
        </a:p>
      </xdr:txBody>
    </xdr:sp>
    <xdr:clientData/>
  </xdr:twoCellAnchor>
  <xdr:twoCellAnchor>
    <xdr:from>
      <xdr:col>3</xdr:col>
      <xdr:colOff>549728</xdr:colOff>
      <xdr:row>0</xdr:row>
      <xdr:rowOff>136072</xdr:rowOff>
    </xdr:from>
    <xdr:to>
      <xdr:col>4</xdr:col>
      <xdr:colOff>440870</xdr:colOff>
      <xdr:row>2</xdr:row>
      <xdr:rowOff>454479</xdr:rowOff>
    </xdr:to>
    <xdr:sp macro="" textlink="">
      <xdr:nvSpPr>
        <xdr:cNvPr id="5" name="Callout: Line 4">
          <a:extLst>
            <a:ext uri="{FF2B5EF4-FFF2-40B4-BE49-F238E27FC236}">
              <a16:creationId xmlns:a16="http://schemas.microsoft.com/office/drawing/2014/main" id="{37DFB825-E24B-4EEB-AB64-6D36845EEF36}"/>
            </a:ext>
          </a:extLst>
        </xdr:cNvPr>
        <xdr:cNvSpPr/>
      </xdr:nvSpPr>
      <xdr:spPr>
        <a:xfrm>
          <a:off x="2495549" y="136072"/>
          <a:ext cx="1047750" cy="1080407"/>
        </a:xfrm>
        <a:prstGeom prst="borderCallout1">
          <a:avLst>
            <a:gd name="adj1" fmla="val 101607"/>
            <a:gd name="adj2" fmla="val 46212"/>
            <a:gd name="adj3" fmla="val 132896"/>
            <a:gd name="adj4" fmla="val 34203"/>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Colocar</a:t>
          </a:r>
          <a:r>
            <a:rPr lang="es-MX" sz="1600" baseline="0"/>
            <a:t> fecha del analsis de la tarea</a:t>
          </a:r>
          <a:endParaRPr lang="es-MX" sz="1600"/>
        </a:p>
      </xdr:txBody>
    </xdr:sp>
    <xdr:clientData/>
  </xdr:twoCellAnchor>
  <xdr:twoCellAnchor>
    <xdr:from>
      <xdr:col>4</xdr:col>
      <xdr:colOff>495298</xdr:colOff>
      <xdr:row>0</xdr:row>
      <xdr:rowOff>304801</xdr:rowOff>
    </xdr:from>
    <xdr:to>
      <xdr:col>5</xdr:col>
      <xdr:colOff>386441</xdr:colOff>
      <xdr:row>2</xdr:row>
      <xdr:rowOff>304801</xdr:rowOff>
    </xdr:to>
    <xdr:sp macro="" textlink="">
      <xdr:nvSpPr>
        <xdr:cNvPr id="6" name="Callout: Line 5">
          <a:extLst>
            <a:ext uri="{FF2B5EF4-FFF2-40B4-BE49-F238E27FC236}">
              <a16:creationId xmlns:a16="http://schemas.microsoft.com/office/drawing/2014/main" id="{A3856E07-4DBA-48E1-B886-AAF0684C4810}"/>
            </a:ext>
          </a:extLst>
        </xdr:cNvPr>
        <xdr:cNvSpPr/>
      </xdr:nvSpPr>
      <xdr:spPr>
        <a:xfrm>
          <a:off x="3597727" y="304801"/>
          <a:ext cx="1047750" cy="762000"/>
        </a:xfrm>
        <a:prstGeom prst="borderCallout1">
          <a:avLst>
            <a:gd name="adj1" fmla="val 101607"/>
            <a:gd name="adj2" fmla="val 46212"/>
            <a:gd name="adj3" fmla="val 170679"/>
            <a:gd name="adj4" fmla="val 27709"/>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Colocar el Área</a:t>
          </a:r>
        </a:p>
      </xdr:txBody>
    </xdr:sp>
    <xdr:clientData/>
  </xdr:twoCellAnchor>
  <xdr:twoCellAnchor>
    <xdr:from>
      <xdr:col>5</xdr:col>
      <xdr:colOff>457197</xdr:colOff>
      <xdr:row>0</xdr:row>
      <xdr:rowOff>95250</xdr:rowOff>
    </xdr:from>
    <xdr:to>
      <xdr:col>6</xdr:col>
      <xdr:colOff>789214</xdr:colOff>
      <xdr:row>2</xdr:row>
      <xdr:rowOff>293914</xdr:rowOff>
    </xdr:to>
    <xdr:sp macro="" textlink="">
      <xdr:nvSpPr>
        <xdr:cNvPr id="7" name="Callout: Line 6">
          <a:extLst>
            <a:ext uri="{FF2B5EF4-FFF2-40B4-BE49-F238E27FC236}">
              <a16:creationId xmlns:a16="http://schemas.microsoft.com/office/drawing/2014/main" id="{8B057C36-3C53-42E7-BB96-41216BDB5E64}"/>
            </a:ext>
          </a:extLst>
        </xdr:cNvPr>
        <xdr:cNvSpPr/>
      </xdr:nvSpPr>
      <xdr:spPr>
        <a:xfrm>
          <a:off x="4716233" y="95250"/>
          <a:ext cx="2100945" cy="960664"/>
        </a:xfrm>
        <a:prstGeom prst="borderCallout1">
          <a:avLst>
            <a:gd name="adj1" fmla="val 101607"/>
            <a:gd name="adj2" fmla="val 46212"/>
            <a:gd name="adj3" fmla="val 156515"/>
            <a:gd name="adj4" fmla="val 21880"/>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Integrar</a:t>
          </a:r>
          <a:r>
            <a:rPr lang="es-MX" sz="1600" baseline="0"/>
            <a:t> todas las tareas que componen el puesto</a:t>
          </a:r>
          <a:endParaRPr lang="es-MX" sz="1600"/>
        </a:p>
      </xdr:txBody>
    </xdr:sp>
    <xdr:clientData/>
  </xdr:twoCellAnchor>
  <xdr:twoCellAnchor>
    <xdr:from>
      <xdr:col>6</xdr:col>
      <xdr:colOff>759276</xdr:colOff>
      <xdr:row>6</xdr:row>
      <xdr:rowOff>70757</xdr:rowOff>
    </xdr:from>
    <xdr:to>
      <xdr:col>7</xdr:col>
      <xdr:colOff>642256</xdr:colOff>
      <xdr:row>6</xdr:row>
      <xdr:rowOff>1031421</xdr:rowOff>
    </xdr:to>
    <xdr:sp macro="" textlink="">
      <xdr:nvSpPr>
        <xdr:cNvPr id="8" name="Callout: Line 7">
          <a:extLst>
            <a:ext uri="{FF2B5EF4-FFF2-40B4-BE49-F238E27FC236}">
              <a16:creationId xmlns:a16="http://schemas.microsoft.com/office/drawing/2014/main" id="{DFE82C3F-0CA8-4055-B780-953A4D7D680E}"/>
            </a:ext>
          </a:extLst>
        </xdr:cNvPr>
        <xdr:cNvSpPr/>
      </xdr:nvSpPr>
      <xdr:spPr>
        <a:xfrm>
          <a:off x="6787240" y="3336471"/>
          <a:ext cx="2100945" cy="960664"/>
        </a:xfrm>
        <a:prstGeom prst="borderCallout1">
          <a:avLst>
            <a:gd name="adj1" fmla="val -3209"/>
            <a:gd name="adj2" fmla="val 69528"/>
            <a:gd name="adj3" fmla="val -132437"/>
            <a:gd name="adj4" fmla="val 80170"/>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Seleccionar los</a:t>
          </a:r>
          <a:r>
            <a:rPr lang="es-MX" sz="1600" baseline="0"/>
            <a:t> peligros identificados</a:t>
          </a:r>
          <a:endParaRPr lang="es-MX" sz="1600"/>
        </a:p>
      </xdr:txBody>
    </xdr:sp>
    <xdr:clientData/>
  </xdr:twoCellAnchor>
  <xdr:twoCellAnchor>
    <xdr:from>
      <xdr:col>7</xdr:col>
      <xdr:colOff>802819</xdr:colOff>
      <xdr:row>6</xdr:row>
      <xdr:rowOff>73479</xdr:rowOff>
    </xdr:from>
    <xdr:to>
      <xdr:col>8</xdr:col>
      <xdr:colOff>925287</xdr:colOff>
      <xdr:row>6</xdr:row>
      <xdr:rowOff>1034143</xdr:rowOff>
    </xdr:to>
    <xdr:sp macro="" textlink="">
      <xdr:nvSpPr>
        <xdr:cNvPr id="9" name="Callout: Line 8">
          <a:extLst>
            <a:ext uri="{FF2B5EF4-FFF2-40B4-BE49-F238E27FC236}">
              <a16:creationId xmlns:a16="http://schemas.microsoft.com/office/drawing/2014/main" id="{2989F6AB-1522-43E3-AFDE-23547756E51A}"/>
            </a:ext>
          </a:extLst>
        </xdr:cNvPr>
        <xdr:cNvSpPr/>
      </xdr:nvSpPr>
      <xdr:spPr>
        <a:xfrm>
          <a:off x="9048748" y="3339193"/>
          <a:ext cx="1700896" cy="960664"/>
        </a:xfrm>
        <a:prstGeom prst="borderCallout1">
          <a:avLst>
            <a:gd name="adj1" fmla="val 2457"/>
            <a:gd name="adj2" fmla="val 50328"/>
            <a:gd name="adj3" fmla="val -132437"/>
            <a:gd name="adj4" fmla="val 80170"/>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Seleccionar el mecanismo de lesión</a:t>
          </a:r>
        </a:p>
      </xdr:txBody>
    </xdr:sp>
    <xdr:clientData/>
  </xdr:twoCellAnchor>
  <xdr:twoCellAnchor>
    <xdr:from>
      <xdr:col>8</xdr:col>
      <xdr:colOff>993319</xdr:colOff>
      <xdr:row>6</xdr:row>
      <xdr:rowOff>87085</xdr:rowOff>
    </xdr:from>
    <xdr:to>
      <xdr:col>9</xdr:col>
      <xdr:colOff>1578429</xdr:colOff>
      <xdr:row>7</xdr:row>
      <xdr:rowOff>598713</xdr:rowOff>
    </xdr:to>
    <xdr:sp macro="" textlink="">
      <xdr:nvSpPr>
        <xdr:cNvPr id="10" name="Callout: Line 9">
          <a:extLst>
            <a:ext uri="{FF2B5EF4-FFF2-40B4-BE49-F238E27FC236}">
              <a16:creationId xmlns:a16="http://schemas.microsoft.com/office/drawing/2014/main" id="{0C39234E-735C-4B21-9489-704809B249AB}"/>
            </a:ext>
          </a:extLst>
        </xdr:cNvPr>
        <xdr:cNvSpPr/>
      </xdr:nvSpPr>
      <xdr:spPr>
        <a:xfrm>
          <a:off x="10817676" y="3352799"/>
          <a:ext cx="1646467" cy="1681843"/>
        </a:xfrm>
        <a:prstGeom prst="borderCallout1">
          <a:avLst>
            <a:gd name="adj1" fmla="val 836"/>
            <a:gd name="adj2" fmla="val 48867"/>
            <a:gd name="adj3" fmla="val -75803"/>
            <a:gd name="adj4" fmla="val 7887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Colocar en</a:t>
          </a:r>
          <a:r>
            <a:rPr lang="es-MX" sz="1600" baseline="0"/>
            <a:t> una descripción los </a:t>
          </a:r>
          <a:r>
            <a:rPr lang="es-MX" sz="1600"/>
            <a:t>pasos</a:t>
          </a:r>
          <a:r>
            <a:rPr lang="es-MX" sz="1600" baseline="0"/>
            <a:t> mas los </a:t>
          </a:r>
          <a:r>
            <a:rPr lang="es-MX" sz="1600"/>
            <a:t>peligros</a:t>
          </a:r>
          <a:r>
            <a:rPr lang="es-MX" sz="1600" baseline="0"/>
            <a:t> mas los </a:t>
          </a:r>
          <a:r>
            <a:rPr lang="es-MX" sz="1600"/>
            <a:t>mecanismos de lesión</a:t>
          </a:r>
        </a:p>
      </xdr:txBody>
    </xdr:sp>
    <xdr:clientData/>
  </xdr:twoCellAnchor>
  <xdr:twoCellAnchor>
    <xdr:from>
      <xdr:col>9</xdr:col>
      <xdr:colOff>1453241</xdr:colOff>
      <xdr:row>0</xdr:row>
      <xdr:rowOff>40821</xdr:rowOff>
    </xdr:from>
    <xdr:to>
      <xdr:col>11</xdr:col>
      <xdr:colOff>43543</xdr:colOff>
      <xdr:row>2</xdr:row>
      <xdr:rowOff>405492</xdr:rowOff>
    </xdr:to>
    <xdr:sp macro="" textlink="">
      <xdr:nvSpPr>
        <xdr:cNvPr id="12" name="Callout: Line 11">
          <a:extLst>
            <a:ext uri="{FF2B5EF4-FFF2-40B4-BE49-F238E27FC236}">
              <a16:creationId xmlns:a16="http://schemas.microsoft.com/office/drawing/2014/main" id="{30406EBB-2DC7-46C2-A67D-326D38F69ED6}"/>
            </a:ext>
          </a:extLst>
        </xdr:cNvPr>
        <xdr:cNvSpPr/>
      </xdr:nvSpPr>
      <xdr:spPr>
        <a:xfrm>
          <a:off x="12338955" y="40821"/>
          <a:ext cx="2100945" cy="1126671"/>
        </a:xfrm>
        <a:prstGeom prst="borderCallout1">
          <a:avLst>
            <a:gd name="adj1" fmla="val 101607"/>
            <a:gd name="adj2" fmla="val 46212"/>
            <a:gd name="adj3" fmla="val 140979"/>
            <a:gd name="adj4" fmla="val 31595"/>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rtl="0" fontAlgn="base"/>
          <a:r>
            <a:rPr lang="es-ES" sz="1100">
              <a:solidFill>
                <a:schemeClr val="lt1"/>
              </a:solidFill>
              <a:effectLst/>
              <a:latin typeface="+mn-lt"/>
              <a:ea typeface="+mn-ea"/>
              <a:cs typeface="+mn-cs"/>
            </a:rPr>
            <a:t>Precauciones actuales tomadas para prevenir o reducir peligros que puedan dar origen a accidentes con  potencial de pérdida.</a:t>
          </a:r>
          <a:endParaRPr lang="es-MX" sz="1100">
            <a:effectLst/>
          </a:endParaRPr>
        </a:p>
        <a:p>
          <a:pPr rtl="0" fontAlgn="base"/>
          <a:r>
            <a:rPr lang="es-ES" sz="1100">
              <a:solidFill>
                <a:schemeClr val="lt1"/>
              </a:solidFill>
              <a:effectLst/>
              <a:latin typeface="+mn-lt"/>
              <a:ea typeface="+mn-ea"/>
              <a:cs typeface="+mn-cs"/>
            </a:rPr>
            <a:t>(</a:t>
          </a:r>
          <a:r>
            <a:rPr lang="es-ES" sz="1400">
              <a:solidFill>
                <a:schemeClr val="lt1"/>
              </a:solidFill>
              <a:effectLst/>
              <a:latin typeface="+mn-lt"/>
              <a:ea typeface="+mn-ea"/>
              <a:cs typeface="+mn-cs"/>
            </a:rPr>
            <a:t>Probabilidad)</a:t>
          </a:r>
          <a:endParaRPr lang="es-MX" sz="1600">
            <a:effectLst/>
          </a:endParaRPr>
        </a:p>
      </xdr:txBody>
    </xdr:sp>
    <xdr:clientData/>
  </xdr:twoCellAnchor>
  <xdr:twoCellAnchor>
    <xdr:from>
      <xdr:col>11</xdr:col>
      <xdr:colOff>81641</xdr:colOff>
      <xdr:row>0</xdr:row>
      <xdr:rowOff>43543</xdr:rowOff>
    </xdr:from>
    <xdr:to>
      <xdr:col>12</xdr:col>
      <xdr:colOff>326571</xdr:colOff>
      <xdr:row>2</xdr:row>
      <xdr:rowOff>408214</xdr:rowOff>
    </xdr:to>
    <xdr:sp macro="" textlink="">
      <xdr:nvSpPr>
        <xdr:cNvPr id="13" name="Callout: Line 12">
          <a:extLst>
            <a:ext uri="{FF2B5EF4-FFF2-40B4-BE49-F238E27FC236}">
              <a16:creationId xmlns:a16="http://schemas.microsoft.com/office/drawing/2014/main" id="{B428B49C-D1D1-4087-8FFE-F0A435EEDC0F}"/>
            </a:ext>
          </a:extLst>
        </xdr:cNvPr>
        <xdr:cNvSpPr/>
      </xdr:nvSpPr>
      <xdr:spPr>
        <a:xfrm>
          <a:off x="14477998" y="43543"/>
          <a:ext cx="1850573" cy="1126671"/>
        </a:xfrm>
        <a:prstGeom prst="borderCallout1">
          <a:avLst>
            <a:gd name="adj1" fmla="val 101607"/>
            <a:gd name="adj2" fmla="val 46212"/>
            <a:gd name="adj3" fmla="val 136148"/>
            <a:gd name="adj4" fmla="val 40399"/>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rtl="0" fontAlgn="base"/>
          <a:r>
            <a:rPr lang="es-ES" sz="1100" b="0">
              <a:solidFill>
                <a:schemeClr val="lt1"/>
              </a:solidFill>
              <a:effectLst/>
              <a:latin typeface="+mn-lt"/>
              <a:ea typeface="+mn-ea"/>
              <a:cs typeface="+mn-cs"/>
            </a:rPr>
            <a:t>Las medidas actuales tomadas para prevenir o reducir las consecuencias del accidente. </a:t>
          </a:r>
        </a:p>
        <a:p>
          <a:pPr rtl="0" fontAlgn="base"/>
          <a:r>
            <a:rPr lang="es-ES" sz="1100" b="0">
              <a:solidFill>
                <a:schemeClr val="lt1"/>
              </a:solidFill>
              <a:effectLst/>
              <a:latin typeface="+mn-lt"/>
              <a:ea typeface="+mn-ea"/>
              <a:cs typeface="+mn-cs"/>
            </a:rPr>
            <a:t>(</a:t>
          </a:r>
          <a:r>
            <a:rPr lang="es-ES" sz="1400" b="0">
              <a:solidFill>
                <a:schemeClr val="lt1"/>
              </a:solidFill>
              <a:effectLst/>
              <a:latin typeface="+mn-lt"/>
              <a:ea typeface="+mn-ea"/>
              <a:cs typeface="+mn-cs"/>
            </a:rPr>
            <a:t>Severidad)</a:t>
          </a:r>
          <a:endParaRPr lang="es-MX" b="0">
            <a:effectLst/>
          </a:endParaRPr>
        </a:p>
      </xdr:txBody>
    </xdr:sp>
    <xdr:clientData/>
  </xdr:twoCellAnchor>
  <xdr:twoCellAnchor>
    <xdr:from>
      <xdr:col>12</xdr:col>
      <xdr:colOff>723898</xdr:colOff>
      <xdr:row>0</xdr:row>
      <xdr:rowOff>46265</xdr:rowOff>
    </xdr:from>
    <xdr:to>
      <xdr:col>14</xdr:col>
      <xdr:colOff>655864</xdr:colOff>
      <xdr:row>2</xdr:row>
      <xdr:rowOff>410936</xdr:rowOff>
    </xdr:to>
    <xdr:sp macro="" textlink="">
      <xdr:nvSpPr>
        <xdr:cNvPr id="16" name="Callout: Line 15">
          <a:extLst>
            <a:ext uri="{FF2B5EF4-FFF2-40B4-BE49-F238E27FC236}">
              <a16:creationId xmlns:a16="http://schemas.microsoft.com/office/drawing/2014/main" id="{F04F5E79-B435-412A-B378-0BF067B34FD8}"/>
            </a:ext>
          </a:extLst>
        </xdr:cNvPr>
        <xdr:cNvSpPr/>
      </xdr:nvSpPr>
      <xdr:spPr>
        <a:xfrm>
          <a:off x="16725898" y="46265"/>
          <a:ext cx="1850573" cy="1126671"/>
        </a:xfrm>
        <a:prstGeom prst="borderCallout1">
          <a:avLst>
            <a:gd name="adj1" fmla="val 101607"/>
            <a:gd name="adj2" fmla="val 46212"/>
            <a:gd name="adj3" fmla="val 137356"/>
            <a:gd name="adj4" fmla="val 24958"/>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fontAlgn="base"/>
          <a:r>
            <a:rPr lang="es-MX" sz="1600">
              <a:solidFill>
                <a:schemeClr val="lt1"/>
              </a:solidFill>
              <a:latin typeface="+mn-lt"/>
              <a:ea typeface="+mn-ea"/>
              <a:cs typeface="+mn-cs"/>
            </a:rPr>
            <a:t>El tiempo en el que la persona o personas estan expuestas al riesgo</a:t>
          </a:r>
        </a:p>
      </xdr:txBody>
    </xdr:sp>
    <xdr:clientData/>
  </xdr:twoCellAnchor>
  <xdr:twoCellAnchor editAs="oneCell">
    <xdr:from>
      <xdr:col>10</xdr:col>
      <xdr:colOff>13608</xdr:colOff>
      <xdr:row>5</xdr:row>
      <xdr:rowOff>40822</xdr:rowOff>
    </xdr:from>
    <xdr:to>
      <xdr:col>11</xdr:col>
      <xdr:colOff>1592036</xdr:colOff>
      <xdr:row>6</xdr:row>
      <xdr:rowOff>1142999</xdr:rowOff>
    </xdr:to>
    <xdr:pic>
      <xdr:nvPicPr>
        <xdr:cNvPr id="17" name="Picture 16">
          <a:extLst>
            <a:ext uri="{FF2B5EF4-FFF2-40B4-BE49-F238E27FC236}">
              <a16:creationId xmlns:a16="http://schemas.microsoft.com/office/drawing/2014/main" id="{78BC48FB-EA67-248D-774A-3BCEDE8A1BA6}"/>
            </a:ext>
          </a:extLst>
        </xdr:cNvPr>
        <xdr:cNvPicPr>
          <a:picLocks noChangeAspect="1"/>
        </xdr:cNvPicPr>
      </xdr:nvPicPr>
      <xdr:blipFill>
        <a:blip xmlns:r="http://schemas.openxmlformats.org/officeDocument/2006/relationships" r:embed="rId2"/>
        <a:stretch>
          <a:fillRect/>
        </a:stretch>
      </xdr:blipFill>
      <xdr:spPr>
        <a:xfrm>
          <a:off x="12845144" y="2136322"/>
          <a:ext cx="3143249" cy="2272391"/>
        </a:xfrm>
        <a:prstGeom prst="rect">
          <a:avLst/>
        </a:prstGeom>
      </xdr:spPr>
    </xdr:pic>
    <xdr:clientData/>
  </xdr:twoCellAnchor>
  <xdr:twoCellAnchor>
    <xdr:from>
      <xdr:col>13</xdr:col>
      <xdr:colOff>176894</xdr:colOff>
      <xdr:row>5</xdr:row>
      <xdr:rowOff>171453</xdr:rowOff>
    </xdr:from>
    <xdr:to>
      <xdr:col>14</xdr:col>
      <xdr:colOff>1306286</xdr:colOff>
      <xdr:row>6</xdr:row>
      <xdr:rowOff>1</xdr:rowOff>
    </xdr:to>
    <xdr:sp macro="" textlink="">
      <xdr:nvSpPr>
        <xdr:cNvPr id="18" name="Callout: Line 17">
          <a:extLst>
            <a:ext uri="{FF2B5EF4-FFF2-40B4-BE49-F238E27FC236}">
              <a16:creationId xmlns:a16="http://schemas.microsoft.com/office/drawing/2014/main" id="{13F1AF34-9C4D-4DA8-B40D-BD7F97260F91}"/>
            </a:ext>
          </a:extLst>
        </xdr:cNvPr>
        <xdr:cNvSpPr/>
      </xdr:nvSpPr>
      <xdr:spPr>
        <a:xfrm>
          <a:off x="17512394" y="2266953"/>
          <a:ext cx="1714499" cy="998762"/>
        </a:xfrm>
        <a:prstGeom prst="borderCallout1">
          <a:avLst>
            <a:gd name="adj1" fmla="val 902"/>
            <a:gd name="adj2" fmla="val 49830"/>
            <a:gd name="adj3" fmla="val -20238"/>
            <a:gd name="adj4" fmla="val 60146"/>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fontAlgn="base"/>
          <a:r>
            <a:rPr lang="es-MX" sz="1600">
              <a:solidFill>
                <a:schemeClr val="lt1"/>
              </a:solidFill>
              <a:latin typeface="+mn-lt"/>
              <a:ea typeface="+mn-ea"/>
              <a:cs typeface="+mn-cs"/>
            </a:rPr>
            <a:t>Cantidad de personas expuestas al riesgo</a:t>
          </a:r>
        </a:p>
      </xdr:txBody>
    </xdr:sp>
    <xdr:clientData/>
  </xdr:twoCellAnchor>
  <xdr:twoCellAnchor>
    <xdr:from>
      <xdr:col>17</xdr:col>
      <xdr:colOff>307520</xdr:colOff>
      <xdr:row>5</xdr:row>
      <xdr:rowOff>312964</xdr:rowOff>
    </xdr:from>
    <xdr:to>
      <xdr:col>19</xdr:col>
      <xdr:colOff>530679</xdr:colOff>
      <xdr:row>11</xdr:row>
      <xdr:rowOff>136071</xdr:rowOff>
    </xdr:to>
    <xdr:sp macro="" textlink="">
      <xdr:nvSpPr>
        <xdr:cNvPr id="19" name="Callout: Line 18">
          <a:extLst>
            <a:ext uri="{FF2B5EF4-FFF2-40B4-BE49-F238E27FC236}">
              <a16:creationId xmlns:a16="http://schemas.microsoft.com/office/drawing/2014/main" id="{D7E6F07B-8B78-48EC-B37A-5F966DBE5512}"/>
            </a:ext>
          </a:extLst>
        </xdr:cNvPr>
        <xdr:cNvSpPr/>
      </xdr:nvSpPr>
      <xdr:spPr>
        <a:xfrm>
          <a:off x="21480234" y="2408464"/>
          <a:ext cx="2141766" cy="6844393"/>
        </a:xfrm>
        <a:prstGeom prst="borderCallout1">
          <a:avLst>
            <a:gd name="adj1" fmla="val 59"/>
            <a:gd name="adj2" fmla="val 47683"/>
            <a:gd name="adj3" fmla="val -5832"/>
            <a:gd name="adj4" fmla="val 33046"/>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base" latinLnBrk="0" hangingPunct="1">
            <a:lnSpc>
              <a:spcPct val="100000"/>
            </a:lnSpc>
            <a:spcBef>
              <a:spcPts val="0"/>
            </a:spcBef>
            <a:spcAft>
              <a:spcPts val="0"/>
            </a:spcAft>
            <a:buClrTx/>
            <a:buSzTx/>
            <a:buFontTx/>
            <a:buNone/>
            <a:tabLst/>
            <a:defRPr/>
          </a:pPr>
          <a:r>
            <a:rPr lang="es-MX" sz="1600">
              <a:solidFill>
                <a:schemeClr val="lt1"/>
              </a:solidFill>
              <a:latin typeface="+mn-lt"/>
              <a:ea typeface="+mn-ea"/>
              <a:cs typeface="+mn-cs"/>
            </a:rPr>
            <a:t>Toma en cuenta :</a:t>
          </a:r>
        </a:p>
        <a:p>
          <a:pPr marL="0" indent="0" algn="ctr" rtl="0" fontAlgn="base"/>
          <a:r>
            <a:rPr lang="es-MX" sz="1600">
              <a:solidFill>
                <a:schemeClr val="lt1"/>
              </a:solidFill>
              <a:latin typeface="+mn-lt"/>
              <a:ea typeface="+mn-ea"/>
              <a:cs typeface="+mn-cs"/>
            </a:rPr>
            <a:t>Entre mas controles  implementados se tengan ,  la probabilidad tendría que  disminuir</a:t>
          </a:r>
        </a:p>
        <a:p>
          <a:pPr marL="0" indent="0" algn="ctr" rtl="0" fontAlgn="base"/>
          <a:r>
            <a:rPr lang="es-MX" sz="1600">
              <a:solidFill>
                <a:schemeClr val="lt1"/>
              </a:solidFill>
              <a:latin typeface="+mn-lt"/>
              <a:ea typeface="+mn-ea"/>
              <a:cs typeface="+mn-cs"/>
            </a:rPr>
            <a:t>Incrementa si ocurrieron accidentes pasados o casi accidentes , relacionados en este paso de la tarea.</a:t>
          </a:r>
        </a:p>
        <a:p>
          <a:pPr marL="0" indent="0" algn="ctr" rtl="0" fontAlgn="base"/>
          <a:r>
            <a:rPr lang="es-MX" sz="1600">
              <a:solidFill>
                <a:schemeClr val="lt1"/>
              </a:solidFill>
              <a:latin typeface="+mn-lt"/>
              <a:ea typeface="+mn-ea"/>
              <a:cs typeface="+mn-cs"/>
            </a:rPr>
            <a:t>cuestioanrnos si los controles son de ingeniería (a prueba de errores) son mas efectivos que los controles administrativos (dependen de las personas)</a:t>
          </a:r>
        </a:p>
        <a:p>
          <a:pPr marL="0" indent="0" algn="ctr" rtl="0" fontAlgn="base"/>
          <a:r>
            <a:rPr lang="es-MX" sz="1600">
              <a:solidFill>
                <a:schemeClr val="lt1"/>
              </a:solidFill>
              <a:latin typeface="+mn-lt"/>
              <a:ea typeface="+mn-ea"/>
              <a:cs typeface="+mn-cs"/>
            </a:rPr>
            <a:t>Tomar en cuenta la opinión de tus compañeros, los operadores (discutan y consensen) (en los tres turnos).</a:t>
          </a:r>
        </a:p>
      </xdr:txBody>
    </xdr:sp>
    <xdr:clientData/>
  </xdr:twoCellAnchor>
  <xdr:twoCellAnchor>
    <xdr:from>
      <xdr:col>19</xdr:col>
      <xdr:colOff>168727</xdr:colOff>
      <xdr:row>1</xdr:row>
      <xdr:rowOff>48985</xdr:rowOff>
    </xdr:from>
    <xdr:to>
      <xdr:col>21</xdr:col>
      <xdr:colOff>1006929</xdr:colOff>
      <xdr:row>3</xdr:row>
      <xdr:rowOff>304799</xdr:rowOff>
    </xdr:to>
    <xdr:sp macro="" textlink="">
      <xdr:nvSpPr>
        <xdr:cNvPr id="20" name="Callout: Line 19">
          <a:extLst>
            <a:ext uri="{FF2B5EF4-FFF2-40B4-BE49-F238E27FC236}">
              <a16:creationId xmlns:a16="http://schemas.microsoft.com/office/drawing/2014/main" id="{6A77FD5A-8791-42C7-BCF8-F890DD8F0ACF}"/>
            </a:ext>
          </a:extLst>
        </xdr:cNvPr>
        <xdr:cNvSpPr/>
      </xdr:nvSpPr>
      <xdr:spPr>
        <a:xfrm>
          <a:off x="23260048" y="402771"/>
          <a:ext cx="2008417" cy="1126671"/>
        </a:xfrm>
        <a:prstGeom prst="borderCallout1">
          <a:avLst>
            <a:gd name="adj1" fmla="val 101607"/>
            <a:gd name="adj2" fmla="val 46212"/>
            <a:gd name="adj3" fmla="val 126486"/>
            <a:gd name="adj4" fmla="val 30236"/>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rtl="0" fontAlgn="base"/>
          <a:r>
            <a:rPr lang="es-MX" sz="1400" b="0">
              <a:effectLst/>
            </a:rPr>
            <a:t>Resultado</a:t>
          </a:r>
          <a:r>
            <a:rPr lang="es-MX" sz="1400" b="0" baseline="0">
              <a:effectLst/>
            </a:rPr>
            <a:t> de la multiplicación </a:t>
          </a:r>
        </a:p>
        <a:p>
          <a:pPr rtl="0" fontAlgn="base"/>
          <a:r>
            <a:rPr lang="es-ES" sz="1400">
              <a:solidFill>
                <a:schemeClr val="lt1"/>
              </a:solidFill>
              <a:effectLst/>
              <a:latin typeface="+mn-lt"/>
              <a:ea typeface="+mn-ea"/>
              <a:cs typeface="+mn-cs"/>
            </a:rPr>
            <a:t>HRN = P x G  x NP x FE </a:t>
          </a:r>
          <a:endParaRPr lang="es-MX" sz="1400" b="0">
            <a:effectLst/>
          </a:endParaRPr>
        </a:p>
      </xdr:txBody>
    </xdr:sp>
    <xdr:clientData/>
  </xdr:twoCellAnchor>
  <xdr:twoCellAnchor>
    <xdr:from>
      <xdr:col>15</xdr:col>
      <xdr:colOff>65313</xdr:colOff>
      <xdr:row>5</xdr:row>
      <xdr:rowOff>315686</xdr:rowOff>
    </xdr:from>
    <xdr:to>
      <xdr:col>17</xdr:col>
      <xdr:colOff>288472</xdr:colOff>
      <xdr:row>11</xdr:row>
      <xdr:rowOff>138793</xdr:rowOff>
    </xdr:to>
    <xdr:sp macro="" textlink="">
      <xdr:nvSpPr>
        <xdr:cNvPr id="21" name="Callout: Line 20">
          <a:extLst>
            <a:ext uri="{FF2B5EF4-FFF2-40B4-BE49-F238E27FC236}">
              <a16:creationId xmlns:a16="http://schemas.microsoft.com/office/drawing/2014/main" id="{3D667478-231F-4B0E-847C-2BCEE5ECB233}"/>
            </a:ext>
          </a:extLst>
        </xdr:cNvPr>
        <xdr:cNvSpPr/>
      </xdr:nvSpPr>
      <xdr:spPr>
        <a:xfrm>
          <a:off x="19319420" y="2411186"/>
          <a:ext cx="2141766" cy="6844393"/>
        </a:xfrm>
        <a:prstGeom prst="borderCallout1">
          <a:avLst>
            <a:gd name="adj1" fmla="val 59"/>
            <a:gd name="adj2" fmla="val 47683"/>
            <a:gd name="adj3" fmla="val -5832"/>
            <a:gd name="adj4" fmla="val 33046"/>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fontAlgn="base"/>
          <a:r>
            <a:rPr lang="es-MX" sz="1600">
              <a:solidFill>
                <a:schemeClr val="lt1"/>
              </a:solidFill>
              <a:latin typeface="+mn-lt"/>
              <a:ea typeface="+mn-ea"/>
              <a:cs typeface="+mn-cs"/>
            </a:rPr>
            <a:t>Toma en cuenta :</a:t>
          </a:r>
        </a:p>
        <a:p>
          <a:pPr marL="0" indent="0" algn="ctr" rtl="0" fontAlgn="base"/>
          <a:r>
            <a:rPr lang="es-MX" sz="1600">
              <a:solidFill>
                <a:schemeClr val="lt1"/>
              </a:solidFill>
              <a:latin typeface="+mn-lt"/>
              <a:ea typeface="+mn-ea"/>
              <a:cs typeface="+mn-cs"/>
            </a:rPr>
            <a:t>Entre mas defensas implementados se tengan ,  la gravedad tendría que  disminuir</a:t>
          </a:r>
        </a:p>
        <a:p>
          <a:pPr marL="0" indent="0" algn="ctr" rtl="0" fontAlgn="base"/>
          <a:r>
            <a:rPr lang="es-MX" sz="1600">
              <a:solidFill>
                <a:schemeClr val="lt1"/>
              </a:solidFill>
              <a:latin typeface="+mn-lt"/>
              <a:ea typeface="+mn-ea"/>
              <a:cs typeface="+mn-cs"/>
            </a:rPr>
            <a:t>Incrementa si ocurrieron accidentes pasados o casi accidentes , valorar la severidad de la lesión </a:t>
          </a:r>
        </a:p>
        <a:p>
          <a:pPr marL="0" indent="0" algn="ctr" rtl="0" fontAlgn="base"/>
          <a:r>
            <a:rPr lang="es-MX" sz="1600">
              <a:solidFill>
                <a:schemeClr val="lt1"/>
              </a:solidFill>
              <a:latin typeface="+mn-lt"/>
              <a:ea typeface="+mn-ea"/>
              <a:cs typeface="+mn-cs"/>
            </a:rPr>
            <a:t>Si hay EPP definido y esta implementado y se usa actualmente, hay que valorar la cultura de las personas para que realmente lo usen, o es una defensa que no se cumple.</a:t>
          </a:r>
        </a:p>
        <a:p>
          <a:pPr marL="0" indent="0" algn="ctr" rtl="0" fontAlgn="base"/>
          <a:r>
            <a:rPr lang="es-MX" sz="1600">
              <a:solidFill>
                <a:schemeClr val="lt1"/>
              </a:solidFill>
              <a:latin typeface="+mn-lt"/>
              <a:ea typeface="+mn-ea"/>
              <a:cs typeface="+mn-cs"/>
            </a:rPr>
            <a:t>La opinión de tus compañeros (discutan y consensen)</a:t>
          </a:r>
        </a:p>
      </xdr:txBody>
    </xdr:sp>
    <xdr:clientData/>
  </xdr:twoCellAnchor>
  <xdr:twoCellAnchor>
    <xdr:from>
      <xdr:col>20</xdr:col>
      <xdr:colOff>176893</xdr:colOff>
      <xdr:row>5</xdr:row>
      <xdr:rowOff>299358</xdr:rowOff>
    </xdr:from>
    <xdr:to>
      <xdr:col>21</xdr:col>
      <xdr:colOff>1183822</xdr:colOff>
      <xdr:row>6</xdr:row>
      <xdr:rowOff>89808</xdr:rowOff>
    </xdr:to>
    <xdr:sp macro="" textlink="">
      <xdr:nvSpPr>
        <xdr:cNvPr id="23" name="Callout: Line 22">
          <a:extLst>
            <a:ext uri="{FF2B5EF4-FFF2-40B4-BE49-F238E27FC236}">
              <a16:creationId xmlns:a16="http://schemas.microsoft.com/office/drawing/2014/main" id="{D66052AE-6C5B-47B1-B192-D1C6D3F1A37F}"/>
            </a:ext>
          </a:extLst>
        </xdr:cNvPr>
        <xdr:cNvSpPr/>
      </xdr:nvSpPr>
      <xdr:spPr>
        <a:xfrm>
          <a:off x="23853322" y="2394858"/>
          <a:ext cx="1592036" cy="960664"/>
        </a:xfrm>
        <a:prstGeom prst="borderCallout1">
          <a:avLst>
            <a:gd name="adj1" fmla="val 2457"/>
            <a:gd name="adj2" fmla="val 49015"/>
            <a:gd name="adj3" fmla="val -29038"/>
            <a:gd name="adj4" fmla="val 76751"/>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Clasificación en base al HRN</a:t>
          </a:r>
        </a:p>
      </xdr:txBody>
    </xdr:sp>
    <xdr:clientData/>
  </xdr:twoCellAnchor>
  <xdr:twoCellAnchor>
    <xdr:from>
      <xdr:col>21</xdr:col>
      <xdr:colOff>1213757</xdr:colOff>
      <xdr:row>5</xdr:row>
      <xdr:rowOff>397329</xdr:rowOff>
    </xdr:from>
    <xdr:to>
      <xdr:col>23</xdr:col>
      <xdr:colOff>193222</xdr:colOff>
      <xdr:row>7</xdr:row>
      <xdr:rowOff>598714</xdr:rowOff>
    </xdr:to>
    <xdr:sp macro="" textlink="">
      <xdr:nvSpPr>
        <xdr:cNvPr id="24" name="Callout: Line 23">
          <a:extLst>
            <a:ext uri="{FF2B5EF4-FFF2-40B4-BE49-F238E27FC236}">
              <a16:creationId xmlns:a16="http://schemas.microsoft.com/office/drawing/2014/main" id="{E1F12C63-F8B7-4209-91DA-C3C4EB7B30F9}"/>
            </a:ext>
          </a:extLst>
        </xdr:cNvPr>
        <xdr:cNvSpPr/>
      </xdr:nvSpPr>
      <xdr:spPr>
        <a:xfrm>
          <a:off x="25475293" y="2492829"/>
          <a:ext cx="1592036" cy="2541814"/>
        </a:xfrm>
        <a:prstGeom prst="borderCallout1">
          <a:avLst>
            <a:gd name="adj1" fmla="val 1609"/>
            <a:gd name="adj2" fmla="val 50725"/>
            <a:gd name="adj3" fmla="val -15611"/>
            <a:gd name="adj4" fmla="val 57092"/>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Prioridad de actuación</a:t>
          </a:r>
          <a:r>
            <a:rPr lang="es-MX" sz="1600" baseline="0"/>
            <a:t> en base al Nivel de riesgo.</a:t>
          </a:r>
          <a:endParaRPr lang="es-MX" sz="1600"/>
        </a:p>
      </xdr:txBody>
    </xdr:sp>
    <xdr:clientData/>
  </xdr:twoCellAnchor>
  <xdr:twoCellAnchor>
    <xdr:from>
      <xdr:col>23</xdr:col>
      <xdr:colOff>734784</xdr:colOff>
      <xdr:row>5</xdr:row>
      <xdr:rowOff>272143</xdr:rowOff>
    </xdr:from>
    <xdr:to>
      <xdr:col>27</xdr:col>
      <xdr:colOff>816427</xdr:colOff>
      <xdr:row>6</xdr:row>
      <xdr:rowOff>1143000</xdr:rowOff>
    </xdr:to>
    <xdr:sp macro="" textlink="">
      <xdr:nvSpPr>
        <xdr:cNvPr id="25" name="Callout: Line 24">
          <a:extLst>
            <a:ext uri="{FF2B5EF4-FFF2-40B4-BE49-F238E27FC236}">
              <a16:creationId xmlns:a16="http://schemas.microsoft.com/office/drawing/2014/main" id="{53F726DD-AAF9-4715-A5CE-5D75A84473F0}"/>
            </a:ext>
          </a:extLst>
        </xdr:cNvPr>
        <xdr:cNvSpPr/>
      </xdr:nvSpPr>
      <xdr:spPr>
        <a:xfrm>
          <a:off x="27608891" y="2367643"/>
          <a:ext cx="6885215" cy="2041071"/>
        </a:xfrm>
        <a:prstGeom prst="borderCallout1">
          <a:avLst>
            <a:gd name="adj1" fmla="val 1607"/>
            <a:gd name="adj2" fmla="val 50560"/>
            <a:gd name="adj3" fmla="val -38055"/>
            <a:gd name="adj4" fmla="val 41896"/>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fontAlgn="base"/>
          <a:r>
            <a:rPr lang="es-MX" sz="1600">
              <a:solidFill>
                <a:schemeClr val="lt1"/>
              </a:solidFill>
              <a:latin typeface="+mn-lt"/>
              <a:ea typeface="+mn-ea"/>
              <a:cs typeface="+mn-cs"/>
            </a:rPr>
            <a:t>Definir en base a al Tiempo de acción el "Plan de Trabajo" de esta manera asignamos la "Prioridad</a:t>
          </a:r>
          <a:r>
            <a:rPr lang="es-MX" sz="1600" baseline="0">
              <a:solidFill>
                <a:schemeClr val="lt1"/>
              </a:solidFill>
              <a:latin typeface="+mn-lt"/>
              <a:ea typeface="+mn-ea"/>
              <a:cs typeface="+mn-cs"/>
            </a:rPr>
            <a:t> de acción" ejemplo  si el nivel de riesgo es Inaceptable la acción será: </a:t>
          </a:r>
          <a:r>
            <a:rPr lang="es-MX" sz="1600" baseline="0">
              <a:solidFill>
                <a:sysClr val="windowText" lastClr="000000"/>
              </a:solidFill>
              <a:latin typeface="+mn-lt"/>
              <a:ea typeface="+mn-ea"/>
              <a:cs typeface="+mn-cs"/>
            </a:rPr>
            <a:t>"</a:t>
          </a:r>
          <a:r>
            <a:rPr lang="es-MX" sz="1600" b="1" i="0" u="none" strike="noStrike">
              <a:solidFill>
                <a:sysClr val="windowText" lastClr="000000"/>
              </a:solidFill>
              <a:effectLst/>
              <a:latin typeface="+mn-lt"/>
              <a:ea typeface="+mn-ea"/>
              <a:cs typeface="+mn-cs"/>
            </a:rPr>
            <a:t>Parar y detener la actividad"</a:t>
          </a:r>
          <a:r>
            <a:rPr lang="es-MX" sz="2400" b="1">
              <a:solidFill>
                <a:sysClr val="windowText" lastClr="000000"/>
              </a:solidFill>
            </a:rPr>
            <a:t> </a:t>
          </a:r>
          <a:endParaRPr lang="es-MX" sz="2400" b="1">
            <a:solidFill>
              <a:sysClr val="windowText" lastClr="000000"/>
            </a:solidFill>
            <a:latin typeface="+mn-lt"/>
            <a:ea typeface="+mn-ea"/>
            <a:cs typeface="+mn-cs"/>
          </a:endParaRPr>
        </a:p>
        <a:p>
          <a:pPr marL="0" indent="0" algn="ctr" rtl="0" fontAlgn="base"/>
          <a:r>
            <a:rPr lang="es-MX" sz="1600">
              <a:solidFill>
                <a:schemeClr val="lt1"/>
              </a:solidFill>
              <a:latin typeface="+mn-lt"/>
              <a:ea typeface="+mn-ea"/>
              <a:cs typeface="+mn-cs"/>
            </a:rPr>
            <a:t>Tambien definimos</a:t>
          </a:r>
          <a:r>
            <a:rPr lang="es-MX" sz="1600" baseline="0">
              <a:solidFill>
                <a:schemeClr val="lt1"/>
              </a:solidFill>
              <a:latin typeface="+mn-lt"/>
              <a:ea typeface="+mn-ea"/>
              <a:cs typeface="+mn-cs"/>
            </a:rPr>
            <a:t>: </a:t>
          </a:r>
          <a:r>
            <a:rPr lang="es-MX" sz="1600">
              <a:solidFill>
                <a:schemeClr val="lt1"/>
              </a:solidFill>
              <a:latin typeface="+mn-lt"/>
              <a:ea typeface="+mn-ea"/>
              <a:cs typeface="+mn-cs"/>
            </a:rPr>
            <a:t>El ¿Qué? y el ¿Cómo?</a:t>
          </a:r>
        </a:p>
        <a:p>
          <a:pPr marL="0" indent="0" algn="ctr" rtl="0" fontAlgn="base"/>
          <a:r>
            <a:rPr lang="es-MX" sz="1600">
              <a:solidFill>
                <a:schemeClr val="lt1"/>
              </a:solidFill>
              <a:latin typeface="+mn-lt"/>
              <a:ea typeface="+mn-ea"/>
              <a:cs typeface="+mn-cs"/>
            </a:rPr>
            <a:t>Fecha</a:t>
          </a:r>
          <a:r>
            <a:rPr lang="es-MX" sz="1600" baseline="0">
              <a:solidFill>
                <a:schemeClr val="lt1"/>
              </a:solidFill>
              <a:latin typeface="+mn-lt"/>
              <a:ea typeface="+mn-ea"/>
              <a:cs typeface="+mn-cs"/>
            </a:rPr>
            <a:t> programada de ejecución y el responsable, así como la fecha real de cierre.</a:t>
          </a:r>
          <a:endParaRPr lang="es-MX" sz="1600">
            <a:solidFill>
              <a:schemeClr val="lt1"/>
            </a:solidFill>
            <a:latin typeface="+mn-lt"/>
            <a:ea typeface="+mn-ea"/>
            <a:cs typeface="+mn-cs"/>
          </a:endParaRPr>
        </a:p>
        <a:p>
          <a:pPr marL="0" indent="0" algn="ctr" rtl="0" fontAlgn="base"/>
          <a:endParaRPr lang="es-MX" sz="1600">
            <a:solidFill>
              <a:schemeClr val="lt1"/>
            </a:solidFill>
            <a:latin typeface="+mn-lt"/>
            <a:ea typeface="+mn-ea"/>
            <a:cs typeface="+mn-cs"/>
          </a:endParaRPr>
        </a:p>
      </xdr:txBody>
    </xdr:sp>
    <xdr:clientData/>
  </xdr:twoCellAnchor>
  <xdr:twoCellAnchor>
    <xdr:from>
      <xdr:col>28</xdr:col>
      <xdr:colOff>435429</xdr:colOff>
      <xdr:row>5</xdr:row>
      <xdr:rowOff>666748</xdr:rowOff>
    </xdr:from>
    <xdr:to>
      <xdr:col>30</xdr:col>
      <xdr:colOff>223159</xdr:colOff>
      <xdr:row>8</xdr:row>
      <xdr:rowOff>966107</xdr:rowOff>
    </xdr:to>
    <xdr:sp macro="" textlink="">
      <xdr:nvSpPr>
        <xdr:cNvPr id="26" name="Callout: Line 25">
          <a:extLst>
            <a:ext uri="{FF2B5EF4-FFF2-40B4-BE49-F238E27FC236}">
              <a16:creationId xmlns:a16="http://schemas.microsoft.com/office/drawing/2014/main" id="{D0DDC16D-FA75-4214-BBC4-7FE385AA12E3}"/>
            </a:ext>
          </a:extLst>
        </xdr:cNvPr>
        <xdr:cNvSpPr/>
      </xdr:nvSpPr>
      <xdr:spPr>
        <a:xfrm>
          <a:off x="34943143" y="2762248"/>
          <a:ext cx="2100945" cy="3810002"/>
        </a:xfrm>
        <a:prstGeom prst="borderCallout1">
          <a:avLst>
            <a:gd name="adj1" fmla="val -328"/>
            <a:gd name="adj2" fmla="val 52689"/>
            <a:gd name="adj3" fmla="val -31197"/>
            <a:gd name="adj4" fmla="val 63330"/>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fontAlgn="base"/>
          <a:r>
            <a:rPr lang="es-ES" sz="1600" b="1">
              <a:solidFill>
                <a:sysClr val="windowText" lastClr="000000"/>
              </a:solidFill>
              <a:latin typeface="+mn-lt"/>
              <a:ea typeface="+mn-ea"/>
              <a:cs typeface="+mn-cs"/>
            </a:rPr>
            <a:t>"Nuevas Precauciones Implementadas" </a:t>
          </a:r>
        </a:p>
        <a:p>
          <a:pPr marL="0" indent="0" algn="ctr" rtl="0" fontAlgn="base"/>
          <a:r>
            <a:rPr lang="es-ES" sz="1600" b="0">
              <a:solidFill>
                <a:sysClr val="windowText" lastClr="000000"/>
              </a:solidFill>
              <a:latin typeface="+mn-lt"/>
              <a:ea typeface="+mn-ea"/>
              <a:cs typeface="+mn-cs"/>
            </a:rPr>
            <a:t>No</a:t>
          </a:r>
          <a:r>
            <a:rPr lang="es-ES" sz="1600" b="0" baseline="0">
              <a:solidFill>
                <a:sysClr val="windowText" lastClr="000000"/>
              </a:solidFill>
              <a:latin typeface="+mn-lt"/>
              <a:ea typeface="+mn-ea"/>
              <a:cs typeface="+mn-cs"/>
            </a:rPr>
            <a:t> pasar a esta sección hasta que las nuevas medidas esten implementadas en Gemba</a:t>
          </a:r>
        </a:p>
        <a:p>
          <a:pPr marL="0" indent="0" algn="ctr" rtl="0" fontAlgn="base"/>
          <a:r>
            <a:rPr lang="es-ES" sz="1600">
              <a:solidFill>
                <a:schemeClr val="lt1"/>
              </a:solidFill>
              <a:latin typeface="+mn-lt"/>
              <a:ea typeface="+mn-ea"/>
              <a:cs typeface="+mn-cs"/>
            </a:rPr>
            <a:t>(Probabilidad)</a:t>
          </a:r>
          <a:endParaRPr lang="es-MX" sz="1600">
            <a:solidFill>
              <a:schemeClr val="lt1"/>
            </a:solidFill>
            <a:latin typeface="+mn-lt"/>
            <a:ea typeface="+mn-ea"/>
            <a:cs typeface="+mn-cs"/>
          </a:endParaRPr>
        </a:p>
      </xdr:txBody>
    </xdr:sp>
    <xdr:clientData/>
  </xdr:twoCellAnchor>
  <xdr:twoCellAnchor>
    <xdr:from>
      <xdr:col>30</xdr:col>
      <xdr:colOff>261257</xdr:colOff>
      <xdr:row>5</xdr:row>
      <xdr:rowOff>669471</xdr:rowOff>
    </xdr:from>
    <xdr:to>
      <xdr:col>31</xdr:col>
      <xdr:colOff>574223</xdr:colOff>
      <xdr:row>8</xdr:row>
      <xdr:rowOff>979714</xdr:rowOff>
    </xdr:to>
    <xdr:sp macro="" textlink="">
      <xdr:nvSpPr>
        <xdr:cNvPr id="27" name="Callout: Line 26">
          <a:extLst>
            <a:ext uri="{FF2B5EF4-FFF2-40B4-BE49-F238E27FC236}">
              <a16:creationId xmlns:a16="http://schemas.microsoft.com/office/drawing/2014/main" id="{B1C16AD2-0EA9-4C79-8508-7B292FC71F5E}"/>
            </a:ext>
          </a:extLst>
        </xdr:cNvPr>
        <xdr:cNvSpPr/>
      </xdr:nvSpPr>
      <xdr:spPr>
        <a:xfrm>
          <a:off x="37082186" y="2764971"/>
          <a:ext cx="1850573" cy="3820886"/>
        </a:xfrm>
        <a:prstGeom prst="borderCallout1">
          <a:avLst>
            <a:gd name="adj1" fmla="val -447"/>
            <a:gd name="adj2" fmla="val 49888"/>
            <a:gd name="adj3" fmla="val -32016"/>
            <a:gd name="adj4" fmla="val 56575"/>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fontAlgn="base"/>
          <a:r>
            <a:rPr lang="es-ES" sz="1600" b="1">
              <a:solidFill>
                <a:sysClr val="windowText" lastClr="000000"/>
              </a:solidFill>
              <a:latin typeface="+mn-lt"/>
              <a:ea typeface="+mn-ea"/>
              <a:cs typeface="+mn-cs"/>
            </a:rPr>
            <a:t>"Nuevas medidas  Implementadas" </a:t>
          </a:r>
          <a:r>
            <a:rPr lang="es-ES" sz="1600">
              <a:solidFill>
                <a:sysClr val="windowText" lastClr="000000"/>
              </a:solidFill>
              <a:latin typeface="+mn-lt"/>
              <a:ea typeface="+mn-ea"/>
              <a:cs typeface="+mn-cs"/>
            </a:rPr>
            <a:t>No pasar a esta sección hasta que las nuevas medidas esten implementadas en Gemba</a:t>
          </a:r>
        </a:p>
        <a:p>
          <a:pPr marL="0" indent="0" algn="ctr" rtl="0" fontAlgn="base"/>
          <a:r>
            <a:rPr lang="es-ES" sz="1600">
              <a:solidFill>
                <a:schemeClr val="lt1"/>
              </a:solidFill>
              <a:latin typeface="+mn-lt"/>
              <a:ea typeface="+mn-ea"/>
              <a:cs typeface="+mn-cs"/>
            </a:rPr>
            <a:t>(Severidad)</a:t>
          </a:r>
          <a:endParaRPr lang="es-MX" sz="1600">
            <a:solidFill>
              <a:schemeClr val="lt1"/>
            </a:solidFill>
            <a:latin typeface="+mn-lt"/>
            <a:ea typeface="+mn-ea"/>
            <a:cs typeface="+mn-cs"/>
          </a:endParaRPr>
        </a:p>
      </xdr:txBody>
    </xdr:sp>
    <xdr:clientData/>
  </xdr:twoCellAnchor>
  <xdr:twoCellAnchor>
    <xdr:from>
      <xdr:col>31</xdr:col>
      <xdr:colOff>713015</xdr:colOff>
      <xdr:row>0</xdr:row>
      <xdr:rowOff>46265</xdr:rowOff>
    </xdr:from>
    <xdr:to>
      <xdr:col>33</xdr:col>
      <xdr:colOff>644981</xdr:colOff>
      <xdr:row>2</xdr:row>
      <xdr:rowOff>410936</xdr:rowOff>
    </xdr:to>
    <xdr:sp macro="" textlink="">
      <xdr:nvSpPr>
        <xdr:cNvPr id="28" name="Callout: Line 27">
          <a:extLst>
            <a:ext uri="{FF2B5EF4-FFF2-40B4-BE49-F238E27FC236}">
              <a16:creationId xmlns:a16="http://schemas.microsoft.com/office/drawing/2014/main" id="{25BA0DD1-13D1-4D9B-BC56-C9DCB7AA6816}"/>
            </a:ext>
          </a:extLst>
        </xdr:cNvPr>
        <xdr:cNvSpPr/>
      </xdr:nvSpPr>
      <xdr:spPr>
        <a:xfrm>
          <a:off x="39071551" y="46265"/>
          <a:ext cx="1850573" cy="1126671"/>
        </a:xfrm>
        <a:prstGeom prst="borderCallout1">
          <a:avLst>
            <a:gd name="adj1" fmla="val 101607"/>
            <a:gd name="adj2" fmla="val 46212"/>
            <a:gd name="adj3" fmla="val 137356"/>
            <a:gd name="adj4" fmla="val 24958"/>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fontAlgn="base"/>
          <a:r>
            <a:rPr lang="es-MX" sz="1600">
              <a:solidFill>
                <a:schemeClr val="lt1"/>
              </a:solidFill>
              <a:latin typeface="+mn-lt"/>
              <a:ea typeface="+mn-ea"/>
              <a:cs typeface="+mn-cs"/>
            </a:rPr>
            <a:t>El tiempo en el que la persona o personas estan expuestas al riesgo</a:t>
          </a:r>
        </a:p>
      </xdr:txBody>
    </xdr:sp>
    <xdr:clientData/>
  </xdr:twoCellAnchor>
  <xdr:twoCellAnchor>
    <xdr:from>
      <xdr:col>32</xdr:col>
      <xdr:colOff>166011</xdr:colOff>
      <xdr:row>5</xdr:row>
      <xdr:rowOff>171453</xdr:rowOff>
    </xdr:from>
    <xdr:to>
      <xdr:col>33</xdr:col>
      <xdr:colOff>1295403</xdr:colOff>
      <xdr:row>6</xdr:row>
      <xdr:rowOff>1</xdr:rowOff>
    </xdr:to>
    <xdr:sp macro="" textlink="">
      <xdr:nvSpPr>
        <xdr:cNvPr id="30" name="Callout: Line 29">
          <a:extLst>
            <a:ext uri="{FF2B5EF4-FFF2-40B4-BE49-F238E27FC236}">
              <a16:creationId xmlns:a16="http://schemas.microsoft.com/office/drawing/2014/main" id="{F18A2833-ED0E-4CD3-96A8-F60BE6D04712}"/>
            </a:ext>
          </a:extLst>
        </xdr:cNvPr>
        <xdr:cNvSpPr/>
      </xdr:nvSpPr>
      <xdr:spPr>
        <a:xfrm>
          <a:off x="39858047" y="2266953"/>
          <a:ext cx="1714499" cy="998762"/>
        </a:xfrm>
        <a:prstGeom prst="borderCallout1">
          <a:avLst>
            <a:gd name="adj1" fmla="val 902"/>
            <a:gd name="adj2" fmla="val 49830"/>
            <a:gd name="adj3" fmla="val -20238"/>
            <a:gd name="adj4" fmla="val 60146"/>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fontAlgn="base"/>
          <a:r>
            <a:rPr lang="es-MX" sz="1600">
              <a:solidFill>
                <a:schemeClr val="lt1"/>
              </a:solidFill>
              <a:latin typeface="+mn-lt"/>
              <a:ea typeface="+mn-ea"/>
              <a:cs typeface="+mn-cs"/>
            </a:rPr>
            <a:t>Cantidad de personas expuestas al riesgo</a:t>
          </a:r>
        </a:p>
      </xdr:txBody>
    </xdr:sp>
    <xdr:clientData/>
  </xdr:twoCellAnchor>
  <xdr:twoCellAnchor>
    <xdr:from>
      <xdr:col>38</xdr:col>
      <xdr:colOff>157844</xdr:colOff>
      <xdr:row>0</xdr:row>
      <xdr:rowOff>185057</xdr:rowOff>
    </xdr:from>
    <xdr:to>
      <xdr:col>40</xdr:col>
      <xdr:colOff>996047</xdr:colOff>
      <xdr:row>3</xdr:row>
      <xdr:rowOff>87085</xdr:rowOff>
    </xdr:to>
    <xdr:sp macro="" textlink="">
      <xdr:nvSpPr>
        <xdr:cNvPr id="32" name="Callout: Line 31">
          <a:extLst>
            <a:ext uri="{FF2B5EF4-FFF2-40B4-BE49-F238E27FC236}">
              <a16:creationId xmlns:a16="http://schemas.microsoft.com/office/drawing/2014/main" id="{75B5562A-EC3D-49B5-85A1-B03492008212}"/>
            </a:ext>
          </a:extLst>
        </xdr:cNvPr>
        <xdr:cNvSpPr/>
      </xdr:nvSpPr>
      <xdr:spPr>
        <a:xfrm>
          <a:off x="45605701" y="185057"/>
          <a:ext cx="2008417" cy="1126671"/>
        </a:xfrm>
        <a:prstGeom prst="borderCallout1">
          <a:avLst>
            <a:gd name="adj1" fmla="val 101607"/>
            <a:gd name="adj2" fmla="val 46212"/>
            <a:gd name="adj3" fmla="val 126486"/>
            <a:gd name="adj4" fmla="val 30236"/>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rtl="0" fontAlgn="base"/>
          <a:r>
            <a:rPr lang="es-MX" sz="1400" b="0">
              <a:effectLst/>
            </a:rPr>
            <a:t>Resultado</a:t>
          </a:r>
          <a:r>
            <a:rPr lang="es-MX" sz="1400" b="0" baseline="0">
              <a:effectLst/>
            </a:rPr>
            <a:t> de la multiplicación </a:t>
          </a:r>
        </a:p>
        <a:p>
          <a:pPr rtl="0" fontAlgn="base"/>
          <a:r>
            <a:rPr lang="es-ES" sz="1400">
              <a:solidFill>
                <a:schemeClr val="lt1"/>
              </a:solidFill>
              <a:effectLst/>
              <a:latin typeface="+mn-lt"/>
              <a:ea typeface="+mn-ea"/>
              <a:cs typeface="+mn-cs"/>
            </a:rPr>
            <a:t>HRN = P x G  x NP x FE </a:t>
          </a:r>
          <a:endParaRPr lang="es-MX" sz="1400" b="0">
            <a:effectLst/>
          </a:endParaRPr>
        </a:p>
      </xdr:txBody>
    </xdr:sp>
    <xdr:clientData/>
  </xdr:twoCellAnchor>
  <xdr:twoCellAnchor>
    <xdr:from>
      <xdr:col>35</xdr:col>
      <xdr:colOff>54429</xdr:colOff>
      <xdr:row>5</xdr:row>
      <xdr:rowOff>206829</xdr:rowOff>
    </xdr:from>
    <xdr:to>
      <xdr:col>38</xdr:col>
      <xdr:colOff>503463</xdr:colOff>
      <xdr:row>8</xdr:row>
      <xdr:rowOff>231321</xdr:rowOff>
    </xdr:to>
    <xdr:sp macro="" textlink="">
      <xdr:nvSpPr>
        <xdr:cNvPr id="33" name="Callout: Line 32">
          <a:extLst>
            <a:ext uri="{FF2B5EF4-FFF2-40B4-BE49-F238E27FC236}">
              <a16:creationId xmlns:a16="http://schemas.microsoft.com/office/drawing/2014/main" id="{3CAE541E-FD5A-4B79-BD95-0E45C68C6676}"/>
            </a:ext>
          </a:extLst>
        </xdr:cNvPr>
        <xdr:cNvSpPr/>
      </xdr:nvSpPr>
      <xdr:spPr>
        <a:xfrm>
          <a:off x="42250179" y="2302329"/>
          <a:ext cx="3701141" cy="3535135"/>
        </a:xfrm>
        <a:prstGeom prst="borderCallout1">
          <a:avLst>
            <a:gd name="adj1" fmla="val 59"/>
            <a:gd name="adj2" fmla="val 49889"/>
            <a:gd name="adj3" fmla="val -5447"/>
            <a:gd name="adj4" fmla="val 22752"/>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fontAlgn="base"/>
          <a:r>
            <a:rPr lang="es-MX" sz="1600">
              <a:solidFill>
                <a:schemeClr val="lt1"/>
              </a:solidFill>
              <a:latin typeface="+mn-lt"/>
              <a:ea typeface="+mn-ea"/>
              <a:cs typeface="+mn-cs"/>
            </a:rPr>
            <a:t>Toma en cuenta :</a:t>
          </a:r>
        </a:p>
        <a:p>
          <a:pPr marL="0" indent="0" algn="ctr" rtl="0" fontAlgn="base"/>
          <a:r>
            <a:rPr lang="es-MX" sz="1600">
              <a:solidFill>
                <a:schemeClr val="lt1"/>
              </a:solidFill>
              <a:latin typeface="+mn-lt"/>
              <a:ea typeface="+mn-ea"/>
              <a:cs typeface="+mn-cs"/>
            </a:rPr>
            <a:t>Que los contorles y las defensas implementadas deben de ser de</a:t>
          </a:r>
          <a:r>
            <a:rPr lang="es-MX" sz="1600" baseline="0">
              <a:solidFill>
                <a:schemeClr val="lt1"/>
              </a:solidFill>
              <a:latin typeface="+mn-lt"/>
              <a:ea typeface="+mn-ea"/>
              <a:cs typeface="+mn-cs"/>
            </a:rPr>
            <a:t> nivel de eliminación, Sustitución, automatización, para que nos ayuden a reducir la probabilidad y gravedad del riesgo</a:t>
          </a:r>
          <a:endParaRPr lang="es-MX" sz="1600">
            <a:solidFill>
              <a:schemeClr val="lt1"/>
            </a:solidFill>
            <a:latin typeface="+mn-lt"/>
            <a:ea typeface="+mn-ea"/>
            <a:cs typeface="+mn-cs"/>
          </a:endParaRPr>
        </a:p>
      </xdr:txBody>
    </xdr:sp>
    <xdr:clientData/>
  </xdr:twoCellAnchor>
  <xdr:twoCellAnchor>
    <xdr:from>
      <xdr:col>39</xdr:col>
      <xdr:colOff>261261</xdr:colOff>
      <xdr:row>5</xdr:row>
      <xdr:rowOff>598715</xdr:rowOff>
    </xdr:from>
    <xdr:to>
      <xdr:col>41</xdr:col>
      <xdr:colOff>54428</xdr:colOff>
      <xdr:row>7</xdr:row>
      <xdr:rowOff>1115786</xdr:rowOff>
    </xdr:to>
    <xdr:sp macro="" textlink="">
      <xdr:nvSpPr>
        <xdr:cNvPr id="34" name="Callout: Line 33">
          <a:extLst>
            <a:ext uri="{FF2B5EF4-FFF2-40B4-BE49-F238E27FC236}">
              <a16:creationId xmlns:a16="http://schemas.microsoft.com/office/drawing/2014/main" id="{2EDFAD5E-0E40-4172-9285-88A791D2CDC2}"/>
            </a:ext>
          </a:extLst>
        </xdr:cNvPr>
        <xdr:cNvSpPr/>
      </xdr:nvSpPr>
      <xdr:spPr>
        <a:xfrm>
          <a:off x="46294225" y="2694215"/>
          <a:ext cx="1752596" cy="2857500"/>
        </a:xfrm>
        <a:prstGeom prst="borderCallout1">
          <a:avLst>
            <a:gd name="adj1" fmla="val 2457"/>
            <a:gd name="adj2" fmla="val 49015"/>
            <a:gd name="adj3" fmla="val -20950"/>
            <a:gd name="adj4" fmla="val 69913"/>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600"/>
            <a:t>Si en la clasificacion de nivel de riesgo continua en los niveles entre medio y e</a:t>
          </a:r>
          <a:r>
            <a:rPr lang="es-MX" sz="1600" baseline="0"/>
            <a:t> inaceptable volver a generar contramedidas y contrles diferentes.</a:t>
          </a:r>
          <a:endParaRPr lang="es-MX" sz="1600"/>
        </a:p>
      </xdr:txBody>
    </xdr:sp>
    <xdr:clientData/>
  </xdr:twoCellAnchor>
  <xdr:twoCellAnchor>
    <xdr:from>
      <xdr:col>36</xdr:col>
      <xdr:colOff>571500</xdr:colOff>
      <xdr:row>4</xdr:row>
      <xdr:rowOff>476250</xdr:rowOff>
    </xdr:from>
    <xdr:to>
      <xdr:col>37</xdr:col>
      <xdr:colOff>789214</xdr:colOff>
      <xdr:row>5</xdr:row>
      <xdr:rowOff>206829</xdr:rowOff>
    </xdr:to>
    <xdr:cxnSp macro="">
      <xdr:nvCxnSpPr>
        <xdr:cNvPr id="37" name="Straight Connector 36">
          <a:extLst>
            <a:ext uri="{FF2B5EF4-FFF2-40B4-BE49-F238E27FC236}">
              <a16:creationId xmlns:a16="http://schemas.microsoft.com/office/drawing/2014/main" id="{DD738C31-1AB3-3791-6456-61018D384E29}"/>
            </a:ext>
          </a:extLst>
        </xdr:cNvPr>
        <xdr:cNvCxnSpPr>
          <a:endCxn id="33" idx="3"/>
        </xdr:cNvCxnSpPr>
      </xdr:nvCxnSpPr>
      <xdr:spPr>
        <a:xfrm flipH="1">
          <a:off x="44100750" y="2081893"/>
          <a:ext cx="802821" cy="22043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160567</xdr:colOff>
      <xdr:row>5</xdr:row>
      <xdr:rowOff>242208</xdr:rowOff>
    </xdr:from>
    <xdr:to>
      <xdr:col>42</xdr:col>
      <xdr:colOff>244930</xdr:colOff>
      <xdr:row>6</xdr:row>
      <xdr:rowOff>449037</xdr:rowOff>
    </xdr:to>
    <xdr:sp macro="" textlink="">
      <xdr:nvSpPr>
        <xdr:cNvPr id="40" name="Callout: Line 39">
          <a:extLst>
            <a:ext uri="{FF2B5EF4-FFF2-40B4-BE49-F238E27FC236}">
              <a16:creationId xmlns:a16="http://schemas.microsoft.com/office/drawing/2014/main" id="{341D6538-5962-4DCC-9424-973CA40C3838}"/>
            </a:ext>
          </a:extLst>
        </xdr:cNvPr>
        <xdr:cNvSpPr/>
      </xdr:nvSpPr>
      <xdr:spPr>
        <a:xfrm>
          <a:off x="48152960" y="2337708"/>
          <a:ext cx="1172934" cy="1377043"/>
        </a:xfrm>
        <a:prstGeom prst="borderCallout1">
          <a:avLst>
            <a:gd name="adj1" fmla="val -172"/>
            <a:gd name="adj2" fmla="val 50852"/>
            <a:gd name="adj3" fmla="val -17783"/>
            <a:gd name="adj4" fmla="val 10514"/>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rtl="0" fontAlgn="base"/>
          <a:r>
            <a:rPr lang="es-MX" sz="1400" b="0">
              <a:effectLst/>
            </a:rPr>
            <a:t>Colocar de favor si es un estandar</a:t>
          </a:r>
          <a:r>
            <a:rPr lang="es-MX" sz="1400" b="0" baseline="0">
              <a:effectLst/>
            </a:rPr>
            <a:t> implementado en Gemba</a:t>
          </a:r>
          <a:endParaRPr lang="es-MX" sz="1400" b="0">
            <a:effectLst/>
          </a:endParaRPr>
        </a:p>
      </xdr:txBody>
    </xdr:sp>
    <xdr:clientData/>
  </xdr:twoCellAnchor>
  <xdr:twoCellAnchor>
    <xdr:from>
      <xdr:col>41</xdr:col>
      <xdr:colOff>190502</xdr:colOff>
      <xdr:row>6</xdr:row>
      <xdr:rowOff>680358</xdr:rowOff>
    </xdr:from>
    <xdr:to>
      <xdr:col>42</xdr:col>
      <xdr:colOff>1728106</xdr:colOff>
      <xdr:row>11</xdr:row>
      <xdr:rowOff>122464</xdr:rowOff>
    </xdr:to>
    <xdr:sp macro="" textlink="">
      <xdr:nvSpPr>
        <xdr:cNvPr id="41" name="Callout: Line 40">
          <a:extLst>
            <a:ext uri="{FF2B5EF4-FFF2-40B4-BE49-F238E27FC236}">
              <a16:creationId xmlns:a16="http://schemas.microsoft.com/office/drawing/2014/main" id="{12504B10-5C0B-4645-BA9B-128E115443E9}"/>
            </a:ext>
          </a:extLst>
        </xdr:cNvPr>
        <xdr:cNvSpPr/>
      </xdr:nvSpPr>
      <xdr:spPr>
        <a:xfrm>
          <a:off x="48182895" y="3946072"/>
          <a:ext cx="2626175" cy="5293178"/>
        </a:xfrm>
        <a:prstGeom prst="borderCallout1">
          <a:avLst>
            <a:gd name="adj1" fmla="val -172"/>
            <a:gd name="adj2" fmla="val 50852"/>
            <a:gd name="adj3" fmla="val -3901"/>
            <a:gd name="adj4" fmla="val 42638"/>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rtl="0" fontAlgn="base"/>
          <a:r>
            <a:rPr lang="es-MX" sz="1400" b="0">
              <a:effectLst/>
            </a:rPr>
            <a:t>Toma en cuenta que las</a:t>
          </a:r>
          <a:r>
            <a:rPr lang="es-MX" sz="1400" b="0" baseline="0">
              <a:effectLst/>
            </a:rPr>
            <a:t> ayudas visuales de los estandares en piso son fundamentales, de ahí el despliegue de aquellas actividades que salieron con riesgos entre medio y e inaceptable y despues de la implementación bajaron entre bajo e insisgnificante, esas son las que debería de estar en piso como ayudas visuales, las que si no se cumplen estaria nuestro personal expuesto a un accidente.</a:t>
          </a:r>
          <a:endParaRPr lang="es-MX" sz="1400" b="0">
            <a:effectLst/>
          </a:endParaRPr>
        </a:p>
      </xdr:txBody>
    </xdr:sp>
    <xdr:clientData/>
  </xdr:twoCellAnchor>
  <xdr:twoCellAnchor>
    <xdr:from>
      <xdr:col>42</xdr:col>
      <xdr:colOff>1170217</xdr:colOff>
      <xdr:row>5</xdr:row>
      <xdr:rowOff>136072</xdr:rowOff>
    </xdr:from>
    <xdr:to>
      <xdr:col>43</xdr:col>
      <xdr:colOff>612321</xdr:colOff>
      <xdr:row>5</xdr:row>
      <xdr:rowOff>802821</xdr:rowOff>
    </xdr:to>
    <xdr:sp macro="" textlink="">
      <xdr:nvSpPr>
        <xdr:cNvPr id="42" name="Callout: Line 41">
          <a:extLst>
            <a:ext uri="{FF2B5EF4-FFF2-40B4-BE49-F238E27FC236}">
              <a16:creationId xmlns:a16="http://schemas.microsoft.com/office/drawing/2014/main" id="{9DF7AB3F-4137-4A21-AD0F-17BFDABFAE09}"/>
            </a:ext>
          </a:extLst>
        </xdr:cNvPr>
        <xdr:cNvSpPr/>
      </xdr:nvSpPr>
      <xdr:spPr>
        <a:xfrm>
          <a:off x="50251181" y="2231572"/>
          <a:ext cx="1292676" cy="666749"/>
        </a:xfrm>
        <a:prstGeom prst="borderCallout1">
          <a:avLst>
            <a:gd name="adj1" fmla="val -172"/>
            <a:gd name="adj2" fmla="val 50852"/>
            <a:gd name="adj3" fmla="val -17783"/>
            <a:gd name="adj4" fmla="val 10514"/>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rtl="0" fontAlgn="base"/>
          <a:r>
            <a:rPr lang="es-MX" sz="1400" b="0">
              <a:effectLst/>
            </a:rPr>
            <a:t>Soporte</a:t>
          </a:r>
          <a:r>
            <a:rPr lang="es-MX" sz="1400" b="0" baseline="0">
              <a:effectLst/>
            </a:rPr>
            <a:t> técnico (Yossimar)</a:t>
          </a:r>
        </a:p>
        <a:p>
          <a:pPr rtl="0" fontAlgn="base"/>
          <a:endParaRPr lang="es-MX" sz="1400" b="0">
            <a:effectLst/>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9</xdr:col>
      <xdr:colOff>177800</xdr:colOff>
      <xdr:row>20</xdr:row>
      <xdr:rowOff>127000</xdr:rowOff>
    </xdr:from>
    <xdr:ext cx="184731" cy="264560"/>
    <xdr:sp macro="" textlink="">
      <xdr:nvSpPr>
        <xdr:cNvPr id="2" name="29 CuadroTexto">
          <a:extLst>
            <a:ext uri="{FF2B5EF4-FFF2-40B4-BE49-F238E27FC236}">
              <a16:creationId xmlns:a16="http://schemas.microsoft.com/office/drawing/2014/main" id="{E14D0F54-FE72-4F95-A4B3-D63CD50D794D}"/>
            </a:ext>
          </a:extLst>
        </xdr:cNvPr>
        <xdr:cNvSpPr txBox="1"/>
      </xdr:nvSpPr>
      <xdr:spPr>
        <a:xfrm>
          <a:off x="8207375" y="485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s-MX" sz="1100"/>
        </a:p>
      </xdr:txBody>
    </xdr:sp>
    <xdr:clientData/>
  </xdr:oneCellAnchor>
  <xdr:twoCellAnchor>
    <xdr:from>
      <xdr:col>1</xdr:col>
      <xdr:colOff>0</xdr:colOff>
      <xdr:row>21</xdr:row>
      <xdr:rowOff>139700</xdr:rowOff>
    </xdr:from>
    <xdr:to>
      <xdr:col>6</xdr:col>
      <xdr:colOff>2349500</xdr:colOff>
      <xdr:row>41</xdr:row>
      <xdr:rowOff>127000</xdr:rowOff>
    </xdr:to>
    <xdr:grpSp>
      <xdr:nvGrpSpPr>
        <xdr:cNvPr id="3" name="Group 1">
          <a:extLst>
            <a:ext uri="{FF2B5EF4-FFF2-40B4-BE49-F238E27FC236}">
              <a16:creationId xmlns:a16="http://schemas.microsoft.com/office/drawing/2014/main" id="{05475B28-E6FB-4D2E-98CD-28A19BBD728C}"/>
            </a:ext>
          </a:extLst>
        </xdr:cNvPr>
        <xdr:cNvGrpSpPr>
          <a:grpSpLocks/>
        </xdr:cNvGrpSpPr>
      </xdr:nvGrpSpPr>
      <xdr:grpSpPr bwMode="auto">
        <a:xfrm>
          <a:off x="180975" y="5378450"/>
          <a:ext cx="6835775" cy="3416300"/>
          <a:chOff x="657" y="663"/>
          <a:chExt cx="4581" cy="2903"/>
        </a:xfrm>
      </xdr:grpSpPr>
      <xdr:sp macro="" textlink="">
        <xdr:nvSpPr>
          <xdr:cNvPr id="4" name="AutoShape 2">
            <a:extLst>
              <a:ext uri="{FF2B5EF4-FFF2-40B4-BE49-F238E27FC236}">
                <a16:creationId xmlns:a16="http://schemas.microsoft.com/office/drawing/2014/main" id="{7BA49781-62DE-9A0A-A41D-C283B7F461C7}"/>
              </a:ext>
            </a:extLst>
          </xdr:cNvPr>
          <xdr:cNvSpPr>
            <a:spLocks noChangeArrowheads="1"/>
          </xdr:cNvSpPr>
        </xdr:nvSpPr>
        <xdr:spPr bwMode="auto">
          <a:xfrm>
            <a:off x="657" y="663"/>
            <a:ext cx="1222" cy="269"/>
          </a:xfrm>
          <a:prstGeom prst="flowChartAlternateProcess">
            <a:avLst/>
          </a:prstGeom>
          <a:gradFill rotWithShape="1">
            <a:gsLst>
              <a:gs pos="0">
                <a:srgbClr val="3399FF"/>
              </a:gs>
              <a:gs pos="50000">
                <a:srgbClr val="EAEAEA"/>
              </a:gs>
              <a:gs pos="100000">
                <a:srgbClr val="3399FF"/>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HRN</a:t>
            </a:r>
          </a:p>
          <a:p>
            <a:pPr algn="ctr" rtl="1">
              <a:defRPr sz="1000"/>
            </a:pPr>
            <a:endParaRPr lang="es-MX" sz="1300" b="0" i="0" strike="noStrike">
              <a:solidFill>
                <a:srgbClr val="000000"/>
              </a:solidFill>
              <a:latin typeface="Arial"/>
              <a:cs typeface="Arial"/>
            </a:endParaRPr>
          </a:p>
        </xdr:txBody>
      </xdr:sp>
      <xdr:sp macro="" textlink="">
        <xdr:nvSpPr>
          <xdr:cNvPr id="5" name="AutoShape 3">
            <a:extLst>
              <a:ext uri="{FF2B5EF4-FFF2-40B4-BE49-F238E27FC236}">
                <a16:creationId xmlns:a16="http://schemas.microsoft.com/office/drawing/2014/main" id="{A2C24537-0229-92F2-6EE0-4EEE3C2D303C}"/>
              </a:ext>
            </a:extLst>
          </xdr:cNvPr>
          <xdr:cNvSpPr>
            <a:spLocks noChangeArrowheads="1"/>
          </xdr:cNvSpPr>
        </xdr:nvSpPr>
        <xdr:spPr bwMode="auto">
          <a:xfrm>
            <a:off x="1973" y="663"/>
            <a:ext cx="1454" cy="269"/>
          </a:xfrm>
          <a:prstGeom prst="flowChartAlternateProcess">
            <a:avLst/>
          </a:prstGeom>
          <a:gradFill rotWithShape="1">
            <a:gsLst>
              <a:gs pos="0">
                <a:srgbClr val="3399FF"/>
              </a:gs>
              <a:gs pos="50000">
                <a:srgbClr val="EAEAEA"/>
              </a:gs>
              <a:gs pos="100000">
                <a:srgbClr val="3399FF"/>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Riesgo</a:t>
            </a:r>
          </a:p>
          <a:p>
            <a:pPr algn="ctr" rtl="1">
              <a:defRPr sz="1000"/>
            </a:pPr>
            <a:endParaRPr lang="es-MX" sz="1300" b="0" i="0" strike="noStrike">
              <a:solidFill>
                <a:srgbClr val="000000"/>
              </a:solidFill>
              <a:latin typeface="Arial"/>
              <a:cs typeface="Arial"/>
            </a:endParaRPr>
          </a:p>
        </xdr:txBody>
      </xdr:sp>
      <xdr:sp macro="" textlink="">
        <xdr:nvSpPr>
          <xdr:cNvPr id="6" name="AutoShape 4">
            <a:extLst>
              <a:ext uri="{FF2B5EF4-FFF2-40B4-BE49-F238E27FC236}">
                <a16:creationId xmlns:a16="http://schemas.microsoft.com/office/drawing/2014/main" id="{1B66B3C3-E70D-5D7F-AF71-8C5711E094AE}"/>
              </a:ext>
            </a:extLst>
          </xdr:cNvPr>
          <xdr:cNvSpPr>
            <a:spLocks noChangeArrowheads="1"/>
          </xdr:cNvSpPr>
        </xdr:nvSpPr>
        <xdr:spPr bwMode="auto">
          <a:xfrm>
            <a:off x="3512" y="663"/>
            <a:ext cx="1726" cy="269"/>
          </a:xfrm>
          <a:prstGeom prst="flowChartAlternateProcess">
            <a:avLst/>
          </a:prstGeom>
          <a:gradFill rotWithShape="1">
            <a:gsLst>
              <a:gs pos="0">
                <a:srgbClr val="3399FF"/>
              </a:gs>
              <a:gs pos="50000">
                <a:srgbClr val="EAEAEA"/>
              </a:gs>
              <a:gs pos="100000">
                <a:srgbClr val="3399FF"/>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Escala de Tiempos</a:t>
            </a:r>
          </a:p>
          <a:p>
            <a:pPr algn="ctr" rtl="1">
              <a:defRPr sz="1000"/>
            </a:pPr>
            <a:endParaRPr lang="es-MX" sz="1300" b="0" i="0" strike="noStrike">
              <a:solidFill>
                <a:srgbClr val="000000"/>
              </a:solidFill>
              <a:latin typeface="Arial"/>
              <a:cs typeface="Arial"/>
            </a:endParaRPr>
          </a:p>
        </xdr:txBody>
      </xdr:sp>
      <xdr:sp macro="" textlink="">
        <xdr:nvSpPr>
          <xdr:cNvPr id="7" name="AutoShape 5">
            <a:extLst>
              <a:ext uri="{FF2B5EF4-FFF2-40B4-BE49-F238E27FC236}">
                <a16:creationId xmlns:a16="http://schemas.microsoft.com/office/drawing/2014/main" id="{DDF4CEFD-CEBC-DBA0-DAF9-A2A64B7FE297}"/>
              </a:ext>
            </a:extLst>
          </xdr:cNvPr>
          <xdr:cNvSpPr>
            <a:spLocks noChangeArrowheads="1"/>
          </xdr:cNvSpPr>
        </xdr:nvSpPr>
        <xdr:spPr bwMode="auto">
          <a:xfrm>
            <a:off x="657" y="1071"/>
            <a:ext cx="1226"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0 - 1</a:t>
            </a:r>
          </a:p>
          <a:p>
            <a:pPr algn="ctr" rtl="1">
              <a:defRPr sz="1000"/>
            </a:pPr>
            <a:endParaRPr lang="es-MX" sz="1300" b="0" i="0" strike="noStrike">
              <a:solidFill>
                <a:srgbClr val="000000"/>
              </a:solidFill>
              <a:latin typeface="Arial"/>
              <a:cs typeface="Arial"/>
            </a:endParaRPr>
          </a:p>
        </xdr:txBody>
      </xdr:sp>
      <xdr:sp macro="" textlink="">
        <xdr:nvSpPr>
          <xdr:cNvPr id="8" name="AutoShape 6">
            <a:extLst>
              <a:ext uri="{FF2B5EF4-FFF2-40B4-BE49-F238E27FC236}">
                <a16:creationId xmlns:a16="http://schemas.microsoft.com/office/drawing/2014/main" id="{AA483438-78CB-3F0A-518B-6774687F6630}"/>
              </a:ext>
            </a:extLst>
          </xdr:cNvPr>
          <xdr:cNvSpPr>
            <a:spLocks noChangeArrowheads="1"/>
          </xdr:cNvSpPr>
        </xdr:nvSpPr>
        <xdr:spPr bwMode="auto">
          <a:xfrm>
            <a:off x="1973" y="1071"/>
            <a:ext cx="1454"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Insignificante</a:t>
            </a:r>
          </a:p>
          <a:p>
            <a:pPr algn="ctr" rtl="1">
              <a:defRPr sz="1000"/>
            </a:pPr>
            <a:endParaRPr lang="es-MX" sz="1300" b="0" i="0" strike="noStrike">
              <a:solidFill>
                <a:srgbClr val="000000"/>
              </a:solidFill>
              <a:latin typeface="Arial"/>
              <a:cs typeface="Arial"/>
            </a:endParaRPr>
          </a:p>
        </xdr:txBody>
      </xdr:sp>
      <xdr:sp macro="" textlink="">
        <xdr:nvSpPr>
          <xdr:cNvPr id="9" name="AutoShape 7">
            <a:extLst>
              <a:ext uri="{FF2B5EF4-FFF2-40B4-BE49-F238E27FC236}">
                <a16:creationId xmlns:a16="http://schemas.microsoft.com/office/drawing/2014/main" id="{FED10F26-F9A0-7A5C-CFBC-495C94D6BE2B}"/>
              </a:ext>
            </a:extLst>
          </xdr:cNvPr>
          <xdr:cNvSpPr>
            <a:spLocks noChangeArrowheads="1"/>
          </xdr:cNvSpPr>
        </xdr:nvSpPr>
        <xdr:spPr bwMode="auto">
          <a:xfrm>
            <a:off x="3600" y="1071"/>
            <a:ext cx="1638"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Aceptable</a:t>
            </a:r>
          </a:p>
          <a:p>
            <a:pPr algn="ctr" rtl="1">
              <a:defRPr sz="1000"/>
            </a:pPr>
            <a:endParaRPr lang="es-MX" sz="1300" b="0" i="0" strike="noStrike">
              <a:solidFill>
                <a:srgbClr val="000000"/>
              </a:solidFill>
              <a:latin typeface="Arial"/>
              <a:cs typeface="Arial"/>
            </a:endParaRPr>
          </a:p>
        </xdr:txBody>
      </xdr:sp>
      <xdr:sp macro="" textlink="">
        <xdr:nvSpPr>
          <xdr:cNvPr id="10" name="AutoShape 8">
            <a:extLst>
              <a:ext uri="{FF2B5EF4-FFF2-40B4-BE49-F238E27FC236}">
                <a16:creationId xmlns:a16="http://schemas.microsoft.com/office/drawing/2014/main" id="{85A0063D-8C40-ADE5-4CAA-E94FDDD207E2}"/>
              </a:ext>
            </a:extLst>
          </xdr:cNvPr>
          <xdr:cNvSpPr>
            <a:spLocks noChangeArrowheads="1"/>
          </xdr:cNvSpPr>
        </xdr:nvSpPr>
        <xdr:spPr bwMode="auto">
          <a:xfrm>
            <a:off x="657" y="1391"/>
            <a:ext cx="1226"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Más de 1 hasta 5</a:t>
            </a:r>
          </a:p>
          <a:p>
            <a:pPr algn="ctr" rtl="1">
              <a:defRPr sz="1000"/>
            </a:pPr>
            <a:endParaRPr lang="es-MX" sz="1300" b="0" i="0" strike="noStrike">
              <a:solidFill>
                <a:srgbClr val="000000"/>
              </a:solidFill>
              <a:latin typeface="Arial"/>
              <a:cs typeface="Arial"/>
            </a:endParaRPr>
          </a:p>
        </xdr:txBody>
      </xdr:sp>
      <xdr:sp macro="" textlink="">
        <xdr:nvSpPr>
          <xdr:cNvPr id="11" name="AutoShape 9">
            <a:extLst>
              <a:ext uri="{FF2B5EF4-FFF2-40B4-BE49-F238E27FC236}">
                <a16:creationId xmlns:a16="http://schemas.microsoft.com/office/drawing/2014/main" id="{14CF5E2D-3719-CCAA-E3AA-79F5BE0BF49B}"/>
              </a:ext>
            </a:extLst>
          </xdr:cNvPr>
          <xdr:cNvSpPr>
            <a:spLocks noChangeArrowheads="1"/>
          </xdr:cNvSpPr>
        </xdr:nvSpPr>
        <xdr:spPr bwMode="auto">
          <a:xfrm>
            <a:off x="1973" y="1391"/>
            <a:ext cx="1454"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Muy Bajo</a:t>
            </a:r>
          </a:p>
          <a:p>
            <a:pPr algn="ctr" rtl="1">
              <a:defRPr sz="1000"/>
            </a:pPr>
            <a:endParaRPr lang="es-MX" sz="1300" b="0" i="0" strike="noStrike">
              <a:solidFill>
                <a:srgbClr val="000000"/>
              </a:solidFill>
              <a:latin typeface="Arial"/>
              <a:cs typeface="Arial"/>
            </a:endParaRPr>
          </a:p>
        </xdr:txBody>
      </xdr:sp>
      <xdr:sp macro="" textlink="">
        <xdr:nvSpPr>
          <xdr:cNvPr id="12" name="AutoShape 10">
            <a:extLst>
              <a:ext uri="{FF2B5EF4-FFF2-40B4-BE49-F238E27FC236}">
                <a16:creationId xmlns:a16="http://schemas.microsoft.com/office/drawing/2014/main" id="{C6099DAC-E814-7429-244C-CAEC7C179F30}"/>
              </a:ext>
            </a:extLst>
          </xdr:cNvPr>
          <xdr:cNvSpPr>
            <a:spLocks noChangeArrowheads="1"/>
          </xdr:cNvSpPr>
        </xdr:nvSpPr>
        <xdr:spPr bwMode="auto">
          <a:xfrm>
            <a:off x="3587" y="1391"/>
            <a:ext cx="1651"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&lt; 1 Año</a:t>
            </a:r>
          </a:p>
          <a:p>
            <a:pPr algn="ctr" rtl="1">
              <a:defRPr sz="1000"/>
            </a:pPr>
            <a:endParaRPr lang="es-MX" sz="1300" b="0" i="0" strike="noStrike">
              <a:solidFill>
                <a:srgbClr val="000000"/>
              </a:solidFill>
              <a:latin typeface="Arial"/>
              <a:cs typeface="Arial"/>
            </a:endParaRPr>
          </a:p>
        </xdr:txBody>
      </xdr:sp>
      <xdr:sp macro="" textlink="">
        <xdr:nvSpPr>
          <xdr:cNvPr id="13" name="AutoShape 11">
            <a:extLst>
              <a:ext uri="{FF2B5EF4-FFF2-40B4-BE49-F238E27FC236}">
                <a16:creationId xmlns:a16="http://schemas.microsoft.com/office/drawing/2014/main" id="{B620FF35-BCCC-F519-7112-1013D766704B}"/>
              </a:ext>
            </a:extLst>
          </xdr:cNvPr>
          <xdr:cNvSpPr>
            <a:spLocks noChangeArrowheads="1"/>
          </xdr:cNvSpPr>
        </xdr:nvSpPr>
        <xdr:spPr bwMode="auto">
          <a:xfrm>
            <a:off x="657" y="1706"/>
            <a:ext cx="1222"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Más de 5 hasta 10</a:t>
            </a:r>
          </a:p>
          <a:p>
            <a:pPr algn="ctr" rtl="1">
              <a:defRPr sz="1000"/>
            </a:pPr>
            <a:endParaRPr lang="es-MX" sz="1300" b="0" i="0" strike="noStrike">
              <a:solidFill>
                <a:srgbClr val="000000"/>
              </a:solidFill>
              <a:latin typeface="Arial"/>
              <a:cs typeface="Arial"/>
            </a:endParaRPr>
          </a:p>
        </xdr:txBody>
      </xdr:sp>
      <xdr:sp macro="" textlink="">
        <xdr:nvSpPr>
          <xdr:cNvPr id="14" name="AutoShape 12">
            <a:extLst>
              <a:ext uri="{FF2B5EF4-FFF2-40B4-BE49-F238E27FC236}">
                <a16:creationId xmlns:a16="http://schemas.microsoft.com/office/drawing/2014/main" id="{37F749B1-F0D5-C950-A77B-4F810F127317}"/>
              </a:ext>
            </a:extLst>
          </xdr:cNvPr>
          <xdr:cNvSpPr>
            <a:spLocks noChangeArrowheads="1"/>
          </xdr:cNvSpPr>
        </xdr:nvSpPr>
        <xdr:spPr bwMode="auto">
          <a:xfrm>
            <a:off x="1973" y="1706"/>
            <a:ext cx="1454"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Bajo</a:t>
            </a:r>
          </a:p>
          <a:p>
            <a:pPr algn="ctr" rtl="1">
              <a:defRPr sz="1000"/>
            </a:pPr>
            <a:endParaRPr lang="es-MX" sz="1300" b="0" i="0" strike="noStrike">
              <a:solidFill>
                <a:srgbClr val="000000"/>
              </a:solidFill>
              <a:latin typeface="Arial"/>
              <a:cs typeface="Arial"/>
            </a:endParaRPr>
          </a:p>
        </xdr:txBody>
      </xdr:sp>
      <xdr:sp macro="" textlink="">
        <xdr:nvSpPr>
          <xdr:cNvPr id="15" name="AutoShape 13">
            <a:extLst>
              <a:ext uri="{FF2B5EF4-FFF2-40B4-BE49-F238E27FC236}">
                <a16:creationId xmlns:a16="http://schemas.microsoft.com/office/drawing/2014/main" id="{FB6FCD52-8899-678C-52BC-639FCF697D6F}"/>
              </a:ext>
            </a:extLst>
          </xdr:cNvPr>
          <xdr:cNvSpPr>
            <a:spLocks noChangeArrowheads="1"/>
          </xdr:cNvSpPr>
        </xdr:nvSpPr>
        <xdr:spPr bwMode="auto">
          <a:xfrm>
            <a:off x="3568" y="1706"/>
            <a:ext cx="1670"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&lt; 3 Meses</a:t>
            </a:r>
          </a:p>
          <a:p>
            <a:pPr algn="ctr" rtl="1">
              <a:defRPr sz="1000"/>
            </a:pPr>
            <a:endParaRPr lang="es-MX" sz="1300" b="0" i="0" strike="noStrike">
              <a:solidFill>
                <a:srgbClr val="000000"/>
              </a:solidFill>
              <a:latin typeface="Arial"/>
              <a:cs typeface="Arial"/>
            </a:endParaRPr>
          </a:p>
        </xdr:txBody>
      </xdr:sp>
      <xdr:sp macro="" textlink="">
        <xdr:nvSpPr>
          <xdr:cNvPr id="16" name="AutoShape 14">
            <a:extLst>
              <a:ext uri="{FF2B5EF4-FFF2-40B4-BE49-F238E27FC236}">
                <a16:creationId xmlns:a16="http://schemas.microsoft.com/office/drawing/2014/main" id="{95F485A9-A4BA-9395-D7A1-159007CF6690}"/>
              </a:ext>
            </a:extLst>
          </xdr:cNvPr>
          <xdr:cNvSpPr>
            <a:spLocks noChangeArrowheads="1"/>
          </xdr:cNvSpPr>
        </xdr:nvSpPr>
        <xdr:spPr bwMode="auto">
          <a:xfrm>
            <a:off x="657" y="2026"/>
            <a:ext cx="1222"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Más de 10 hasta 50</a:t>
            </a:r>
          </a:p>
          <a:p>
            <a:pPr algn="ctr" rtl="1">
              <a:defRPr sz="1000"/>
            </a:pPr>
            <a:endParaRPr lang="es-MX" sz="1300" b="0" i="0" strike="noStrike">
              <a:solidFill>
                <a:srgbClr val="000000"/>
              </a:solidFill>
              <a:latin typeface="Arial"/>
              <a:cs typeface="Arial"/>
            </a:endParaRPr>
          </a:p>
        </xdr:txBody>
      </xdr:sp>
      <xdr:sp macro="" textlink="">
        <xdr:nvSpPr>
          <xdr:cNvPr id="17" name="AutoShape 15">
            <a:extLst>
              <a:ext uri="{FF2B5EF4-FFF2-40B4-BE49-F238E27FC236}">
                <a16:creationId xmlns:a16="http://schemas.microsoft.com/office/drawing/2014/main" id="{43A93880-BF95-370F-E648-ECA03BDDACE0}"/>
              </a:ext>
            </a:extLst>
          </xdr:cNvPr>
          <xdr:cNvSpPr>
            <a:spLocks noChangeArrowheads="1"/>
          </xdr:cNvSpPr>
        </xdr:nvSpPr>
        <xdr:spPr bwMode="auto">
          <a:xfrm>
            <a:off x="1973" y="2026"/>
            <a:ext cx="1454"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Medio</a:t>
            </a:r>
          </a:p>
          <a:p>
            <a:pPr algn="ctr" rtl="1">
              <a:defRPr sz="1000"/>
            </a:pPr>
            <a:endParaRPr lang="es-MX" sz="1300" b="0" i="0" strike="noStrike">
              <a:solidFill>
                <a:srgbClr val="000000"/>
              </a:solidFill>
              <a:latin typeface="Arial"/>
              <a:cs typeface="Arial"/>
            </a:endParaRPr>
          </a:p>
        </xdr:txBody>
      </xdr:sp>
      <xdr:sp macro="" textlink="">
        <xdr:nvSpPr>
          <xdr:cNvPr id="18" name="AutoShape 16">
            <a:extLst>
              <a:ext uri="{FF2B5EF4-FFF2-40B4-BE49-F238E27FC236}">
                <a16:creationId xmlns:a16="http://schemas.microsoft.com/office/drawing/2014/main" id="{D283C785-D56B-00CB-C4BA-C94EF0760699}"/>
              </a:ext>
            </a:extLst>
          </xdr:cNvPr>
          <xdr:cNvSpPr>
            <a:spLocks noChangeArrowheads="1"/>
          </xdr:cNvSpPr>
        </xdr:nvSpPr>
        <xdr:spPr bwMode="auto">
          <a:xfrm>
            <a:off x="3568" y="2026"/>
            <a:ext cx="1670"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&lt; 1 Mes</a:t>
            </a:r>
          </a:p>
          <a:p>
            <a:pPr algn="ctr" rtl="1">
              <a:defRPr sz="1000"/>
            </a:pPr>
            <a:endParaRPr lang="es-MX" sz="1300" b="0" i="0" strike="noStrike">
              <a:solidFill>
                <a:srgbClr val="000000"/>
              </a:solidFill>
              <a:latin typeface="Arial"/>
              <a:cs typeface="Arial"/>
            </a:endParaRPr>
          </a:p>
        </xdr:txBody>
      </xdr:sp>
      <xdr:sp macro="" textlink="">
        <xdr:nvSpPr>
          <xdr:cNvPr id="19" name="AutoShape 17">
            <a:extLst>
              <a:ext uri="{FF2B5EF4-FFF2-40B4-BE49-F238E27FC236}">
                <a16:creationId xmlns:a16="http://schemas.microsoft.com/office/drawing/2014/main" id="{D23DF8BC-C379-7E89-0F0E-C72FF552E714}"/>
              </a:ext>
            </a:extLst>
          </xdr:cNvPr>
          <xdr:cNvSpPr>
            <a:spLocks noChangeArrowheads="1"/>
          </xdr:cNvSpPr>
        </xdr:nvSpPr>
        <xdr:spPr bwMode="auto">
          <a:xfrm>
            <a:off x="657" y="2342"/>
            <a:ext cx="1222"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Más de 50 hasta100</a:t>
            </a:r>
          </a:p>
          <a:p>
            <a:pPr algn="ctr" rtl="1">
              <a:defRPr sz="1000"/>
            </a:pPr>
            <a:endParaRPr lang="es-MX" sz="1300" b="0" i="0" strike="noStrike">
              <a:solidFill>
                <a:srgbClr val="000000"/>
              </a:solidFill>
              <a:latin typeface="Arial"/>
              <a:cs typeface="Arial"/>
            </a:endParaRPr>
          </a:p>
        </xdr:txBody>
      </xdr:sp>
      <xdr:sp macro="" textlink="">
        <xdr:nvSpPr>
          <xdr:cNvPr id="20" name="AutoShape 18">
            <a:extLst>
              <a:ext uri="{FF2B5EF4-FFF2-40B4-BE49-F238E27FC236}">
                <a16:creationId xmlns:a16="http://schemas.microsoft.com/office/drawing/2014/main" id="{221E2338-BD33-5909-C73D-7FD740962C6C}"/>
              </a:ext>
            </a:extLst>
          </xdr:cNvPr>
          <xdr:cNvSpPr>
            <a:spLocks noChangeArrowheads="1"/>
          </xdr:cNvSpPr>
        </xdr:nvSpPr>
        <xdr:spPr bwMode="auto">
          <a:xfrm>
            <a:off x="1973" y="2342"/>
            <a:ext cx="1454"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Alto</a:t>
            </a:r>
          </a:p>
          <a:p>
            <a:pPr algn="ctr" rtl="1">
              <a:defRPr sz="1000"/>
            </a:pPr>
            <a:endParaRPr lang="es-MX" sz="1300" b="0" i="0" strike="noStrike">
              <a:solidFill>
                <a:srgbClr val="000000"/>
              </a:solidFill>
              <a:latin typeface="Arial"/>
              <a:cs typeface="Arial"/>
            </a:endParaRPr>
          </a:p>
        </xdr:txBody>
      </xdr:sp>
      <xdr:sp macro="" textlink="">
        <xdr:nvSpPr>
          <xdr:cNvPr id="21" name="AutoShape 19">
            <a:extLst>
              <a:ext uri="{FF2B5EF4-FFF2-40B4-BE49-F238E27FC236}">
                <a16:creationId xmlns:a16="http://schemas.microsoft.com/office/drawing/2014/main" id="{D202DEAA-8BD0-2AA3-52D4-DEEC7A403410}"/>
              </a:ext>
            </a:extLst>
          </xdr:cNvPr>
          <xdr:cNvSpPr>
            <a:spLocks noChangeArrowheads="1"/>
          </xdr:cNvSpPr>
        </xdr:nvSpPr>
        <xdr:spPr bwMode="auto">
          <a:xfrm>
            <a:off x="3561" y="2342"/>
            <a:ext cx="1677"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&lt; 1 Semana</a:t>
            </a:r>
          </a:p>
          <a:p>
            <a:pPr algn="ctr" rtl="1">
              <a:defRPr sz="1000"/>
            </a:pPr>
            <a:endParaRPr lang="es-MX" sz="1300" b="0" i="0" strike="noStrike">
              <a:solidFill>
                <a:srgbClr val="000000"/>
              </a:solidFill>
              <a:latin typeface="Arial"/>
              <a:cs typeface="Arial"/>
            </a:endParaRPr>
          </a:p>
        </xdr:txBody>
      </xdr:sp>
      <xdr:sp macro="" textlink="">
        <xdr:nvSpPr>
          <xdr:cNvPr id="22" name="AutoShape 20">
            <a:extLst>
              <a:ext uri="{FF2B5EF4-FFF2-40B4-BE49-F238E27FC236}">
                <a16:creationId xmlns:a16="http://schemas.microsoft.com/office/drawing/2014/main" id="{2B1E8081-DDE7-069D-218A-5E8AA24CAB61}"/>
              </a:ext>
            </a:extLst>
          </xdr:cNvPr>
          <xdr:cNvSpPr>
            <a:spLocks noChangeArrowheads="1"/>
          </xdr:cNvSpPr>
        </xdr:nvSpPr>
        <xdr:spPr bwMode="auto">
          <a:xfrm>
            <a:off x="657" y="2662"/>
            <a:ext cx="1226"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Más de 100 hasta  500</a:t>
            </a:r>
          </a:p>
          <a:p>
            <a:pPr algn="ctr" rtl="1">
              <a:defRPr sz="1000"/>
            </a:pPr>
            <a:endParaRPr lang="es-MX" sz="1300" b="0" i="0" strike="noStrike">
              <a:solidFill>
                <a:srgbClr val="000000"/>
              </a:solidFill>
              <a:latin typeface="Arial"/>
              <a:cs typeface="Arial"/>
            </a:endParaRPr>
          </a:p>
        </xdr:txBody>
      </xdr:sp>
      <xdr:sp macro="" textlink="">
        <xdr:nvSpPr>
          <xdr:cNvPr id="23" name="AutoShape 21">
            <a:extLst>
              <a:ext uri="{FF2B5EF4-FFF2-40B4-BE49-F238E27FC236}">
                <a16:creationId xmlns:a16="http://schemas.microsoft.com/office/drawing/2014/main" id="{42C6723E-E1F0-ADB5-18B6-ABE2F6EB28AE}"/>
              </a:ext>
            </a:extLst>
          </xdr:cNvPr>
          <xdr:cNvSpPr>
            <a:spLocks noChangeArrowheads="1"/>
          </xdr:cNvSpPr>
        </xdr:nvSpPr>
        <xdr:spPr bwMode="auto">
          <a:xfrm>
            <a:off x="1973" y="2662"/>
            <a:ext cx="1454"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Muy Alto</a:t>
            </a:r>
          </a:p>
          <a:p>
            <a:pPr algn="ctr" rtl="1">
              <a:defRPr sz="1000"/>
            </a:pPr>
            <a:endParaRPr lang="es-MX" sz="1300" b="0" i="0" strike="noStrike">
              <a:solidFill>
                <a:srgbClr val="000000"/>
              </a:solidFill>
              <a:latin typeface="Arial"/>
              <a:cs typeface="Arial"/>
            </a:endParaRPr>
          </a:p>
        </xdr:txBody>
      </xdr:sp>
      <xdr:sp macro="" textlink="">
        <xdr:nvSpPr>
          <xdr:cNvPr id="24" name="AutoShape 22">
            <a:extLst>
              <a:ext uri="{FF2B5EF4-FFF2-40B4-BE49-F238E27FC236}">
                <a16:creationId xmlns:a16="http://schemas.microsoft.com/office/drawing/2014/main" id="{27FB881B-8F78-9EB0-6B53-7DFE8B375412}"/>
              </a:ext>
            </a:extLst>
          </xdr:cNvPr>
          <xdr:cNvSpPr>
            <a:spLocks noChangeArrowheads="1"/>
          </xdr:cNvSpPr>
        </xdr:nvSpPr>
        <xdr:spPr bwMode="auto">
          <a:xfrm>
            <a:off x="3568" y="2662"/>
            <a:ext cx="1670"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&lt; 1 Día</a:t>
            </a:r>
          </a:p>
          <a:p>
            <a:pPr algn="ctr" rtl="1">
              <a:defRPr sz="1000"/>
            </a:pPr>
            <a:endParaRPr lang="es-MX" sz="1300" b="0" i="0" strike="noStrike">
              <a:solidFill>
                <a:srgbClr val="000000"/>
              </a:solidFill>
              <a:latin typeface="Arial"/>
              <a:cs typeface="Arial"/>
            </a:endParaRPr>
          </a:p>
        </xdr:txBody>
      </xdr:sp>
      <xdr:sp macro="" textlink="">
        <xdr:nvSpPr>
          <xdr:cNvPr id="25" name="AutoShape 23">
            <a:extLst>
              <a:ext uri="{FF2B5EF4-FFF2-40B4-BE49-F238E27FC236}">
                <a16:creationId xmlns:a16="http://schemas.microsoft.com/office/drawing/2014/main" id="{E541F8AC-6B4E-3EBA-49B4-8A64BAA5AC35}"/>
              </a:ext>
            </a:extLst>
          </xdr:cNvPr>
          <xdr:cNvSpPr>
            <a:spLocks noChangeArrowheads="1"/>
          </xdr:cNvSpPr>
        </xdr:nvSpPr>
        <xdr:spPr bwMode="auto">
          <a:xfrm>
            <a:off x="657" y="2977"/>
            <a:ext cx="1226"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Más de 500 hasta 1000</a:t>
            </a:r>
          </a:p>
          <a:p>
            <a:pPr algn="ctr" rtl="1">
              <a:defRPr sz="1000"/>
            </a:pPr>
            <a:endParaRPr lang="es-MX" sz="1300" b="0" i="0" strike="noStrike">
              <a:solidFill>
                <a:srgbClr val="000000"/>
              </a:solidFill>
              <a:latin typeface="Arial"/>
              <a:cs typeface="Arial"/>
            </a:endParaRPr>
          </a:p>
        </xdr:txBody>
      </xdr:sp>
      <xdr:sp macro="" textlink="">
        <xdr:nvSpPr>
          <xdr:cNvPr id="26" name="AutoShape 24">
            <a:extLst>
              <a:ext uri="{FF2B5EF4-FFF2-40B4-BE49-F238E27FC236}">
                <a16:creationId xmlns:a16="http://schemas.microsoft.com/office/drawing/2014/main" id="{6ACC6C35-021A-8792-544F-CE9B64F5E867}"/>
              </a:ext>
            </a:extLst>
          </xdr:cNvPr>
          <xdr:cNvSpPr>
            <a:spLocks noChangeArrowheads="1"/>
          </xdr:cNvSpPr>
        </xdr:nvSpPr>
        <xdr:spPr bwMode="auto">
          <a:xfrm>
            <a:off x="1973" y="2977"/>
            <a:ext cx="1454"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Extremo</a:t>
            </a:r>
          </a:p>
          <a:p>
            <a:pPr algn="ctr" rtl="1">
              <a:defRPr sz="1000"/>
            </a:pPr>
            <a:endParaRPr lang="es-MX" sz="1300" b="0" i="0" strike="noStrike">
              <a:solidFill>
                <a:srgbClr val="000000"/>
              </a:solidFill>
              <a:latin typeface="Arial"/>
              <a:cs typeface="Arial"/>
            </a:endParaRPr>
          </a:p>
        </xdr:txBody>
      </xdr:sp>
      <xdr:sp macro="" textlink="">
        <xdr:nvSpPr>
          <xdr:cNvPr id="27" name="AutoShape 25">
            <a:extLst>
              <a:ext uri="{FF2B5EF4-FFF2-40B4-BE49-F238E27FC236}">
                <a16:creationId xmlns:a16="http://schemas.microsoft.com/office/drawing/2014/main" id="{0C720A04-71CE-DD48-E01C-6F5D5CABC09A}"/>
              </a:ext>
            </a:extLst>
          </xdr:cNvPr>
          <xdr:cNvSpPr>
            <a:spLocks noChangeArrowheads="1"/>
          </xdr:cNvSpPr>
        </xdr:nvSpPr>
        <xdr:spPr bwMode="auto">
          <a:xfrm>
            <a:off x="3568" y="2977"/>
            <a:ext cx="1670"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Inmediato</a:t>
            </a:r>
          </a:p>
          <a:p>
            <a:pPr algn="ctr" rtl="1">
              <a:defRPr sz="1000"/>
            </a:pPr>
            <a:endParaRPr lang="es-MX" sz="1300" b="0" i="0" strike="noStrike">
              <a:solidFill>
                <a:srgbClr val="000000"/>
              </a:solidFill>
              <a:latin typeface="Arial"/>
              <a:cs typeface="Arial"/>
            </a:endParaRPr>
          </a:p>
        </xdr:txBody>
      </xdr:sp>
      <xdr:sp macro="" textlink="">
        <xdr:nvSpPr>
          <xdr:cNvPr id="28" name="AutoShape 26">
            <a:extLst>
              <a:ext uri="{FF2B5EF4-FFF2-40B4-BE49-F238E27FC236}">
                <a16:creationId xmlns:a16="http://schemas.microsoft.com/office/drawing/2014/main" id="{3C68F343-6751-8787-C648-5611D8D2217C}"/>
              </a:ext>
            </a:extLst>
          </xdr:cNvPr>
          <xdr:cNvSpPr>
            <a:spLocks noChangeArrowheads="1"/>
          </xdr:cNvSpPr>
        </xdr:nvSpPr>
        <xdr:spPr bwMode="auto">
          <a:xfrm>
            <a:off x="657" y="3297"/>
            <a:ext cx="1226"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&gt; 1.000</a:t>
            </a:r>
          </a:p>
          <a:p>
            <a:pPr algn="ctr" rtl="1">
              <a:defRPr sz="1000"/>
            </a:pPr>
            <a:endParaRPr lang="es-MX" sz="1300" b="0" i="0" strike="noStrike">
              <a:solidFill>
                <a:srgbClr val="000000"/>
              </a:solidFill>
              <a:latin typeface="Arial"/>
              <a:cs typeface="Arial"/>
            </a:endParaRPr>
          </a:p>
        </xdr:txBody>
      </xdr:sp>
      <xdr:sp macro="" textlink="">
        <xdr:nvSpPr>
          <xdr:cNvPr id="29" name="AutoShape 27">
            <a:extLst>
              <a:ext uri="{FF2B5EF4-FFF2-40B4-BE49-F238E27FC236}">
                <a16:creationId xmlns:a16="http://schemas.microsoft.com/office/drawing/2014/main" id="{D9A089C6-1A5A-0513-9020-8EE70CCDF030}"/>
              </a:ext>
            </a:extLst>
          </xdr:cNvPr>
          <xdr:cNvSpPr>
            <a:spLocks noChangeArrowheads="1"/>
          </xdr:cNvSpPr>
        </xdr:nvSpPr>
        <xdr:spPr bwMode="auto">
          <a:xfrm>
            <a:off x="1973" y="3297"/>
            <a:ext cx="1454"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Inaceptable</a:t>
            </a:r>
          </a:p>
          <a:p>
            <a:pPr algn="ctr" rtl="1">
              <a:defRPr sz="1000"/>
            </a:pPr>
            <a:endParaRPr lang="es-MX" sz="1300" b="0" i="0" strike="noStrike">
              <a:solidFill>
                <a:srgbClr val="000000"/>
              </a:solidFill>
              <a:latin typeface="Arial"/>
              <a:cs typeface="Arial"/>
            </a:endParaRPr>
          </a:p>
        </xdr:txBody>
      </xdr:sp>
      <xdr:sp macro="" textlink="">
        <xdr:nvSpPr>
          <xdr:cNvPr id="30" name="AutoShape 28">
            <a:extLst>
              <a:ext uri="{FF2B5EF4-FFF2-40B4-BE49-F238E27FC236}">
                <a16:creationId xmlns:a16="http://schemas.microsoft.com/office/drawing/2014/main" id="{9E8DD21F-7114-23EC-FB5D-66839C311C10}"/>
              </a:ext>
            </a:extLst>
          </xdr:cNvPr>
          <xdr:cNvSpPr>
            <a:spLocks noChangeArrowheads="1"/>
          </xdr:cNvSpPr>
        </xdr:nvSpPr>
        <xdr:spPr bwMode="auto">
          <a:xfrm>
            <a:off x="3580" y="3297"/>
            <a:ext cx="1658" cy="269"/>
          </a:xfrm>
          <a:prstGeom prst="flowChartAlternateProcess">
            <a:avLst/>
          </a:prstGeom>
          <a:gradFill rotWithShape="1">
            <a:gsLst>
              <a:gs pos="0">
                <a:srgbClr val="B2B2B2"/>
              </a:gs>
              <a:gs pos="50000">
                <a:srgbClr val="EAEAEA"/>
              </a:gs>
              <a:gs pos="100000">
                <a:srgbClr val="B2B2B2"/>
              </a:gs>
            </a:gsLst>
            <a:lin ang="5400000" scaled="1"/>
          </a:gradFill>
          <a:ln w="9525">
            <a:solidFill>
              <a:srgbClr val="000000"/>
            </a:solidFill>
            <a:miter lim="800000"/>
            <a:headEnd/>
            <a:tailEnd/>
          </a:ln>
        </xdr:spPr>
        <xdr:txBody>
          <a:bodyPr vertOverflow="clip" wrap="square" lIns="91440" tIns="45720" rIns="91440" bIns="45720" anchor="ctr" upright="1"/>
          <a:lstStyle/>
          <a:p>
            <a:pPr algn="ctr" rtl="1">
              <a:defRPr sz="1000"/>
            </a:pPr>
            <a:r>
              <a:rPr lang="es-MX" sz="1300" b="0" i="0" strike="noStrike">
                <a:solidFill>
                  <a:srgbClr val="000000"/>
                </a:solidFill>
                <a:latin typeface="Arial"/>
                <a:cs typeface="Arial"/>
              </a:rPr>
              <a:t>Parar la Actividad</a:t>
            </a:r>
          </a:p>
          <a:p>
            <a:pPr algn="ctr" rtl="1">
              <a:defRPr sz="1000"/>
            </a:pPr>
            <a:endParaRPr lang="es-MX" sz="1300" b="0" i="0" strike="noStrike">
              <a:solidFill>
                <a:srgbClr val="000000"/>
              </a:solidFill>
              <a:latin typeface="Arial"/>
              <a:cs typeface="Arial"/>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0</xdr:colOff>
      <xdr:row>52</xdr:row>
      <xdr:rowOff>0</xdr:rowOff>
    </xdr:from>
    <xdr:to>
      <xdr:col>7</xdr:col>
      <xdr:colOff>428625</xdr:colOff>
      <xdr:row>68</xdr:row>
      <xdr:rowOff>104775</xdr:rowOff>
    </xdr:to>
    <xdr:pic>
      <xdr:nvPicPr>
        <xdr:cNvPr id="2" name="Picture 1" descr="Image result for equipo de seguridad tyvek">
          <a:hlinkClick xmlns:r="http://schemas.openxmlformats.org/officeDocument/2006/relationships" r:id="rId1" tgtFrame="_blank"/>
          <a:extLst>
            <a:ext uri="{FF2B5EF4-FFF2-40B4-BE49-F238E27FC236}">
              <a16:creationId xmlns:a16="http://schemas.microsoft.com/office/drawing/2014/main" id="{5A9FA94A-30D7-436B-8EF5-0C754DE8D2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53050" y="12544425"/>
          <a:ext cx="3362325"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44</xdr:row>
      <xdr:rowOff>0</xdr:rowOff>
    </xdr:from>
    <xdr:to>
      <xdr:col>8</xdr:col>
      <xdr:colOff>428625</xdr:colOff>
      <xdr:row>57</xdr:row>
      <xdr:rowOff>152400</xdr:rowOff>
    </xdr:to>
    <xdr:pic>
      <xdr:nvPicPr>
        <xdr:cNvPr id="3" name="Picture 2" descr="Image result for equipo de seguridad tyvek">
          <a:hlinkClick xmlns:r="http://schemas.openxmlformats.org/officeDocument/2006/relationships" r:id="rId1" tgtFrame="_blank"/>
          <a:extLst>
            <a:ext uri="{FF2B5EF4-FFF2-40B4-BE49-F238E27FC236}">
              <a16:creationId xmlns:a16="http://schemas.microsoft.com/office/drawing/2014/main" id="{7ECAAFB2-71DB-4992-AAF2-50FD370D10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86750" y="10325100"/>
          <a:ext cx="3362325"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km/Users/jgastelum/Desktop/Matriz%20HRN/Matrix%20HRN%20Noreste%202016-Pilo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ario para HRN"/>
      <sheetName val="HRN Tareas"/>
      <sheetName val="DATOS"/>
      <sheetName val="Incidentes"/>
      <sheetName val="Matriz S x acc"/>
      <sheetName val="graf x areas"/>
      <sheetName val="Matriz S x dias"/>
      <sheetName val="tendencia por areas"/>
      <sheetName val="graf tend"/>
      <sheetName val="tendencia por deptos."/>
      <sheetName val="Sheet2"/>
      <sheetName val="Graf. causas"/>
      <sheetName val="Sheet1"/>
      <sheetName val="Graf. causa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eguridad\AppData\Local\Microsoft\Windows\INetCache\Content.Outlook\H8P6G8CD\HRN-IT-P-QM-05-PROD-CAMELIA.SUBIR%20INGREDIENTES-LIST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stelum Ramos, Jorge Ivan" refreshedDate="45401.747036921297" createdVersion="8" refreshedVersion="8" minRefreshableVersion="3" recordCount="11532" xr:uid="{081C1107-97E4-4F51-AD61-4164CDC5DB82}">
  <cacheSource type="worksheet">
    <worksheetSource ref="B15:B21" sheet="2.-HRN OCTUBRE" r:id="rId2"/>
  </cacheSource>
  <cacheFields count="42">
    <cacheField name="Planta" numFmtId="0">
      <sharedItems containsBlank="1" count="23">
        <s v="Xalostoc"/>
        <s v="Guadalajara"/>
        <s v="Noreste"/>
        <s v="Atitalaquia"/>
        <s v="Pénjamo"/>
        <s v="Chihuahua"/>
        <s v="Tangamanga"/>
        <s v="Supremo"/>
        <s v="Pizzas"/>
        <s v="Saltillo"/>
        <s v="Eugenia"/>
        <s v="Lagos de Moreno Quesos"/>
        <s v="Lagos de Moreno Yogurt"/>
        <s v="Linares"/>
        <s v="Molino"/>
        <s v="Sabinas"/>
        <s v="Celaya"/>
        <m/>
        <s v="Lagos Y" u="1"/>
        <s v="Lagos Q" u="1"/>
        <s v="Penjamo" u="1"/>
        <s v="lagos de moreno Y" u="1"/>
        <s v="Lagos de Moreno Q" u="1"/>
      </sharedItems>
    </cacheField>
    <cacheField name="codigo" numFmtId="0">
      <sharedItems containsBlank="1"/>
    </cacheField>
    <cacheField name="Fecha" numFmtId="0">
      <sharedItems containsNonDate="0" containsDate="1" containsString="0" containsBlank="1" minDate="2024-04-15T00:00:00" maxDate="2024-04-16T00:00:00"/>
    </cacheField>
    <cacheField name="Área" numFmtId="0">
      <sharedItems containsBlank="1" count="39">
        <s v="DESCONGELADO"/>
        <s v="SALMUERAS"/>
        <s v="INYECCIÓN"/>
        <s v="FORMULACION"/>
        <s v="MASAJEO"/>
        <s v="EMBUTIDO"/>
        <s v="COCIMIENTO Y ENFRIAMIENTO"/>
        <s v="DESCARGA DE PRODUCTO"/>
        <s v="EMPAQUE"/>
        <s v="REBANADOS"/>
        <s v="LAVADO DE CANASTILLAS"/>
        <s v="LAVADO DE PILAS"/>
        <s v="ALMACEN DE SECOS"/>
        <s v="ALMACEN DE CARNICOS"/>
        <s v="COMEDOR"/>
        <s v="OFICINAS ADMINISTRATIVAS"/>
        <s v="CAPITAL HUMANO"/>
        <s v="SERVICIOS"/>
        <s v="CUARTO DE MAQUINAS"/>
        <s v="PTAR"/>
        <s v="ÁREA DE RESIDUOS NO PELIGROSOS"/>
        <s v="RESIDUOS PELIGROSOS"/>
        <s v="SUBESTACION ELECTRICA"/>
        <s v="DECOMISO"/>
        <s v="ÁREA DE PRODUCTO TERMINADO"/>
        <s v="CEDI"/>
        <s v="CADI"/>
        <s v="COMERCIAL"/>
        <s v="DCV"/>
        <s v="CASETA DE VIGILANCIA"/>
        <s v="SALA DE CAPACITACION"/>
        <s v="SERVICIO MEDICO"/>
        <s v="ALMACEN DE REFACCIONES"/>
        <s v="CAMARAS DE ALMACENAMIENTO CARNICO"/>
        <s v="COCEDORES"/>
        <s v="BAÑOS"/>
        <s v="VESTIDORES"/>
        <m/>
        <s v="Empaque Jamones" u="1"/>
      </sharedItems>
    </cacheField>
    <cacheField name="Descripción de las tareas que componen el puesto" numFmtId="0">
      <sharedItems containsBlank="1"/>
    </cacheField>
    <cacheField name="Fotografía de la tarea" numFmtId="0">
      <sharedItems containsNonDate="0" containsString="0" containsBlank="1"/>
    </cacheField>
    <cacheField name="Peligros identificados" numFmtId="0">
      <sharedItems containsBlank="1" count="9">
        <s v="Caída al mismo nivel"/>
        <s v="Partes en movimiento"/>
        <s v="Electricidad"/>
        <s v="Amoniaco"/>
        <s v="Piso resbaloso"/>
        <s v="Filos"/>
        <s v="Superficies calientes"/>
        <s v="Engranes expuestos"/>
        <m/>
      </sharedItems>
    </cacheField>
    <cacheField name="Mecanismo de lesión (Ligar tabla)" numFmtId="0">
      <sharedItems containsBlank="1" count="11">
        <s v="1.- Golpeado Contra (chocar contra)"/>
        <s v="2.- Golpeado por (golpeado por objeto en movimiento)"/>
        <s v="3.- Atrapado entre o bajo (aplastados o amputados)"/>
        <s v="5.- Contacto con  (electricidad, calor, frio, Radiación, "/>
        <s v="4.- Sobrecarga, Sobrepresión, Sobre flexión, Ergonómico"/>
        <s v="6.- Caída de Diferente Nivel"/>
        <s v="7.- Caída del mismo nivel"/>
        <s v="8.- Atrapado en (puntos de pellizco)"/>
        <s v="9.- Atrapado en (enganchado con, colgado)"/>
        <s v="10.- Escapes al ambiente de: Amoniaco, Gas, Sustancias Peligrosas."/>
        <m/>
      </sharedItems>
    </cacheField>
    <cacheField name="Descripción del Riesgo (pasos+peligros+mecanismos de lesión)" numFmtId="0">
      <sharedItems containsNonDate="0" containsString="0" containsBlank="1"/>
    </cacheField>
    <cacheField name="Controles (A)" numFmtId="0">
      <sharedItems containsNonDate="0" containsString="0" containsBlank="1"/>
    </cacheField>
    <cacheField name="Defensas (A)" numFmtId="0">
      <sharedItems containsNonDate="0" containsString="0" containsBlank="1"/>
    </cacheField>
    <cacheField name="Frecuencia de Exposición (Actual)" numFmtId="0">
      <sharedItems containsBlank="1"/>
    </cacheField>
    <cacheField name="Valor FEA" numFmtId="0">
      <sharedItems containsString="0" containsBlank="1" containsNumber="1" minValue="0.1" maxValue="5"/>
    </cacheField>
    <cacheField name="Número de Personas (Actual)" numFmtId="0">
      <sharedItems containsBlank="1"/>
    </cacheField>
    <cacheField name="Valor NPA" numFmtId="0">
      <sharedItems containsBlank="1" containsMixedTypes="1" containsNumber="1" containsInteger="1" minValue="1" maxValue="12"/>
    </cacheField>
    <cacheField name="Gravedad (Actual)" numFmtId="0">
      <sharedItems containsBlank="1"/>
    </cacheField>
    <cacheField name="Valor GA" numFmtId="0">
      <sharedItems containsString="0" containsBlank="1" containsNumber="1" minValue="0.1" maxValue="8"/>
    </cacheField>
    <cacheField name="Probabilidad (Actual)" numFmtId="0">
      <sharedItems containsBlank="1"/>
    </cacheField>
    <cacheField name="Valor PA" numFmtId="0">
      <sharedItems containsString="0" containsBlank="1" containsNumber="1" minValue="0" maxValue="15"/>
    </cacheField>
    <cacheField name="HRN (Actual)" numFmtId="0">
      <sharedItems containsBlank="1" containsMixedTypes="1" containsNumber="1" minValue="0" maxValue="1920"/>
    </cacheField>
    <cacheField name="Nivel de riesgo (Actual)" numFmtId="0">
      <sharedItems containsBlank="1" count="6">
        <s v="Muy Bajo"/>
        <s v="Insignificante"/>
        <s v="Bajo"/>
        <s v="Medio"/>
        <e v="#N/A"/>
        <m/>
      </sharedItems>
    </cacheField>
    <cacheField name="Tiempo de acción" numFmtId="0">
      <sharedItems containsBlank="1" count="8">
        <s v="Menor a un año"/>
        <s v="Mayor a un año"/>
        <s v="Menor a tres meses"/>
        <s v="Menor a un mes"/>
        <e v="#N/A"/>
        <m/>
        <s v="Parar y detener la actividad" u="1"/>
        <s v="Menor a una semana" u="1"/>
      </sharedItems>
    </cacheField>
    <cacheField name="Plan de acción (¿Qué y el cómo?)" numFmtId="0">
      <sharedItems containsBlank="1" count="107">
        <s v="Cambiar todo"/>
        <s v="instalar carro"/>
        <s v="Cambiar sensor"/>
        <s v="colocar guarda"/>
        <s v="Tarea 5"/>
        <s v="Tarea 6"/>
        <s v="Tarea 7"/>
        <s v="Tarea 8"/>
        <s v="Tarea 9"/>
        <s v="Tarea 10"/>
        <s v="Tarea 11"/>
        <s v="Tarea 12"/>
        <s v="Tarea 13"/>
        <s v="Tarea 14"/>
        <s v="Tarea 15"/>
        <s v="Tarea 16"/>
        <s v="Tarea 17"/>
        <s v="Tarea 18"/>
        <s v="Tarea 19"/>
        <s v="Tarea 20"/>
        <s v="Tarea 21"/>
        <s v="Tarea 22"/>
        <s v="Tarea 23"/>
        <s v="Tarea 24"/>
        <s v="Tarea 25"/>
        <s v="Tarea 26"/>
        <s v="Tarea 27"/>
        <s v="Tarea 28"/>
        <s v="Tarea 29"/>
        <s v="Tarea 30"/>
        <s v="Tarea 31"/>
        <s v="Tarea 32"/>
        <s v="Tarea 33"/>
        <s v="Tarea 34"/>
        <s v="Tarea 35"/>
        <s v="Tarea 36"/>
        <s v="Tarea 37"/>
        <s v="Tarea 38"/>
        <s v="Tarea 39"/>
        <s v="Tarea 40"/>
        <s v="Tarea 41"/>
        <s v="Tarea 42"/>
        <s v="Tarea 43"/>
        <s v="Tarea 44"/>
        <s v="Tarea 45"/>
        <s v="Tarea 46"/>
        <s v="Tarea 47"/>
        <s v="Tarea 48"/>
        <s v="Tarea 49"/>
        <s v="Tarea 50"/>
        <s v="Tarea 51"/>
        <s v="Tarea 52"/>
        <s v="Tarea 53"/>
        <s v="Tarea 54"/>
        <s v="Tarea 55"/>
        <s v="Tarea 56"/>
        <s v="Tarea 57"/>
        <s v="Tarea 58"/>
        <s v="Tarea 59"/>
        <s v="Tarea 60"/>
        <s v="Tarea 61"/>
        <s v="Tarea 62"/>
        <s v="Tarea 63"/>
        <s v="Tarea 64"/>
        <s v="Tarea 65"/>
        <s v="Tarea 66"/>
        <s v="Tarea 67"/>
        <s v="Tarea 68"/>
        <s v="Tarea 69"/>
        <s v="Tarea 70"/>
        <s v="Tarea 71"/>
        <s v="Tarea 72"/>
        <s v="Tarea 73"/>
        <s v="Tarea 74"/>
        <s v="Tarea 75"/>
        <s v="Tarea 76"/>
        <s v="Tarea 77"/>
        <s v="Tarea 78"/>
        <s v="Tarea 79"/>
        <s v="Tarea 80"/>
        <s v="Tarea 81"/>
        <s v="Tarea 82"/>
        <s v="Tarea 83"/>
        <s v="Tarea 84"/>
        <s v="Tarea 85"/>
        <s v="Tarea 86"/>
        <s v="Tarea 87"/>
        <s v="Tarea 88"/>
        <m/>
        <s v="Tarea 89" u="1"/>
        <s v="Tarea 90" u="1"/>
        <s v="Tarea 91" u="1"/>
        <s v="Tarea 92" u="1"/>
        <s v="Tarea 93" u="1"/>
        <s v="Tarea 94" u="1"/>
        <s v="Tarea 95" u="1"/>
        <s v="Tarea 96" u="1"/>
        <s v="Tarea 97" u="1"/>
        <s v="Tarea 98" u="1"/>
        <s v="Tarea 99" u="1"/>
        <s v="Tarea 100" u="1"/>
        <s v="Tarea 101" u="1"/>
        <s v="Tarea 102" u="1"/>
        <s v="Tarea 1" u="1"/>
        <s v="Tarea 2" u="1"/>
        <s v="Tarea 3" u="1"/>
        <s v="Tarea 4" u="1"/>
      </sharedItems>
    </cacheField>
    <cacheField name="Fecha programada" numFmtId="0">
      <sharedItems containsNonDate="0" containsDate="1" containsString="0" containsBlank="1" minDate="2024-04-15T00:00:00" maxDate="2024-04-16T00:00:00"/>
    </cacheField>
    <cacheField name="Estatus" numFmtId="0">
      <sharedItems containsBlank="1" count="3">
        <s v="Abierto"/>
        <s v="Cerrado"/>
        <m/>
      </sharedItems>
    </cacheField>
    <cacheField name="Piramide de Contramedidas" numFmtId="0">
      <sharedItems containsBlank="1" count="2">
        <m/>
        <s v="Eliminar"/>
      </sharedItems>
    </cacheField>
    <cacheField name="Responsable" numFmtId="0">
      <sharedItems containsNonDate="0" containsString="0" containsBlank="1"/>
    </cacheField>
    <cacheField name="Fecha cierre" numFmtId="0">
      <sharedItems containsNonDate="0" containsString="0" containsBlank="1"/>
    </cacheField>
    <cacheField name="Controles (N)" numFmtId="0">
      <sharedItems containsNonDate="0" containsString="0" containsBlank="1"/>
    </cacheField>
    <cacheField name="Defensas (N)" numFmtId="0">
      <sharedItems containsNonDate="0" containsString="0" containsBlank="1"/>
    </cacheField>
    <cacheField name="Frecuencia de Exposición (Nuevas)" numFmtId="0">
      <sharedItems containsBlank="1"/>
    </cacheField>
    <cacheField name="Valor FEN" numFmtId="0">
      <sharedItems containsString="0" containsBlank="1" containsNumber="1" minValue="2.5" maxValue="2.5"/>
    </cacheField>
    <cacheField name="Número de Personas (Nuevas)" numFmtId="0">
      <sharedItems containsBlank="1"/>
    </cacheField>
    <cacheField name="Valor NPN" numFmtId="0">
      <sharedItems containsString="0" containsBlank="1" containsNumber="1" containsInteger="1" minValue="4" maxValue="4"/>
    </cacheField>
    <cacheField name="Gravedad (Nuevas)" numFmtId="0">
      <sharedItems containsBlank="1"/>
    </cacheField>
    <cacheField name="Valor GN" numFmtId="0">
      <sharedItems containsString="0" containsBlank="1" containsNumber="1" containsInteger="1" minValue="15" maxValue="15"/>
    </cacheField>
    <cacheField name="Probabilidad (Nuevas)" numFmtId="0">
      <sharedItems containsBlank="1"/>
    </cacheField>
    <cacheField name="Valor PN" numFmtId="0">
      <sharedItems containsString="0" containsBlank="1" containsNumber="1" minValue="0.1" maxValue="0.1"/>
    </cacheField>
    <cacheField name="HRN (Nuevas)" numFmtId="0">
      <sharedItems containsString="0" containsBlank="1" containsNumber="1" containsInteger="1" minValue="15" maxValue="15"/>
    </cacheField>
    <cacheField name="Nivel de riesgo (Nuevas)" numFmtId="0">
      <sharedItems containsBlank="1"/>
    </cacheField>
    <cacheField name="Implementado en Gemba" numFmtId="0">
      <sharedItems containsBlank="1"/>
    </cacheField>
    <cacheField name="Normativa" numFmtId="0">
      <sharedItems containsNonDate="0" containsString="0" containsBlank="1"/>
    </cacheField>
  </cacheFields>
  <extLst>
    <ext xmlns:x14="http://schemas.microsoft.com/office/spreadsheetml/2009/9/main" uri="{725AE2AE-9491-48be-B2B4-4EB974FC3084}">
      <x14:pivotCacheDefinition pivotCacheId="887196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32">
  <r>
    <x v="0"/>
    <s v="A-001"/>
    <d v="2024-04-15T00:00:00"/>
    <x v="0"/>
    <s v="Trasladoar Film fondo"/>
    <m/>
    <x v="0"/>
    <x v="0"/>
    <m/>
    <m/>
    <m/>
    <s v="Diario"/>
    <n v="2.5"/>
    <s v=" 1-2 personas"/>
    <n v="1"/>
    <s v="Rasguño o raspadura"/>
    <n v="0.1"/>
    <s v="Certero"/>
    <n v="15"/>
    <n v="3.75"/>
    <x v="0"/>
    <x v="0"/>
    <x v="0"/>
    <d v="2024-04-15T00:00:00"/>
    <x v="0"/>
    <x v="0"/>
    <m/>
    <m/>
    <m/>
    <m/>
    <s v="Diario"/>
    <n v="2.5"/>
    <s v=" 8-15 personas"/>
    <n v="4"/>
    <s v="Muerte"/>
    <n v="15"/>
    <s v="Casi imposible"/>
    <n v="0.1"/>
    <n v="15"/>
    <s v="Medio"/>
    <s v="SI"/>
    <m/>
  </r>
  <r>
    <x v="0"/>
    <m/>
    <m/>
    <x v="1"/>
    <m/>
    <m/>
    <x v="1"/>
    <x v="1"/>
    <m/>
    <m/>
    <m/>
    <s v="Semanal"/>
    <n v="1.5"/>
    <s v=" 3-7 personas"/>
    <n v="2"/>
    <s v="Fractura de hueso mayor (brazo, pierna) o enfermedad ocupacional menor permanente"/>
    <n v="2"/>
    <s v="Imposible"/>
    <n v="0"/>
    <n v="0"/>
    <x v="1"/>
    <x v="1"/>
    <x v="1"/>
    <d v="2024-04-15T00:00:00"/>
    <x v="1"/>
    <x v="1"/>
    <m/>
    <m/>
    <m/>
    <m/>
    <s v="Diario"/>
    <n v="2.5"/>
    <s v=" 8-15 personas"/>
    <n v="4"/>
    <s v="Muerte"/>
    <n v="15"/>
    <s v="Casi imposible"/>
    <n v="0.1"/>
    <n v="15"/>
    <s v="Medio"/>
    <s v="SI"/>
    <m/>
  </r>
  <r>
    <x v="1"/>
    <m/>
    <m/>
    <x v="2"/>
    <m/>
    <m/>
    <x v="2"/>
    <x v="2"/>
    <m/>
    <m/>
    <m/>
    <s v="Diario"/>
    <n v="2.5"/>
    <s v=" 8-15 personas"/>
    <n v="4"/>
    <s v="Rasguño o raspadura"/>
    <n v="0.1"/>
    <s v="Imposible"/>
    <n v="0"/>
    <n v="0"/>
    <x v="1"/>
    <x v="1"/>
    <x v="2"/>
    <d v="2024-04-15T00:00:00"/>
    <x v="0"/>
    <x v="0"/>
    <m/>
    <m/>
    <m/>
    <m/>
    <m/>
    <m/>
    <m/>
    <m/>
    <m/>
    <m/>
    <m/>
    <m/>
    <m/>
    <s v="Bajo"/>
    <s v="SI"/>
    <m/>
  </r>
  <r>
    <x v="2"/>
    <m/>
    <m/>
    <x v="3"/>
    <m/>
    <m/>
    <x v="3"/>
    <x v="3"/>
    <m/>
    <m/>
    <m/>
    <s v="Infrecuente"/>
    <n v="0.1"/>
    <s v=" 1-2 personas"/>
    <n v="1"/>
    <s v="Rasguño o raspadura"/>
    <n v="0.1"/>
    <s v="Casi imposible"/>
    <n v="0.1"/>
    <n v="1.0000000000000002E-3"/>
    <x v="1"/>
    <x v="1"/>
    <x v="3"/>
    <d v="2024-04-15T00:00:00"/>
    <x v="1"/>
    <x v="0"/>
    <m/>
    <m/>
    <m/>
    <m/>
    <m/>
    <m/>
    <m/>
    <m/>
    <m/>
    <m/>
    <m/>
    <m/>
    <m/>
    <s v="Medio"/>
    <s v="NO"/>
    <m/>
  </r>
  <r>
    <x v="3"/>
    <m/>
    <m/>
    <x v="4"/>
    <m/>
    <m/>
    <x v="4"/>
    <x v="4"/>
    <m/>
    <m/>
    <m/>
    <s v="Anual"/>
    <n v="0.2"/>
    <s v=" 3-7 personas"/>
    <n v="2"/>
    <s v="Rasguño o raspadura"/>
    <n v="0.1"/>
    <s v="Altamente improbable"/>
    <n v="0.5"/>
    <n v="2.0000000000000004E-2"/>
    <x v="1"/>
    <x v="1"/>
    <x v="4"/>
    <d v="2024-04-15T00:00:00"/>
    <x v="0"/>
    <x v="0"/>
    <m/>
    <m/>
    <m/>
    <m/>
    <m/>
    <m/>
    <m/>
    <m/>
    <m/>
    <m/>
    <m/>
    <m/>
    <m/>
    <s v="Insignifi"/>
    <s v="SI"/>
    <m/>
  </r>
  <r>
    <x v="4"/>
    <m/>
    <m/>
    <x v="5"/>
    <m/>
    <m/>
    <x v="5"/>
    <x v="5"/>
    <m/>
    <m/>
    <m/>
    <s v="Mensual"/>
    <n v="1"/>
    <s v=" 8-15 personas"/>
    <n v="4"/>
    <s v="Fractura de hueso mayor (brazo, pierna) o enfermedad ocupacional menor permanente"/>
    <n v="2"/>
    <s v="Improbable"/>
    <n v="1"/>
    <n v="8"/>
    <x v="2"/>
    <x v="2"/>
    <x v="5"/>
    <d v="2024-04-15T00:00:00"/>
    <x v="1"/>
    <x v="0"/>
    <m/>
    <m/>
    <m/>
    <m/>
    <m/>
    <m/>
    <m/>
    <m/>
    <m/>
    <m/>
    <m/>
    <m/>
    <m/>
    <s v="Muy Bajo"/>
    <s v="NO"/>
    <m/>
  </r>
  <r>
    <x v="5"/>
    <m/>
    <m/>
    <x v="6"/>
    <m/>
    <m/>
    <x v="6"/>
    <x v="6"/>
    <m/>
    <m/>
    <m/>
    <s v="Semanal"/>
    <n v="1.5"/>
    <s v="16-50 personas"/>
    <n v="8"/>
    <s v="Rasguño o raspadura"/>
    <n v="0.1"/>
    <s v="Posible"/>
    <n v="2"/>
    <n v="2.4000000000000004"/>
    <x v="0"/>
    <x v="0"/>
    <x v="6"/>
    <d v="2024-04-15T00:00:00"/>
    <x v="0"/>
    <x v="0"/>
    <m/>
    <m/>
    <m/>
    <m/>
    <m/>
    <m/>
    <m/>
    <m/>
    <m/>
    <m/>
    <m/>
    <m/>
    <m/>
    <s v="Medio "/>
    <s v="SI"/>
    <m/>
  </r>
  <r>
    <x v="6"/>
    <m/>
    <m/>
    <x v="7"/>
    <m/>
    <m/>
    <x v="0"/>
    <x v="7"/>
    <m/>
    <m/>
    <m/>
    <s v="Cada hora"/>
    <n v="4"/>
    <s v="&gt;50 personas"/>
    <n v="12"/>
    <s v="Pérdida de los dos ojos, manos, piernas o enfermedad ocupacional seria permanente"/>
    <n v="8"/>
    <s v="Alguna probabilidad"/>
    <n v="5"/>
    <n v="1920"/>
    <x v="2"/>
    <x v="2"/>
    <x v="7"/>
    <d v="2024-04-15T00:00:00"/>
    <x v="1"/>
    <x v="0"/>
    <m/>
    <m/>
    <m/>
    <m/>
    <m/>
    <m/>
    <m/>
    <m/>
    <m/>
    <m/>
    <m/>
    <m/>
    <m/>
    <s v="Alto"/>
    <s v="NO"/>
    <m/>
  </r>
  <r>
    <x v="7"/>
    <m/>
    <m/>
    <x v="8"/>
    <m/>
    <m/>
    <x v="7"/>
    <x v="8"/>
    <m/>
    <m/>
    <m/>
    <s v="Constantemente"/>
    <n v="5"/>
    <s v=" 8-15 personas"/>
    <n v="4"/>
    <s v="Rasguño o raspadura"/>
    <n v="0.1"/>
    <s v="Probable"/>
    <n v="8"/>
    <n v="16"/>
    <x v="3"/>
    <x v="3"/>
    <x v="8"/>
    <d v="2024-04-15T00:00:00"/>
    <x v="0"/>
    <x v="0"/>
    <m/>
    <m/>
    <m/>
    <m/>
    <m/>
    <m/>
    <m/>
    <m/>
    <m/>
    <m/>
    <m/>
    <m/>
    <m/>
    <s v="Muy alto"/>
    <s v="SI"/>
    <m/>
  </r>
  <r>
    <x v="8"/>
    <m/>
    <m/>
    <x v="9"/>
    <m/>
    <m/>
    <x v="2"/>
    <x v="9"/>
    <m/>
    <m/>
    <m/>
    <s v="Diario"/>
    <n v="2.5"/>
    <s v=" 1-2 personas"/>
    <n v="1"/>
    <s v="Rasguño o raspadura"/>
    <n v="0.1"/>
    <s v="Muy probable"/>
    <n v="10"/>
    <n v="2.5"/>
    <x v="0"/>
    <x v="0"/>
    <x v="9"/>
    <d v="2024-04-15T00:00:00"/>
    <x v="1"/>
    <x v="0"/>
    <m/>
    <m/>
    <m/>
    <m/>
    <m/>
    <m/>
    <m/>
    <m/>
    <m/>
    <m/>
    <m/>
    <m/>
    <m/>
    <s v="Extremo"/>
    <s v="NO"/>
    <m/>
  </r>
  <r>
    <x v="9"/>
    <m/>
    <m/>
    <x v="10"/>
    <m/>
    <m/>
    <x v="3"/>
    <x v="0"/>
    <m/>
    <m/>
    <m/>
    <s v="Diario"/>
    <n v="2.5"/>
    <s v=" 3-7 personas"/>
    <n v="2"/>
    <s v="Rasguño o raspadura"/>
    <n v="0.1"/>
    <s v="Certero"/>
    <n v="15"/>
    <n v="7.5"/>
    <x v="2"/>
    <x v="2"/>
    <x v="10"/>
    <d v="2024-04-15T00:00:00"/>
    <x v="0"/>
    <x v="0"/>
    <m/>
    <m/>
    <m/>
    <m/>
    <m/>
    <m/>
    <m/>
    <m/>
    <m/>
    <m/>
    <m/>
    <m/>
    <m/>
    <s v="Inaceptable"/>
    <s v="SI"/>
    <m/>
  </r>
  <r>
    <x v="10"/>
    <m/>
    <m/>
    <x v="11"/>
    <m/>
    <m/>
    <x v="4"/>
    <x v="1"/>
    <m/>
    <m/>
    <m/>
    <s v="Infrecuente"/>
    <n v="0.1"/>
    <s v=" 8-15 personas"/>
    <n v="4"/>
    <s v="Rasguño o raspadura"/>
    <n v="0.1"/>
    <s v="Certero"/>
    <n v="15"/>
    <n v="0.60000000000000009"/>
    <x v="1"/>
    <x v="1"/>
    <x v="11"/>
    <d v="2024-04-15T00:00:00"/>
    <x v="1"/>
    <x v="0"/>
    <m/>
    <m/>
    <m/>
    <m/>
    <m/>
    <m/>
    <m/>
    <m/>
    <m/>
    <m/>
    <m/>
    <m/>
    <m/>
    <s v="Insignificante"/>
    <s v="NO"/>
    <m/>
  </r>
  <r>
    <x v="11"/>
    <m/>
    <m/>
    <x v="12"/>
    <m/>
    <m/>
    <x v="5"/>
    <x v="2"/>
    <m/>
    <m/>
    <m/>
    <s v="Anual"/>
    <n v="0.2"/>
    <s v="16-50 personas"/>
    <n v="8"/>
    <s v="Rasguño o raspadura"/>
    <n v="0.1"/>
    <s v="Imposible"/>
    <n v="0"/>
    <n v="0"/>
    <x v="1"/>
    <x v="1"/>
    <x v="12"/>
    <d v="2024-04-15T00:00:00"/>
    <x v="0"/>
    <x v="0"/>
    <m/>
    <m/>
    <m/>
    <m/>
    <m/>
    <m/>
    <m/>
    <m/>
    <m/>
    <m/>
    <m/>
    <m/>
    <m/>
    <s v="Insignificante"/>
    <s v="SI"/>
    <m/>
  </r>
  <r>
    <x v="12"/>
    <m/>
    <m/>
    <x v="13"/>
    <m/>
    <m/>
    <x v="6"/>
    <x v="3"/>
    <m/>
    <m/>
    <m/>
    <s v="Mensual"/>
    <n v="1"/>
    <s v="&gt;50 personas"/>
    <n v="12"/>
    <s v="Rasguño o raspadura"/>
    <n v="0.1"/>
    <s v="Imposible"/>
    <n v="0"/>
    <n v="0"/>
    <x v="1"/>
    <x v="1"/>
    <x v="13"/>
    <d v="2024-04-15T00:00:00"/>
    <x v="1"/>
    <x v="0"/>
    <m/>
    <m/>
    <m/>
    <m/>
    <m/>
    <m/>
    <m/>
    <m/>
    <m/>
    <m/>
    <m/>
    <m/>
    <m/>
    <s v="Bajo"/>
    <s v="NO"/>
    <m/>
  </r>
  <r>
    <x v="13"/>
    <m/>
    <m/>
    <x v="14"/>
    <m/>
    <m/>
    <x v="0"/>
    <x v="4"/>
    <m/>
    <m/>
    <m/>
    <s v="Semanal"/>
    <n v="1.5"/>
    <s v=" 8-15 personas"/>
    <n v="4"/>
    <s v="Rasguño o raspadura"/>
    <n v="0.1"/>
    <s v="Casi imposible"/>
    <n v="0.1"/>
    <n v="6.0000000000000012E-2"/>
    <x v="1"/>
    <x v="1"/>
    <x v="14"/>
    <d v="2024-04-15T00:00:00"/>
    <x v="0"/>
    <x v="0"/>
    <m/>
    <m/>
    <m/>
    <m/>
    <m/>
    <m/>
    <m/>
    <m/>
    <m/>
    <m/>
    <m/>
    <m/>
    <m/>
    <s v="Medio"/>
    <s v="SI"/>
    <m/>
  </r>
  <r>
    <x v="14"/>
    <m/>
    <m/>
    <x v="15"/>
    <m/>
    <m/>
    <x v="1"/>
    <x v="5"/>
    <m/>
    <m/>
    <m/>
    <s v="Cada hora"/>
    <n v="4"/>
    <s v=" 1-2 personas"/>
    <n v="1"/>
    <s v="Rasguño o raspadura"/>
    <n v="0.1"/>
    <s v="Altamente improbable"/>
    <n v="0.5"/>
    <n v="0.2"/>
    <x v="1"/>
    <x v="1"/>
    <x v="15"/>
    <d v="2024-04-15T00:00:00"/>
    <x v="1"/>
    <x v="0"/>
    <m/>
    <m/>
    <m/>
    <m/>
    <m/>
    <m/>
    <m/>
    <m/>
    <m/>
    <m/>
    <m/>
    <m/>
    <m/>
    <s v="Insignifi"/>
    <s v="NO"/>
    <m/>
  </r>
  <r>
    <x v="15"/>
    <m/>
    <m/>
    <x v="16"/>
    <m/>
    <m/>
    <x v="2"/>
    <x v="6"/>
    <m/>
    <m/>
    <m/>
    <s v="Constantemente"/>
    <n v="5"/>
    <s v=" 3-7 personas"/>
    <n v="2"/>
    <s v="Rasguño o raspadura"/>
    <n v="0.1"/>
    <s v="Improbable"/>
    <n v="1"/>
    <n v="1"/>
    <x v="1"/>
    <x v="1"/>
    <x v="16"/>
    <d v="2024-04-15T00:00:00"/>
    <x v="0"/>
    <x v="0"/>
    <m/>
    <m/>
    <m/>
    <m/>
    <m/>
    <m/>
    <m/>
    <m/>
    <m/>
    <m/>
    <m/>
    <m/>
    <m/>
    <s v="Muy Bajo"/>
    <s v="SI"/>
    <m/>
  </r>
  <r>
    <x v="16"/>
    <m/>
    <m/>
    <x v="17"/>
    <m/>
    <m/>
    <x v="3"/>
    <x v="7"/>
    <m/>
    <m/>
    <m/>
    <s v="Diario"/>
    <n v="2.5"/>
    <s v=" 8-15 personas"/>
    <n v="4"/>
    <s v="Rasguño o raspadura"/>
    <n v="0.1"/>
    <s v="Posible"/>
    <n v="2"/>
    <n v="2"/>
    <x v="0"/>
    <x v="0"/>
    <x v="17"/>
    <d v="2024-04-15T00:00:00"/>
    <x v="1"/>
    <x v="0"/>
    <m/>
    <m/>
    <m/>
    <m/>
    <m/>
    <m/>
    <m/>
    <m/>
    <m/>
    <m/>
    <m/>
    <m/>
    <m/>
    <s v="Medio "/>
    <s v="NO"/>
    <m/>
  </r>
  <r>
    <x v="0"/>
    <m/>
    <m/>
    <x v="18"/>
    <m/>
    <m/>
    <x v="4"/>
    <x v="8"/>
    <m/>
    <m/>
    <m/>
    <s v="Diario"/>
    <n v="2.5"/>
    <s v="16-50 personas"/>
    <n v="8"/>
    <s v="Rasguño o raspadura"/>
    <n v="0.1"/>
    <s v="Alguna probabilidad"/>
    <n v="5"/>
    <n v="10"/>
    <x v="2"/>
    <x v="2"/>
    <x v="18"/>
    <d v="2024-04-15T00:00:00"/>
    <x v="0"/>
    <x v="0"/>
    <m/>
    <m/>
    <m/>
    <m/>
    <m/>
    <m/>
    <m/>
    <m/>
    <m/>
    <m/>
    <m/>
    <m/>
    <m/>
    <s v="Alto"/>
    <s v="SI"/>
    <m/>
  </r>
  <r>
    <x v="1"/>
    <m/>
    <m/>
    <x v="19"/>
    <m/>
    <m/>
    <x v="5"/>
    <x v="9"/>
    <m/>
    <m/>
    <m/>
    <s v="Infrecuente"/>
    <n v="0.1"/>
    <s v="&gt;50 personas"/>
    <n v="12"/>
    <s v="Rasguño o raspadura"/>
    <n v="0.1"/>
    <s v="Probable"/>
    <n v="8"/>
    <n v="0.96000000000000019"/>
    <x v="1"/>
    <x v="1"/>
    <x v="19"/>
    <d v="2024-04-15T00:00:00"/>
    <x v="1"/>
    <x v="0"/>
    <m/>
    <m/>
    <m/>
    <m/>
    <m/>
    <m/>
    <m/>
    <m/>
    <m/>
    <m/>
    <m/>
    <m/>
    <m/>
    <s v="Muy alto"/>
    <s v="NO"/>
    <m/>
  </r>
  <r>
    <x v="2"/>
    <m/>
    <m/>
    <x v="20"/>
    <m/>
    <m/>
    <x v="6"/>
    <x v="0"/>
    <m/>
    <m/>
    <m/>
    <s v="Anual"/>
    <n v="0.2"/>
    <s v=" 8-15 personas"/>
    <n v="4"/>
    <s v="Fractura de hueso mayor (brazo, pierna) o enfermedad ocupacional menor permanente"/>
    <n v="2"/>
    <s v="Muy probable"/>
    <n v="10"/>
    <n v="16"/>
    <x v="3"/>
    <x v="3"/>
    <x v="20"/>
    <d v="2024-04-15T00:00:00"/>
    <x v="0"/>
    <x v="0"/>
    <m/>
    <m/>
    <m/>
    <m/>
    <m/>
    <m/>
    <m/>
    <m/>
    <m/>
    <m/>
    <m/>
    <m/>
    <m/>
    <s v="Extremo"/>
    <s v="SI"/>
    <m/>
  </r>
  <r>
    <x v="3"/>
    <m/>
    <m/>
    <x v="21"/>
    <m/>
    <m/>
    <x v="0"/>
    <x v="1"/>
    <m/>
    <m/>
    <m/>
    <s v="Mensual"/>
    <n v="1"/>
    <s v=" 1-2 personas"/>
    <n v="1"/>
    <s v="Fractura de hueso menor (dedos) o enfermedad ocupacional menor temporal"/>
    <n v="1"/>
    <s v="Certero"/>
    <n v="15"/>
    <n v="15"/>
    <x v="3"/>
    <x v="3"/>
    <x v="21"/>
    <d v="2024-04-15T00:00:00"/>
    <x v="1"/>
    <x v="0"/>
    <m/>
    <m/>
    <m/>
    <m/>
    <m/>
    <m/>
    <m/>
    <m/>
    <m/>
    <m/>
    <m/>
    <m/>
    <m/>
    <s v="Inaceptable"/>
    <s v="NO"/>
    <m/>
  </r>
  <r>
    <x v="4"/>
    <m/>
    <m/>
    <x v="22"/>
    <m/>
    <m/>
    <x v="1"/>
    <x v="2"/>
    <m/>
    <m/>
    <m/>
    <s v="Semanal"/>
    <n v="1.5"/>
    <s v=" 3-7 personas"/>
    <n v="2"/>
    <s v="Rasguño o raspadura"/>
    <n v="0.1"/>
    <s v="Certero"/>
    <n v="15"/>
    <n v="4.5000000000000009"/>
    <x v="0"/>
    <x v="0"/>
    <x v="22"/>
    <d v="2024-04-15T00:00:00"/>
    <x v="0"/>
    <x v="0"/>
    <m/>
    <m/>
    <m/>
    <m/>
    <m/>
    <m/>
    <m/>
    <m/>
    <m/>
    <m/>
    <m/>
    <m/>
    <m/>
    <s v="Insignificante"/>
    <s v="SI"/>
    <m/>
  </r>
  <r>
    <x v="5"/>
    <m/>
    <m/>
    <x v="23"/>
    <m/>
    <m/>
    <x v="2"/>
    <x v="3"/>
    <m/>
    <m/>
    <m/>
    <s v="Cada hora"/>
    <n v="4"/>
    <s v=" 8-15 personas"/>
    <n v="4"/>
    <s v="Rasguño o raspadura"/>
    <n v="0.1"/>
    <s v="Imposible"/>
    <n v="0"/>
    <n v="0"/>
    <x v="1"/>
    <x v="1"/>
    <x v="23"/>
    <d v="2024-04-15T00:00:00"/>
    <x v="1"/>
    <x v="0"/>
    <m/>
    <m/>
    <m/>
    <m/>
    <m/>
    <m/>
    <m/>
    <m/>
    <m/>
    <m/>
    <m/>
    <m/>
    <m/>
    <s v="Insignificante"/>
    <s v="NO"/>
    <m/>
  </r>
  <r>
    <x v="6"/>
    <m/>
    <m/>
    <x v="24"/>
    <m/>
    <m/>
    <x v="3"/>
    <x v="4"/>
    <m/>
    <m/>
    <m/>
    <s v="Constantemente"/>
    <n v="5"/>
    <s v="16-50 personas"/>
    <n v="8"/>
    <s v="Rasguño o raspadura"/>
    <n v="0.1"/>
    <s v="Imposible"/>
    <n v="0"/>
    <n v="0"/>
    <x v="1"/>
    <x v="1"/>
    <x v="24"/>
    <d v="2024-04-15T00:00:00"/>
    <x v="0"/>
    <x v="0"/>
    <m/>
    <m/>
    <m/>
    <m/>
    <m/>
    <m/>
    <m/>
    <m/>
    <m/>
    <m/>
    <m/>
    <m/>
    <m/>
    <s v="Bajo"/>
    <s v="SI"/>
    <m/>
  </r>
  <r>
    <x v="7"/>
    <m/>
    <m/>
    <x v="25"/>
    <m/>
    <m/>
    <x v="4"/>
    <x v="5"/>
    <m/>
    <m/>
    <m/>
    <s v="Diario"/>
    <n v="2.5"/>
    <s v="&gt;50 personas"/>
    <n v="12"/>
    <s v="Rasguño o raspadura"/>
    <n v="0.1"/>
    <s v="Casi imposible"/>
    <n v="0.1"/>
    <n v="0.30000000000000004"/>
    <x v="1"/>
    <x v="1"/>
    <x v="25"/>
    <d v="2024-04-15T00:00:00"/>
    <x v="1"/>
    <x v="0"/>
    <m/>
    <m/>
    <m/>
    <m/>
    <m/>
    <m/>
    <m/>
    <m/>
    <m/>
    <m/>
    <m/>
    <m/>
    <m/>
    <s v="Medio"/>
    <s v="NO"/>
    <m/>
  </r>
  <r>
    <x v="8"/>
    <m/>
    <m/>
    <x v="26"/>
    <m/>
    <m/>
    <x v="5"/>
    <x v="6"/>
    <m/>
    <m/>
    <m/>
    <s v="Diario"/>
    <n v="2.5"/>
    <s v=" 8-15 personas"/>
    <n v="4"/>
    <s v="Rasguño o raspadura"/>
    <n v="0.1"/>
    <s v="Altamente improbable"/>
    <n v="0.5"/>
    <n v="0.5"/>
    <x v="1"/>
    <x v="1"/>
    <x v="26"/>
    <d v="2024-04-15T00:00:00"/>
    <x v="0"/>
    <x v="0"/>
    <m/>
    <m/>
    <m/>
    <m/>
    <m/>
    <m/>
    <m/>
    <m/>
    <m/>
    <m/>
    <m/>
    <m/>
    <m/>
    <s v="Insignifi"/>
    <s v="SI"/>
    <m/>
  </r>
  <r>
    <x v="9"/>
    <m/>
    <m/>
    <x v="27"/>
    <m/>
    <m/>
    <x v="6"/>
    <x v="7"/>
    <m/>
    <m/>
    <m/>
    <s v="Infrecuente"/>
    <n v="0.1"/>
    <s v=" 1-2 personas"/>
    <n v="1"/>
    <s v="Rasguño o raspadura"/>
    <n v="0.1"/>
    <s v="Improbable"/>
    <n v="1"/>
    <n v="1.0000000000000002E-2"/>
    <x v="1"/>
    <x v="1"/>
    <x v="27"/>
    <d v="2024-04-15T00:00:00"/>
    <x v="1"/>
    <x v="0"/>
    <m/>
    <m/>
    <m/>
    <m/>
    <m/>
    <m/>
    <m/>
    <m/>
    <m/>
    <m/>
    <m/>
    <m/>
    <m/>
    <s v="Muy Bajo"/>
    <s v="NO"/>
    <m/>
  </r>
  <r>
    <x v="10"/>
    <m/>
    <m/>
    <x v="28"/>
    <m/>
    <m/>
    <x v="0"/>
    <x v="8"/>
    <m/>
    <m/>
    <m/>
    <s v="Anual"/>
    <n v="0.2"/>
    <s v=" 3-7 personas"/>
    <n v="2"/>
    <s v="Rasguño o raspadura"/>
    <n v="0.1"/>
    <s v="Posible"/>
    <n v="2"/>
    <n v="8.0000000000000016E-2"/>
    <x v="1"/>
    <x v="1"/>
    <x v="28"/>
    <d v="2024-04-15T00:00:00"/>
    <x v="0"/>
    <x v="0"/>
    <m/>
    <m/>
    <m/>
    <m/>
    <m/>
    <m/>
    <m/>
    <m/>
    <m/>
    <m/>
    <m/>
    <m/>
    <m/>
    <s v="Medio "/>
    <s v="SI"/>
    <m/>
  </r>
  <r>
    <x v="11"/>
    <m/>
    <m/>
    <x v="29"/>
    <m/>
    <m/>
    <x v="1"/>
    <x v="9"/>
    <m/>
    <m/>
    <m/>
    <s v="Mensual"/>
    <n v="1"/>
    <s v=" 8-15 personas"/>
    <n v="4"/>
    <s v="Rasguño o raspadura"/>
    <n v="0.1"/>
    <s v="Alguna probabilidad"/>
    <n v="5"/>
    <n v="2"/>
    <x v="0"/>
    <x v="0"/>
    <x v="29"/>
    <d v="2024-04-15T00:00:00"/>
    <x v="1"/>
    <x v="0"/>
    <m/>
    <m/>
    <m/>
    <m/>
    <m/>
    <m/>
    <m/>
    <m/>
    <m/>
    <m/>
    <m/>
    <m/>
    <m/>
    <s v="Alto"/>
    <s v="NO"/>
    <m/>
  </r>
  <r>
    <x v="12"/>
    <m/>
    <m/>
    <x v="30"/>
    <m/>
    <m/>
    <x v="2"/>
    <x v="0"/>
    <m/>
    <m/>
    <m/>
    <s v="Semanal"/>
    <n v="1.5"/>
    <s v="16-50 personas"/>
    <n v="8"/>
    <s v="Rasguño o raspadura"/>
    <n v="0.1"/>
    <s v="Probable"/>
    <n v="8"/>
    <n v="9.6000000000000014"/>
    <x v="2"/>
    <x v="2"/>
    <x v="30"/>
    <d v="2024-04-15T00:00:00"/>
    <x v="0"/>
    <x v="0"/>
    <m/>
    <m/>
    <m/>
    <m/>
    <m/>
    <m/>
    <m/>
    <m/>
    <m/>
    <m/>
    <m/>
    <m/>
    <m/>
    <s v="Muy alto"/>
    <s v="SI"/>
    <m/>
  </r>
  <r>
    <x v="13"/>
    <m/>
    <m/>
    <x v="31"/>
    <m/>
    <m/>
    <x v="3"/>
    <x v="1"/>
    <m/>
    <m/>
    <m/>
    <s v="Cada hora"/>
    <n v="4"/>
    <s v="&gt;50 personas"/>
    <n v="12"/>
    <s v="Rasguño o raspadura"/>
    <n v="0.1"/>
    <s v="Muy probable"/>
    <n v="10"/>
    <n v="48.000000000000007"/>
    <x v="3"/>
    <x v="3"/>
    <x v="31"/>
    <d v="2024-04-15T00:00:00"/>
    <x v="1"/>
    <x v="0"/>
    <m/>
    <m/>
    <m/>
    <m/>
    <m/>
    <m/>
    <m/>
    <m/>
    <m/>
    <m/>
    <m/>
    <m/>
    <m/>
    <s v="Extremo"/>
    <s v="NO"/>
    <m/>
  </r>
  <r>
    <x v="14"/>
    <m/>
    <m/>
    <x v="32"/>
    <m/>
    <m/>
    <x v="4"/>
    <x v="2"/>
    <m/>
    <m/>
    <m/>
    <s v="Constantemente"/>
    <n v="5"/>
    <s v=" 8-15 personas"/>
    <n v="4"/>
    <s v="Rasguño o raspadura"/>
    <n v="0.1"/>
    <s v="Certero"/>
    <n v="15"/>
    <n v="30"/>
    <x v="3"/>
    <x v="3"/>
    <x v="32"/>
    <d v="2024-04-15T00:00:00"/>
    <x v="0"/>
    <x v="0"/>
    <m/>
    <m/>
    <m/>
    <m/>
    <m/>
    <m/>
    <m/>
    <m/>
    <m/>
    <m/>
    <m/>
    <m/>
    <m/>
    <s v="Inaceptable"/>
    <s v="SI"/>
    <m/>
  </r>
  <r>
    <x v="15"/>
    <m/>
    <m/>
    <x v="33"/>
    <m/>
    <m/>
    <x v="5"/>
    <x v="3"/>
    <m/>
    <m/>
    <m/>
    <s v="Diario"/>
    <n v="2.5"/>
    <s v=" 1-2 personas"/>
    <n v="1"/>
    <s v="Rasguño o raspadura"/>
    <n v="0.1"/>
    <s v="Certero"/>
    <n v="15"/>
    <n v="3.75"/>
    <x v="0"/>
    <x v="0"/>
    <x v="33"/>
    <d v="2024-04-15T00:00:00"/>
    <x v="1"/>
    <x v="0"/>
    <m/>
    <m/>
    <m/>
    <m/>
    <m/>
    <m/>
    <m/>
    <m/>
    <m/>
    <m/>
    <m/>
    <m/>
    <m/>
    <s v="Insignificante"/>
    <s v="NO"/>
    <m/>
  </r>
  <r>
    <x v="16"/>
    <m/>
    <m/>
    <x v="34"/>
    <m/>
    <m/>
    <x v="0"/>
    <x v="4"/>
    <m/>
    <m/>
    <m/>
    <s v="Diario"/>
    <n v="2.5"/>
    <s v=" 3-7 personas"/>
    <n v="2"/>
    <s v="Rasguño o raspadura"/>
    <n v="0.1"/>
    <s v="Imposible"/>
    <n v="0"/>
    <n v="0"/>
    <x v="1"/>
    <x v="1"/>
    <x v="34"/>
    <d v="2024-04-15T00:00:00"/>
    <x v="0"/>
    <x v="0"/>
    <m/>
    <m/>
    <m/>
    <m/>
    <m/>
    <m/>
    <m/>
    <m/>
    <m/>
    <m/>
    <m/>
    <m/>
    <m/>
    <s v="Insignificante"/>
    <s v="SI"/>
    <m/>
  </r>
  <r>
    <x v="0"/>
    <m/>
    <m/>
    <x v="35"/>
    <m/>
    <m/>
    <x v="1"/>
    <x v="5"/>
    <m/>
    <m/>
    <m/>
    <s v="Infrecuente"/>
    <n v="0.1"/>
    <s v=" 8-15 personas"/>
    <n v="4"/>
    <s v="Rasguño o raspadura"/>
    <n v="0.1"/>
    <s v="Imposible"/>
    <n v="0"/>
    <n v="0"/>
    <x v="1"/>
    <x v="1"/>
    <x v="35"/>
    <d v="2024-04-15T00:00:00"/>
    <x v="1"/>
    <x v="0"/>
    <m/>
    <m/>
    <m/>
    <m/>
    <m/>
    <m/>
    <m/>
    <m/>
    <m/>
    <m/>
    <m/>
    <m/>
    <m/>
    <s v="Bajo"/>
    <s v="NO"/>
    <m/>
  </r>
  <r>
    <x v="1"/>
    <m/>
    <m/>
    <x v="36"/>
    <m/>
    <m/>
    <x v="2"/>
    <x v="6"/>
    <m/>
    <m/>
    <m/>
    <s v="Anual"/>
    <n v="0.2"/>
    <s v="16-50 personas"/>
    <n v="8"/>
    <s v="Fractura de hueso menor (dedos) o enfermedad ocupacional menor temporal"/>
    <n v="1"/>
    <s v="Casi imposible"/>
    <n v="0.1"/>
    <n v="0.16000000000000003"/>
    <x v="1"/>
    <x v="1"/>
    <x v="36"/>
    <d v="2024-04-15T00:00:00"/>
    <x v="0"/>
    <x v="0"/>
    <m/>
    <m/>
    <m/>
    <m/>
    <m/>
    <m/>
    <m/>
    <m/>
    <m/>
    <m/>
    <m/>
    <m/>
    <m/>
    <s v="Medio"/>
    <s v="SI"/>
    <m/>
  </r>
  <r>
    <x v="2"/>
    <m/>
    <m/>
    <x v="37"/>
    <m/>
    <m/>
    <x v="3"/>
    <x v="7"/>
    <m/>
    <m/>
    <m/>
    <s v="Mensual"/>
    <n v="1"/>
    <s v="&gt;50 personas"/>
    <n v="12"/>
    <s v="Cortadura o efecto leve a la salud"/>
    <n v="0.5"/>
    <s v="Altamente improbable"/>
    <n v="0.5"/>
    <n v="3"/>
    <x v="0"/>
    <x v="0"/>
    <x v="37"/>
    <d v="2024-04-15T00:00:00"/>
    <x v="1"/>
    <x v="0"/>
    <m/>
    <m/>
    <m/>
    <m/>
    <m/>
    <m/>
    <m/>
    <m/>
    <m/>
    <m/>
    <m/>
    <m/>
    <m/>
    <s v="Insignifi"/>
    <s v="NO"/>
    <m/>
  </r>
  <r>
    <x v="3"/>
    <m/>
    <m/>
    <x v="37"/>
    <m/>
    <m/>
    <x v="4"/>
    <x v="8"/>
    <m/>
    <m/>
    <m/>
    <s v="Semanal"/>
    <n v="1.5"/>
    <s v=" 8-15 personas"/>
    <n v="4"/>
    <s v="Rasguño o raspadura"/>
    <n v="0.1"/>
    <s v="Improbable"/>
    <n v="1"/>
    <n v="0.60000000000000009"/>
    <x v="1"/>
    <x v="1"/>
    <x v="38"/>
    <d v="2024-04-15T00:00:00"/>
    <x v="0"/>
    <x v="0"/>
    <m/>
    <m/>
    <m/>
    <m/>
    <m/>
    <m/>
    <m/>
    <m/>
    <m/>
    <m/>
    <m/>
    <m/>
    <m/>
    <s v="Muy Bajo"/>
    <s v="SI"/>
    <m/>
  </r>
  <r>
    <x v="4"/>
    <m/>
    <m/>
    <x v="37"/>
    <m/>
    <m/>
    <x v="5"/>
    <x v="9"/>
    <m/>
    <m/>
    <m/>
    <s v="Cada hora"/>
    <n v="4"/>
    <s v=" 1-2 personas"/>
    <n v="1"/>
    <s v="Rasguño o raspadura"/>
    <n v="0.1"/>
    <s v="Posible"/>
    <n v="2"/>
    <n v="0.8"/>
    <x v="1"/>
    <x v="1"/>
    <x v="39"/>
    <d v="2024-04-15T00:00:00"/>
    <x v="1"/>
    <x v="0"/>
    <m/>
    <m/>
    <m/>
    <m/>
    <m/>
    <m/>
    <m/>
    <m/>
    <m/>
    <m/>
    <m/>
    <m/>
    <m/>
    <s v="Medio "/>
    <s v="NO"/>
    <m/>
  </r>
  <r>
    <x v="5"/>
    <m/>
    <m/>
    <x v="37"/>
    <m/>
    <m/>
    <x v="0"/>
    <x v="0"/>
    <m/>
    <m/>
    <m/>
    <s v="Constantemente"/>
    <n v="5"/>
    <s v=" 3-7 personas"/>
    <n v="2"/>
    <s v="Rasguño o raspadura"/>
    <n v="0.1"/>
    <s v="Alguna probabilidad"/>
    <n v="5"/>
    <n v="5"/>
    <x v="0"/>
    <x v="0"/>
    <x v="40"/>
    <d v="2024-04-15T00:00:00"/>
    <x v="0"/>
    <x v="0"/>
    <m/>
    <m/>
    <m/>
    <m/>
    <m/>
    <m/>
    <m/>
    <m/>
    <m/>
    <m/>
    <m/>
    <m/>
    <m/>
    <s v="Alto"/>
    <s v="SI"/>
    <m/>
  </r>
  <r>
    <x v="6"/>
    <m/>
    <m/>
    <x v="37"/>
    <m/>
    <m/>
    <x v="1"/>
    <x v="1"/>
    <m/>
    <m/>
    <m/>
    <s v="Diario"/>
    <n v="2.5"/>
    <s v=" 8-15 personas"/>
    <n v="4"/>
    <s v="Rasguño o raspadura"/>
    <n v="0.1"/>
    <s v="Probable"/>
    <n v="8"/>
    <n v="8"/>
    <x v="2"/>
    <x v="2"/>
    <x v="41"/>
    <d v="2024-04-15T00:00:00"/>
    <x v="1"/>
    <x v="0"/>
    <m/>
    <m/>
    <m/>
    <m/>
    <m/>
    <m/>
    <m/>
    <m/>
    <m/>
    <m/>
    <m/>
    <m/>
    <m/>
    <s v="Muy alto"/>
    <s v="NO"/>
    <m/>
  </r>
  <r>
    <x v="7"/>
    <m/>
    <m/>
    <x v="37"/>
    <m/>
    <m/>
    <x v="2"/>
    <x v="2"/>
    <m/>
    <m/>
    <m/>
    <s v="Diario"/>
    <n v="2.5"/>
    <s v="16-50 personas"/>
    <n v="8"/>
    <s v="Rasguño o raspadura"/>
    <n v="0.1"/>
    <s v="Muy probable"/>
    <n v="10"/>
    <n v="20"/>
    <x v="3"/>
    <x v="3"/>
    <x v="42"/>
    <d v="2024-04-15T00:00:00"/>
    <x v="0"/>
    <x v="0"/>
    <m/>
    <m/>
    <m/>
    <m/>
    <m/>
    <m/>
    <m/>
    <m/>
    <m/>
    <m/>
    <m/>
    <m/>
    <m/>
    <s v="Extremo"/>
    <s v="SI"/>
    <m/>
  </r>
  <r>
    <x v="8"/>
    <m/>
    <m/>
    <x v="37"/>
    <m/>
    <m/>
    <x v="3"/>
    <x v="3"/>
    <m/>
    <m/>
    <m/>
    <s v="Infrecuente"/>
    <n v="0.1"/>
    <s v="&gt;50 personas"/>
    <n v="12"/>
    <s v="Rasguño o raspadura"/>
    <n v="0.1"/>
    <s v="Certero"/>
    <n v="15"/>
    <n v="1.8000000000000003"/>
    <x v="0"/>
    <x v="0"/>
    <x v="43"/>
    <d v="2024-04-15T00:00:00"/>
    <x v="1"/>
    <x v="0"/>
    <m/>
    <m/>
    <m/>
    <m/>
    <m/>
    <m/>
    <m/>
    <m/>
    <m/>
    <m/>
    <m/>
    <m/>
    <m/>
    <s v="Inaceptable"/>
    <s v="NO"/>
    <m/>
  </r>
  <r>
    <x v="9"/>
    <m/>
    <m/>
    <x v="37"/>
    <m/>
    <m/>
    <x v="4"/>
    <x v="4"/>
    <m/>
    <m/>
    <m/>
    <s v="Anual"/>
    <n v="0.2"/>
    <s v=" 1-2 personas"/>
    <n v="1"/>
    <s v="Rasguño o raspadura"/>
    <n v="0.1"/>
    <s v="Certero"/>
    <n v="15"/>
    <n v="0.30000000000000004"/>
    <x v="1"/>
    <x v="1"/>
    <x v="44"/>
    <d v="2024-04-15T00:00:00"/>
    <x v="0"/>
    <x v="0"/>
    <m/>
    <m/>
    <m/>
    <m/>
    <m/>
    <m/>
    <m/>
    <m/>
    <m/>
    <m/>
    <m/>
    <m/>
    <m/>
    <s v="Insignificante"/>
    <s v="SI"/>
    <m/>
  </r>
  <r>
    <x v="10"/>
    <m/>
    <m/>
    <x v="37"/>
    <m/>
    <m/>
    <x v="5"/>
    <x v="5"/>
    <m/>
    <m/>
    <m/>
    <s v="Mensual"/>
    <n v="1"/>
    <s v=" 3-7 personas"/>
    <n v="2"/>
    <s v="Rasguño o raspadura"/>
    <n v="0.1"/>
    <s v="Imposible"/>
    <n v="0"/>
    <n v="0"/>
    <x v="1"/>
    <x v="1"/>
    <x v="45"/>
    <d v="2024-04-15T00:00:00"/>
    <x v="1"/>
    <x v="0"/>
    <m/>
    <m/>
    <m/>
    <m/>
    <m/>
    <m/>
    <m/>
    <m/>
    <m/>
    <m/>
    <m/>
    <m/>
    <m/>
    <s v="Insignificante"/>
    <s v="NO"/>
    <m/>
  </r>
  <r>
    <x v="11"/>
    <m/>
    <m/>
    <x v="37"/>
    <m/>
    <m/>
    <x v="6"/>
    <x v="6"/>
    <m/>
    <m/>
    <m/>
    <s v="Semanal"/>
    <n v="1.5"/>
    <s v=" 8-15 personas"/>
    <n v="4"/>
    <s v="Rasguño o raspadura"/>
    <n v="0.1"/>
    <s v="Imposible"/>
    <n v="0"/>
    <n v="0"/>
    <x v="1"/>
    <x v="1"/>
    <x v="46"/>
    <d v="2024-04-15T00:00:00"/>
    <x v="0"/>
    <x v="0"/>
    <m/>
    <m/>
    <m/>
    <m/>
    <m/>
    <m/>
    <m/>
    <m/>
    <m/>
    <m/>
    <m/>
    <m/>
    <m/>
    <s v="Bajo"/>
    <s v="SI"/>
    <m/>
  </r>
  <r>
    <x v="12"/>
    <m/>
    <m/>
    <x v="37"/>
    <m/>
    <m/>
    <x v="0"/>
    <x v="7"/>
    <m/>
    <m/>
    <m/>
    <s v="Cada hora"/>
    <n v="4"/>
    <s v=" 1-2 personas"/>
    <n v="1"/>
    <s v="Rasguño o raspadura"/>
    <n v="0.1"/>
    <s v="Casi imposible"/>
    <n v="0.1"/>
    <n v="4.0000000000000008E-2"/>
    <x v="1"/>
    <x v="1"/>
    <x v="47"/>
    <d v="2024-04-15T00:00:00"/>
    <x v="1"/>
    <x v="0"/>
    <m/>
    <m/>
    <m/>
    <m/>
    <m/>
    <m/>
    <m/>
    <m/>
    <m/>
    <m/>
    <m/>
    <m/>
    <m/>
    <s v="Medio"/>
    <s v="NO"/>
    <m/>
  </r>
  <r>
    <x v="13"/>
    <m/>
    <m/>
    <x v="37"/>
    <m/>
    <m/>
    <x v="1"/>
    <x v="8"/>
    <m/>
    <m/>
    <m/>
    <s v="Constantemente"/>
    <n v="5"/>
    <s v=" 3-7 personas"/>
    <n v="2"/>
    <s v="Rasguño o raspadura"/>
    <n v="0.1"/>
    <s v="Altamente improbable"/>
    <n v="0.5"/>
    <n v="0.5"/>
    <x v="1"/>
    <x v="1"/>
    <x v="48"/>
    <d v="2024-04-15T00:00:00"/>
    <x v="0"/>
    <x v="0"/>
    <m/>
    <m/>
    <m/>
    <m/>
    <m/>
    <m/>
    <m/>
    <m/>
    <m/>
    <m/>
    <m/>
    <m/>
    <m/>
    <s v="Insignifi"/>
    <s v="SI"/>
    <m/>
  </r>
  <r>
    <x v="14"/>
    <m/>
    <m/>
    <x v="37"/>
    <m/>
    <m/>
    <x v="2"/>
    <x v="9"/>
    <m/>
    <m/>
    <m/>
    <s v="Diario"/>
    <n v="2.5"/>
    <s v=" 8-15 personas"/>
    <n v="4"/>
    <s v="Rasguño o raspadura"/>
    <n v="0.1"/>
    <s v="Improbable"/>
    <n v="1"/>
    <n v="1"/>
    <x v="1"/>
    <x v="1"/>
    <x v="49"/>
    <d v="2024-04-15T00:00:00"/>
    <x v="1"/>
    <x v="0"/>
    <m/>
    <m/>
    <m/>
    <m/>
    <m/>
    <m/>
    <m/>
    <m/>
    <m/>
    <m/>
    <m/>
    <m/>
    <m/>
    <s v="Muy Bajo"/>
    <s v="NO"/>
    <m/>
  </r>
  <r>
    <x v="15"/>
    <m/>
    <m/>
    <x v="37"/>
    <m/>
    <m/>
    <x v="3"/>
    <x v="0"/>
    <m/>
    <m/>
    <m/>
    <s v="Diario"/>
    <n v="2.5"/>
    <s v="16-50 personas"/>
    <n v="8"/>
    <s v="Rasguño o raspadura"/>
    <n v="0.1"/>
    <s v="Posible"/>
    <n v="2"/>
    <n v="4"/>
    <x v="0"/>
    <x v="0"/>
    <x v="50"/>
    <d v="2024-04-15T00:00:00"/>
    <x v="0"/>
    <x v="0"/>
    <m/>
    <m/>
    <m/>
    <m/>
    <m/>
    <m/>
    <m/>
    <m/>
    <m/>
    <m/>
    <m/>
    <m/>
    <m/>
    <s v="Medio "/>
    <s v="SI"/>
    <m/>
  </r>
  <r>
    <x v="16"/>
    <m/>
    <m/>
    <x v="37"/>
    <m/>
    <m/>
    <x v="4"/>
    <x v="1"/>
    <m/>
    <m/>
    <m/>
    <s v="Infrecuente"/>
    <n v="0.1"/>
    <s v="&gt;50 personas"/>
    <n v="12"/>
    <s v="Rasguño o raspadura"/>
    <n v="0.1"/>
    <s v="Alguna probabilidad"/>
    <n v="5"/>
    <n v="0.60000000000000009"/>
    <x v="1"/>
    <x v="1"/>
    <x v="51"/>
    <d v="2024-04-15T00:00:00"/>
    <x v="1"/>
    <x v="0"/>
    <m/>
    <m/>
    <m/>
    <m/>
    <m/>
    <m/>
    <m/>
    <m/>
    <m/>
    <m/>
    <m/>
    <m/>
    <m/>
    <s v="Alto"/>
    <s v="NO"/>
    <m/>
  </r>
  <r>
    <x v="0"/>
    <m/>
    <m/>
    <x v="37"/>
    <m/>
    <m/>
    <x v="5"/>
    <x v="2"/>
    <m/>
    <m/>
    <m/>
    <s v="Anual"/>
    <n v="0.2"/>
    <s v=" 8-15 personas"/>
    <n v="4"/>
    <s v="Rasguño o raspadura"/>
    <n v="0.1"/>
    <s v="Probable"/>
    <n v="8"/>
    <n v="0.64000000000000012"/>
    <x v="1"/>
    <x v="1"/>
    <x v="52"/>
    <d v="2024-04-15T00:00:00"/>
    <x v="0"/>
    <x v="0"/>
    <m/>
    <m/>
    <m/>
    <m/>
    <m/>
    <m/>
    <m/>
    <m/>
    <m/>
    <m/>
    <m/>
    <m/>
    <m/>
    <s v="Muy alto"/>
    <s v="SI"/>
    <m/>
  </r>
  <r>
    <x v="1"/>
    <m/>
    <m/>
    <x v="37"/>
    <m/>
    <m/>
    <x v="6"/>
    <x v="3"/>
    <m/>
    <m/>
    <m/>
    <s v="Mensual"/>
    <n v="1"/>
    <s v=" 1-2 personas"/>
    <n v="1"/>
    <s v="Rasguño o raspadura"/>
    <n v="0.1"/>
    <s v="Muy probable"/>
    <n v="10"/>
    <n v="1"/>
    <x v="1"/>
    <x v="1"/>
    <x v="53"/>
    <d v="2024-04-15T00:00:00"/>
    <x v="1"/>
    <x v="0"/>
    <m/>
    <m/>
    <m/>
    <m/>
    <m/>
    <m/>
    <m/>
    <m/>
    <m/>
    <m/>
    <m/>
    <m/>
    <m/>
    <s v="Extremo"/>
    <s v="NO"/>
    <m/>
  </r>
  <r>
    <x v="2"/>
    <m/>
    <m/>
    <x v="37"/>
    <m/>
    <m/>
    <x v="0"/>
    <x v="4"/>
    <m/>
    <m/>
    <m/>
    <s v="Semanal"/>
    <n v="1.5"/>
    <s v=" 3-7 personas"/>
    <n v="2"/>
    <s v="Rasguño o raspadura"/>
    <n v="0.1"/>
    <s v="Certero"/>
    <n v="15"/>
    <n v="4.5000000000000009"/>
    <x v="0"/>
    <x v="0"/>
    <x v="54"/>
    <d v="2024-04-15T00:00:00"/>
    <x v="0"/>
    <x v="0"/>
    <m/>
    <m/>
    <m/>
    <m/>
    <m/>
    <m/>
    <m/>
    <m/>
    <m/>
    <m/>
    <m/>
    <m/>
    <m/>
    <s v="Inaceptable"/>
    <s v="SI"/>
    <m/>
  </r>
  <r>
    <x v="3"/>
    <m/>
    <m/>
    <x v="37"/>
    <m/>
    <m/>
    <x v="1"/>
    <x v="5"/>
    <m/>
    <m/>
    <m/>
    <s v="Cada hora"/>
    <n v="4"/>
    <s v=" 8-15 personas"/>
    <n v="4"/>
    <s v="Rasguño o raspadura"/>
    <n v="0.1"/>
    <s v="Certero"/>
    <n v="15"/>
    <n v="24"/>
    <x v="3"/>
    <x v="3"/>
    <x v="55"/>
    <d v="2024-04-15T00:00:00"/>
    <x v="1"/>
    <x v="0"/>
    <m/>
    <m/>
    <m/>
    <m/>
    <m/>
    <m/>
    <m/>
    <m/>
    <m/>
    <m/>
    <m/>
    <m/>
    <m/>
    <s v="Insignificante"/>
    <s v="NO"/>
    <m/>
  </r>
  <r>
    <x v="4"/>
    <m/>
    <m/>
    <x v="37"/>
    <m/>
    <m/>
    <x v="2"/>
    <x v="6"/>
    <m/>
    <m/>
    <m/>
    <s v="Constantemente"/>
    <n v="5"/>
    <s v="16-50 personas"/>
    <n v="8"/>
    <s v="Rasguño o raspadura"/>
    <n v="0.1"/>
    <s v="Imposible"/>
    <n v="0"/>
    <n v="0"/>
    <x v="1"/>
    <x v="1"/>
    <x v="56"/>
    <d v="2024-04-15T00:00:00"/>
    <x v="0"/>
    <x v="0"/>
    <m/>
    <m/>
    <m/>
    <m/>
    <m/>
    <m/>
    <m/>
    <m/>
    <m/>
    <m/>
    <m/>
    <m/>
    <m/>
    <s v="Insignificante"/>
    <s v="SI"/>
    <m/>
  </r>
  <r>
    <x v="5"/>
    <m/>
    <m/>
    <x v="37"/>
    <m/>
    <m/>
    <x v="3"/>
    <x v="7"/>
    <m/>
    <m/>
    <m/>
    <s v="Diario"/>
    <n v="2.5"/>
    <s v="&gt;50 personas"/>
    <n v="12"/>
    <s v="Rasguño o raspadura"/>
    <n v="0.1"/>
    <s v="Imposible"/>
    <n v="0"/>
    <n v="0"/>
    <x v="1"/>
    <x v="1"/>
    <x v="57"/>
    <d v="2024-04-15T00:00:00"/>
    <x v="1"/>
    <x v="0"/>
    <m/>
    <m/>
    <m/>
    <m/>
    <m/>
    <m/>
    <m/>
    <m/>
    <m/>
    <m/>
    <m/>
    <m/>
    <m/>
    <s v="Bajo"/>
    <s v="NO"/>
    <m/>
  </r>
  <r>
    <x v="6"/>
    <m/>
    <m/>
    <x v="37"/>
    <m/>
    <m/>
    <x v="4"/>
    <x v="8"/>
    <m/>
    <m/>
    <m/>
    <s v="Diario"/>
    <n v="2.5"/>
    <s v=" 8-15 personas"/>
    <n v="4"/>
    <s v="Rasguño o raspadura"/>
    <n v="0.1"/>
    <s v="Casi imposible"/>
    <n v="0.1"/>
    <n v="0.1"/>
    <x v="1"/>
    <x v="1"/>
    <x v="58"/>
    <d v="2024-04-15T00:00:00"/>
    <x v="0"/>
    <x v="0"/>
    <m/>
    <m/>
    <m/>
    <m/>
    <m/>
    <m/>
    <m/>
    <m/>
    <m/>
    <m/>
    <m/>
    <m/>
    <m/>
    <s v="Medio"/>
    <s v="SI"/>
    <m/>
  </r>
  <r>
    <x v="7"/>
    <m/>
    <m/>
    <x v="37"/>
    <m/>
    <m/>
    <x v="5"/>
    <x v="9"/>
    <m/>
    <m/>
    <m/>
    <s v="Semanal"/>
    <n v="1.5"/>
    <s v=" 1-2 personas"/>
    <n v="1"/>
    <s v="Rasguño o raspadura"/>
    <n v="0.1"/>
    <s v="Altamente improbable"/>
    <n v="0.5"/>
    <n v="7.5000000000000011E-2"/>
    <x v="1"/>
    <x v="1"/>
    <x v="59"/>
    <d v="2024-04-15T00:00:00"/>
    <x v="1"/>
    <x v="0"/>
    <m/>
    <m/>
    <m/>
    <m/>
    <m/>
    <m/>
    <m/>
    <m/>
    <m/>
    <m/>
    <m/>
    <m/>
    <m/>
    <s v="Insignifi"/>
    <s v="NO"/>
    <m/>
  </r>
  <r>
    <x v="8"/>
    <m/>
    <m/>
    <x v="37"/>
    <m/>
    <m/>
    <x v="6"/>
    <x v="0"/>
    <m/>
    <m/>
    <m/>
    <s v="Diario"/>
    <n v="2.5"/>
    <s v=" 3-7 personas"/>
    <n v="2"/>
    <s v="Rasguño o raspadura"/>
    <n v="0.1"/>
    <s v="Improbable"/>
    <n v="1"/>
    <n v="0.5"/>
    <x v="1"/>
    <x v="1"/>
    <x v="60"/>
    <d v="2024-04-15T00:00:00"/>
    <x v="0"/>
    <x v="0"/>
    <m/>
    <m/>
    <m/>
    <m/>
    <m/>
    <m/>
    <m/>
    <m/>
    <m/>
    <m/>
    <m/>
    <m/>
    <m/>
    <s v="Muy Bajo"/>
    <s v="SI"/>
    <m/>
  </r>
  <r>
    <x v="9"/>
    <m/>
    <m/>
    <x v="37"/>
    <m/>
    <m/>
    <x v="0"/>
    <x v="1"/>
    <m/>
    <m/>
    <m/>
    <s v="Infrecuente"/>
    <n v="0.1"/>
    <s v=" 8-15 personas"/>
    <n v="4"/>
    <s v="Rasguño o raspadura"/>
    <n v="0.1"/>
    <s v="Posible"/>
    <n v="2"/>
    <n v="8.0000000000000016E-2"/>
    <x v="1"/>
    <x v="1"/>
    <x v="61"/>
    <d v="2024-04-15T00:00:00"/>
    <x v="1"/>
    <x v="0"/>
    <m/>
    <m/>
    <m/>
    <m/>
    <m/>
    <m/>
    <m/>
    <m/>
    <m/>
    <m/>
    <m/>
    <m/>
    <m/>
    <s v="Medio "/>
    <s v="NO"/>
    <m/>
  </r>
  <r>
    <x v="10"/>
    <m/>
    <m/>
    <x v="37"/>
    <m/>
    <m/>
    <x v="1"/>
    <x v="2"/>
    <m/>
    <m/>
    <m/>
    <s v="Anual"/>
    <n v="0.2"/>
    <s v="16-50 personas"/>
    <n v="8"/>
    <s v="Rasguño o raspadura"/>
    <n v="0.1"/>
    <s v="Alguna probabilidad"/>
    <n v="5"/>
    <n v="0.80000000000000016"/>
    <x v="1"/>
    <x v="1"/>
    <x v="62"/>
    <d v="2024-04-15T00:00:00"/>
    <x v="0"/>
    <x v="0"/>
    <m/>
    <m/>
    <m/>
    <m/>
    <m/>
    <m/>
    <m/>
    <m/>
    <m/>
    <m/>
    <m/>
    <m/>
    <m/>
    <s v="Alto"/>
    <s v="SI"/>
    <m/>
  </r>
  <r>
    <x v="11"/>
    <m/>
    <m/>
    <x v="37"/>
    <m/>
    <m/>
    <x v="2"/>
    <x v="3"/>
    <m/>
    <m/>
    <m/>
    <s v="Mensual"/>
    <n v="1"/>
    <s v="&gt;50 personas"/>
    <n v="12"/>
    <s v="Rasguño o raspadura"/>
    <n v="0.1"/>
    <s v="Probable"/>
    <n v="8"/>
    <n v="9.6000000000000014"/>
    <x v="2"/>
    <x v="2"/>
    <x v="63"/>
    <d v="2024-04-15T00:00:00"/>
    <x v="1"/>
    <x v="0"/>
    <m/>
    <m/>
    <m/>
    <m/>
    <m/>
    <m/>
    <m/>
    <m/>
    <m/>
    <m/>
    <m/>
    <m/>
    <m/>
    <s v="Muy alto"/>
    <s v="NO"/>
    <m/>
  </r>
  <r>
    <x v="12"/>
    <m/>
    <m/>
    <x v="37"/>
    <m/>
    <m/>
    <x v="3"/>
    <x v="4"/>
    <m/>
    <m/>
    <m/>
    <s v="Semanal"/>
    <n v="1.5"/>
    <s v=" 8-15 personas"/>
    <n v="4"/>
    <s v="Rasguño o raspadura"/>
    <n v="0.1"/>
    <s v="Muy probable"/>
    <n v="10"/>
    <n v="6.0000000000000009"/>
    <x v="2"/>
    <x v="2"/>
    <x v="64"/>
    <d v="2024-04-15T00:00:00"/>
    <x v="0"/>
    <x v="0"/>
    <m/>
    <m/>
    <m/>
    <m/>
    <m/>
    <m/>
    <m/>
    <m/>
    <m/>
    <m/>
    <m/>
    <m/>
    <m/>
    <s v="Extremo"/>
    <s v="SI"/>
    <m/>
  </r>
  <r>
    <x v="13"/>
    <m/>
    <m/>
    <x v="37"/>
    <m/>
    <m/>
    <x v="4"/>
    <x v="5"/>
    <m/>
    <m/>
    <m/>
    <s v="Cada hora"/>
    <n v="4"/>
    <s v=" 1-2 personas"/>
    <n v="1"/>
    <s v="Rasguño o raspadura"/>
    <n v="0.1"/>
    <s v="Certero"/>
    <n v="15"/>
    <n v="6"/>
    <x v="2"/>
    <x v="2"/>
    <x v="65"/>
    <d v="2024-04-15T00:00:00"/>
    <x v="1"/>
    <x v="0"/>
    <m/>
    <m/>
    <m/>
    <m/>
    <m/>
    <m/>
    <m/>
    <m/>
    <m/>
    <m/>
    <m/>
    <m/>
    <m/>
    <s v="Inaceptable"/>
    <s v="NO"/>
    <m/>
  </r>
  <r>
    <x v="14"/>
    <m/>
    <m/>
    <x v="37"/>
    <m/>
    <m/>
    <x v="5"/>
    <x v="6"/>
    <m/>
    <m/>
    <m/>
    <s v="Constantemente"/>
    <n v="5"/>
    <s v=" 3-7 personas"/>
    <n v="2"/>
    <s v="Rasguño o raspadura"/>
    <n v="0.1"/>
    <s v="Certero"/>
    <n v="15"/>
    <n v="15"/>
    <x v="3"/>
    <x v="3"/>
    <x v="66"/>
    <d v="2024-04-15T00:00:00"/>
    <x v="0"/>
    <x v="0"/>
    <m/>
    <m/>
    <m/>
    <m/>
    <m/>
    <m/>
    <m/>
    <m/>
    <m/>
    <m/>
    <m/>
    <m/>
    <m/>
    <s v="Insignificante"/>
    <s v="SI"/>
    <m/>
  </r>
  <r>
    <x v="15"/>
    <m/>
    <m/>
    <x v="37"/>
    <m/>
    <m/>
    <x v="6"/>
    <x v="7"/>
    <m/>
    <m/>
    <m/>
    <s v="Diario"/>
    <n v="2.5"/>
    <s v=" 8-15 personas"/>
    <n v="4"/>
    <s v="Rasguño o raspadura"/>
    <n v="0.1"/>
    <s v="Imposible"/>
    <n v="0"/>
    <n v="0"/>
    <x v="1"/>
    <x v="1"/>
    <x v="67"/>
    <d v="2024-04-15T00:00:00"/>
    <x v="1"/>
    <x v="0"/>
    <m/>
    <m/>
    <m/>
    <m/>
    <m/>
    <m/>
    <m/>
    <m/>
    <m/>
    <m/>
    <m/>
    <m/>
    <m/>
    <s v="Insignificante"/>
    <s v="NO"/>
    <m/>
  </r>
  <r>
    <x v="16"/>
    <m/>
    <m/>
    <x v="37"/>
    <m/>
    <m/>
    <x v="0"/>
    <x v="8"/>
    <m/>
    <m/>
    <m/>
    <s v="Diario"/>
    <n v="2.5"/>
    <s v="16-50 personas"/>
    <n v="8"/>
    <s v="Rasguño o raspadura"/>
    <n v="0.1"/>
    <s v="Imposible"/>
    <n v="0"/>
    <n v="0"/>
    <x v="1"/>
    <x v="1"/>
    <x v="68"/>
    <d v="2024-04-15T00:00:00"/>
    <x v="0"/>
    <x v="0"/>
    <m/>
    <m/>
    <m/>
    <m/>
    <m/>
    <m/>
    <m/>
    <m/>
    <m/>
    <m/>
    <m/>
    <m/>
    <m/>
    <s v="Bajo"/>
    <s v="SI"/>
    <m/>
  </r>
  <r>
    <x v="0"/>
    <m/>
    <m/>
    <x v="37"/>
    <m/>
    <m/>
    <x v="1"/>
    <x v="9"/>
    <m/>
    <m/>
    <m/>
    <s v="Infrecuente"/>
    <n v="0.1"/>
    <s v="&gt;50 personas"/>
    <n v="12"/>
    <s v="Rasguño o raspadura"/>
    <n v="0.1"/>
    <s v="Casi imposible"/>
    <n v="0.1"/>
    <n v="1.2000000000000004E-2"/>
    <x v="1"/>
    <x v="1"/>
    <x v="69"/>
    <d v="2024-04-15T00:00:00"/>
    <x v="1"/>
    <x v="0"/>
    <m/>
    <m/>
    <m/>
    <m/>
    <m/>
    <m/>
    <m/>
    <m/>
    <m/>
    <m/>
    <m/>
    <m/>
    <m/>
    <s v="Medio"/>
    <s v="NO"/>
    <m/>
  </r>
  <r>
    <x v="1"/>
    <m/>
    <m/>
    <x v="37"/>
    <m/>
    <m/>
    <x v="2"/>
    <x v="0"/>
    <m/>
    <m/>
    <m/>
    <s v="Anual"/>
    <n v="0.2"/>
    <s v=" 8-15 personas"/>
    <n v="4"/>
    <s v="Rasguño o raspadura"/>
    <n v="0.1"/>
    <s v="Altamente improbable"/>
    <n v="0.5"/>
    <n v="4.0000000000000008E-2"/>
    <x v="1"/>
    <x v="1"/>
    <x v="70"/>
    <d v="2024-04-15T00:00:00"/>
    <x v="0"/>
    <x v="0"/>
    <m/>
    <m/>
    <m/>
    <m/>
    <m/>
    <m/>
    <m/>
    <m/>
    <m/>
    <m/>
    <m/>
    <m/>
    <m/>
    <s v="Insignifi"/>
    <s v="SI"/>
    <m/>
  </r>
  <r>
    <x v="2"/>
    <m/>
    <m/>
    <x v="37"/>
    <m/>
    <m/>
    <x v="3"/>
    <x v="1"/>
    <m/>
    <m/>
    <m/>
    <s v="Mensual"/>
    <n v="1"/>
    <s v=" 1-2 personas"/>
    <n v="1"/>
    <s v="Rasguño o raspadura"/>
    <n v="0.1"/>
    <s v="Improbable"/>
    <n v="1"/>
    <n v="0.1"/>
    <x v="1"/>
    <x v="1"/>
    <x v="71"/>
    <d v="2024-04-15T00:00:00"/>
    <x v="1"/>
    <x v="0"/>
    <m/>
    <m/>
    <m/>
    <m/>
    <m/>
    <m/>
    <m/>
    <m/>
    <m/>
    <m/>
    <m/>
    <m/>
    <m/>
    <s v="Muy Bajo"/>
    <s v="NO"/>
    <m/>
  </r>
  <r>
    <x v="3"/>
    <m/>
    <m/>
    <x v="37"/>
    <m/>
    <m/>
    <x v="4"/>
    <x v="2"/>
    <m/>
    <m/>
    <m/>
    <s v="Semanal"/>
    <n v="1.5"/>
    <s v=" 3-7 personas"/>
    <n v="2"/>
    <s v="Rasguño o raspadura"/>
    <n v="0.1"/>
    <s v="Posible"/>
    <n v="2"/>
    <n v="0.60000000000000009"/>
    <x v="1"/>
    <x v="1"/>
    <x v="72"/>
    <d v="2024-04-15T00:00:00"/>
    <x v="0"/>
    <x v="0"/>
    <m/>
    <m/>
    <m/>
    <m/>
    <m/>
    <m/>
    <m/>
    <m/>
    <m/>
    <m/>
    <m/>
    <m/>
    <m/>
    <s v="Medio "/>
    <s v="SI"/>
    <m/>
  </r>
  <r>
    <x v="4"/>
    <m/>
    <m/>
    <x v="37"/>
    <m/>
    <m/>
    <x v="5"/>
    <x v="3"/>
    <m/>
    <m/>
    <m/>
    <s v="Cada hora"/>
    <n v="4"/>
    <s v=" 8-15 personas"/>
    <n v="4"/>
    <s v="Rasguño o raspadura"/>
    <n v="0.1"/>
    <s v="Alguna probabilidad"/>
    <n v="5"/>
    <n v="8"/>
    <x v="2"/>
    <x v="2"/>
    <x v="73"/>
    <d v="2024-04-15T00:00:00"/>
    <x v="1"/>
    <x v="0"/>
    <m/>
    <m/>
    <m/>
    <m/>
    <m/>
    <m/>
    <m/>
    <m/>
    <m/>
    <m/>
    <m/>
    <m/>
    <m/>
    <s v="Alto"/>
    <s v="NO"/>
    <m/>
  </r>
  <r>
    <x v="5"/>
    <m/>
    <m/>
    <x v="37"/>
    <m/>
    <m/>
    <x v="6"/>
    <x v="4"/>
    <m/>
    <m/>
    <m/>
    <s v="Constantemente"/>
    <n v="5"/>
    <s v="16-50 personas"/>
    <n v="8"/>
    <s v="Rasguño o raspadura"/>
    <n v="0.1"/>
    <s v="Probable"/>
    <n v="8"/>
    <n v="32"/>
    <x v="3"/>
    <x v="3"/>
    <x v="74"/>
    <d v="2024-04-15T00:00:00"/>
    <x v="0"/>
    <x v="0"/>
    <m/>
    <m/>
    <m/>
    <m/>
    <m/>
    <m/>
    <m/>
    <m/>
    <m/>
    <m/>
    <m/>
    <m/>
    <m/>
    <s v="Muy alto"/>
    <s v="SI"/>
    <m/>
  </r>
  <r>
    <x v="6"/>
    <m/>
    <m/>
    <x v="37"/>
    <m/>
    <m/>
    <x v="0"/>
    <x v="5"/>
    <m/>
    <m/>
    <m/>
    <s v="Diario"/>
    <n v="2.5"/>
    <s v="&gt;50 personas"/>
    <n v="12"/>
    <s v="Rasguño o raspadura"/>
    <n v="0.1"/>
    <s v="Muy probable"/>
    <n v="10"/>
    <n v="30"/>
    <x v="3"/>
    <x v="3"/>
    <x v="75"/>
    <d v="2024-04-15T00:00:00"/>
    <x v="1"/>
    <x v="0"/>
    <m/>
    <m/>
    <m/>
    <m/>
    <m/>
    <m/>
    <m/>
    <m/>
    <m/>
    <m/>
    <m/>
    <m/>
    <m/>
    <s v="Extremo"/>
    <s v="NO"/>
    <m/>
  </r>
  <r>
    <x v="7"/>
    <m/>
    <m/>
    <x v="37"/>
    <m/>
    <m/>
    <x v="1"/>
    <x v="6"/>
    <m/>
    <m/>
    <m/>
    <s v="Diario"/>
    <n v="2.5"/>
    <s v=" 8-15 personas"/>
    <n v="4"/>
    <s v="Rasguño o raspadura"/>
    <n v="0.1"/>
    <s v="Certero"/>
    <n v="15"/>
    <n v="15"/>
    <x v="3"/>
    <x v="3"/>
    <x v="76"/>
    <d v="2024-04-15T00:00:00"/>
    <x v="0"/>
    <x v="0"/>
    <m/>
    <m/>
    <m/>
    <m/>
    <m/>
    <m/>
    <m/>
    <m/>
    <m/>
    <m/>
    <m/>
    <m/>
    <m/>
    <s v="Inaceptable"/>
    <s v="SI"/>
    <m/>
  </r>
  <r>
    <x v="8"/>
    <m/>
    <m/>
    <x v="37"/>
    <m/>
    <m/>
    <x v="2"/>
    <x v="7"/>
    <m/>
    <m/>
    <m/>
    <s v="Infrecuente"/>
    <n v="0.1"/>
    <s v=" 1-2 personas"/>
    <n v="1"/>
    <s v="Rasguño o raspadura"/>
    <n v="0.1"/>
    <s v="Certero"/>
    <n v="15"/>
    <n v="0.15000000000000002"/>
    <x v="1"/>
    <x v="1"/>
    <x v="77"/>
    <d v="2024-04-15T00:00:00"/>
    <x v="1"/>
    <x v="0"/>
    <m/>
    <m/>
    <m/>
    <m/>
    <m/>
    <m/>
    <m/>
    <m/>
    <m/>
    <m/>
    <m/>
    <m/>
    <m/>
    <s v="Insignificante"/>
    <s v="NO"/>
    <m/>
  </r>
  <r>
    <x v="9"/>
    <m/>
    <m/>
    <x v="37"/>
    <m/>
    <m/>
    <x v="3"/>
    <x v="8"/>
    <m/>
    <m/>
    <m/>
    <s v="Anual"/>
    <n v="0.2"/>
    <s v=" 3-7 personas"/>
    <n v="2"/>
    <s v="Rasguño o raspadura"/>
    <n v="0.1"/>
    <s v="Imposible"/>
    <n v="0"/>
    <n v="0"/>
    <x v="1"/>
    <x v="1"/>
    <x v="78"/>
    <d v="2024-04-15T00:00:00"/>
    <x v="0"/>
    <x v="0"/>
    <m/>
    <m/>
    <m/>
    <m/>
    <m/>
    <m/>
    <m/>
    <m/>
    <m/>
    <m/>
    <m/>
    <m/>
    <m/>
    <s v="Insignificante"/>
    <s v="SI"/>
    <m/>
  </r>
  <r>
    <x v="10"/>
    <m/>
    <m/>
    <x v="37"/>
    <m/>
    <m/>
    <x v="4"/>
    <x v="9"/>
    <m/>
    <m/>
    <m/>
    <s v="Mensual"/>
    <n v="1"/>
    <s v=" 8-15 personas"/>
    <n v="4"/>
    <s v="Rasguño o raspadura"/>
    <n v="0.1"/>
    <s v="Imposible"/>
    <n v="0"/>
    <n v="0"/>
    <x v="1"/>
    <x v="1"/>
    <x v="79"/>
    <d v="2024-04-15T00:00:00"/>
    <x v="1"/>
    <x v="0"/>
    <m/>
    <m/>
    <m/>
    <m/>
    <m/>
    <m/>
    <m/>
    <m/>
    <m/>
    <m/>
    <m/>
    <m/>
    <m/>
    <s v="Bajo"/>
    <s v="NO"/>
    <m/>
  </r>
  <r>
    <x v="11"/>
    <m/>
    <m/>
    <x v="37"/>
    <m/>
    <m/>
    <x v="5"/>
    <x v="10"/>
    <m/>
    <m/>
    <m/>
    <s v="Semanal"/>
    <n v="1.5"/>
    <s v="16-50 personas"/>
    <n v="8"/>
    <s v="Rasguño o raspadura"/>
    <n v="0.1"/>
    <s v="Casi imposible"/>
    <n v="0.1"/>
    <n v="0.12000000000000002"/>
    <x v="1"/>
    <x v="1"/>
    <x v="80"/>
    <d v="2024-04-15T00:00:00"/>
    <x v="0"/>
    <x v="0"/>
    <m/>
    <m/>
    <m/>
    <m/>
    <m/>
    <m/>
    <m/>
    <m/>
    <m/>
    <m/>
    <m/>
    <m/>
    <m/>
    <s v="Medio"/>
    <s v="SI"/>
    <m/>
  </r>
  <r>
    <x v="12"/>
    <m/>
    <m/>
    <x v="37"/>
    <m/>
    <m/>
    <x v="0"/>
    <x v="10"/>
    <m/>
    <m/>
    <m/>
    <s v="Cada hora"/>
    <n v="4"/>
    <s v="&gt;50 personas"/>
    <n v="12"/>
    <s v="Rasguño o raspadura"/>
    <n v="0.1"/>
    <s v="Altamente improbable"/>
    <n v="0.5"/>
    <n v="2.4000000000000004"/>
    <x v="0"/>
    <x v="0"/>
    <x v="81"/>
    <d v="2024-04-15T00:00:00"/>
    <x v="1"/>
    <x v="0"/>
    <m/>
    <m/>
    <m/>
    <m/>
    <m/>
    <m/>
    <m/>
    <m/>
    <m/>
    <m/>
    <m/>
    <m/>
    <m/>
    <s v="Insignifi"/>
    <s v="NO"/>
    <m/>
  </r>
  <r>
    <x v="13"/>
    <m/>
    <m/>
    <x v="37"/>
    <m/>
    <m/>
    <x v="1"/>
    <x v="10"/>
    <m/>
    <m/>
    <m/>
    <s v="Constantemente"/>
    <n v="5"/>
    <s v=" 8-15 personas"/>
    <n v="4"/>
    <s v="Rasguño o raspadura"/>
    <n v="0.1"/>
    <s v="Improbable"/>
    <n v="1"/>
    <n v="2"/>
    <x v="0"/>
    <x v="0"/>
    <x v="82"/>
    <d v="2024-04-15T00:00:00"/>
    <x v="0"/>
    <x v="0"/>
    <m/>
    <m/>
    <m/>
    <m/>
    <m/>
    <m/>
    <m/>
    <m/>
    <m/>
    <m/>
    <m/>
    <m/>
    <m/>
    <s v="Muy Bajo"/>
    <s v="SI"/>
    <m/>
  </r>
  <r>
    <x v="14"/>
    <m/>
    <m/>
    <x v="37"/>
    <m/>
    <m/>
    <x v="2"/>
    <x v="10"/>
    <m/>
    <m/>
    <m/>
    <s v="Diario"/>
    <n v="2.5"/>
    <s v=" 1-2 personas"/>
    <n v="1"/>
    <s v="Rasguño o raspadura"/>
    <n v="0.1"/>
    <s v="Posible"/>
    <n v="2"/>
    <n v="0.5"/>
    <x v="1"/>
    <x v="1"/>
    <x v="83"/>
    <d v="2024-04-15T00:00:00"/>
    <x v="1"/>
    <x v="0"/>
    <m/>
    <m/>
    <m/>
    <m/>
    <m/>
    <m/>
    <m/>
    <m/>
    <m/>
    <m/>
    <m/>
    <m/>
    <m/>
    <s v="Medio "/>
    <s v="NO"/>
    <m/>
  </r>
  <r>
    <x v="15"/>
    <m/>
    <m/>
    <x v="37"/>
    <m/>
    <m/>
    <x v="3"/>
    <x v="10"/>
    <m/>
    <m/>
    <m/>
    <s v="Diario"/>
    <n v="2.5"/>
    <m/>
    <e v="#N/A"/>
    <s v="Rasguño o raspadura"/>
    <n v="0.1"/>
    <s v="Alguna probabilidad"/>
    <n v="5"/>
    <e v="#N/A"/>
    <x v="4"/>
    <x v="4"/>
    <x v="84"/>
    <d v="2024-04-15T00:00:00"/>
    <x v="0"/>
    <x v="0"/>
    <m/>
    <m/>
    <m/>
    <m/>
    <m/>
    <m/>
    <m/>
    <m/>
    <m/>
    <m/>
    <m/>
    <m/>
    <m/>
    <s v="Alto"/>
    <s v="SI"/>
    <m/>
  </r>
  <r>
    <x v="16"/>
    <m/>
    <m/>
    <x v="37"/>
    <m/>
    <m/>
    <x v="4"/>
    <x v="10"/>
    <m/>
    <m/>
    <m/>
    <s v="Infrecuente"/>
    <n v="0.1"/>
    <m/>
    <e v="#N/A"/>
    <s v="Rasguño o raspadura"/>
    <n v="0.1"/>
    <s v="Probable"/>
    <n v="8"/>
    <e v="#N/A"/>
    <x v="4"/>
    <x v="4"/>
    <x v="85"/>
    <d v="2024-04-15T00:00:00"/>
    <x v="1"/>
    <x v="0"/>
    <m/>
    <m/>
    <m/>
    <m/>
    <m/>
    <m/>
    <m/>
    <m/>
    <m/>
    <m/>
    <m/>
    <m/>
    <m/>
    <s v="Muy alto"/>
    <s v="NO"/>
    <m/>
  </r>
  <r>
    <x v="0"/>
    <m/>
    <m/>
    <x v="37"/>
    <m/>
    <m/>
    <x v="5"/>
    <x v="10"/>
    <m/>
    <m/>
    <m/>
    <s v="Anual"/>
    <n v="0.2"/>
    <m/>
    <e v="#N/A"/>
    <s v="Rasguño o raspadura"/>
    <n v="0.1"/>
    <s v="Muy probable"/>
    <n v="10"/>
    <e v="#N/A"/>
    <x v="4"/>
    <x v="4"/>
    <x v="86"/>
    <d v="2024-04-15T00:00:00"/>
    <x v="0"/>
    <x v="0"/>
    <m/>
    <m/>
    <m/>
    <m/>
    <m/>
    <m/>
    <m/>
    <m/>
    <m/>
    <m/>
    <m/>
    <m/>
    <m/>
    <s v="Extremo"/>
    <s v="SI"/>
    <m/>
  </r>
  <r>
    <x v="1"/>
    <m/>
    <m/>
    <x v="37"/>
    <m/>
    <m/>
    <x v="0"/>
    <x v="10"/>
    <m/>
    <m/>
    <m/>
    <s v="Mensual"/>
    <n v="1"/>
    <m/>
    <e v="#N/A"/>
    <s v="Rasguño o raspadura"/>
    <n v="0.1"/>
    <s v="Certero"/>
    <n v="15"/>
    <e v="#N/A"/>
    <x v="4"/>
    <x v="4"/>
    <x v="87"/>
    <d v="2024-04-15T00:00:00"/>
    <x v="1"/>
    <x v="0"/>
    <m/>
    <m/>
    <m/>
    <m/>
    <m/>
    <m/>
    <m/>
    <m/>
    <m/>
    <m/>
    <m/>
    <m/>
    <m/>
    <s v="Inaceptable"/>
    <s v="NO"/>
    <m/>
  </r>
  <r>
    <x v="2"/>
    <m/>
    <m/>
    <x v="37"/>
    <m/>
    <m/>
    <x v="8"/>
    <x v="10"/>
    <m/>
    <m/>
    <m/>
    <m/>
    <m/>
    <m/>
    <m/>
    <m/>
    <m/>
    <m/>
    <m/>
    <m/>
    <x v="5"/>
    <x v="5"/>
    <x v="88"/>
    <m/>
    <x v="2"/>
    <x v="0"/>
    <m/>
    <m/>
    <m/>
    <m/>
    <m/>
    <m/>
    <m/>
    <m/>
    <m/>
    <m/>
    <m/>
    <m/>
    <m/>
    <s v="Insignificante"/>
    <s v="SI"/>
    <m/>
  </r>
  <r>
    <x v="3"/>
    <m/>
    <m/>
    <x v="37"/>
    <m/>
    <m/>
    <x v="8"/>
    <x v="10"/>
    <m/>
    <m/>
    <m/>
    <m/>
    <m/>
    <m/>
    <m/>
    <m/>
    <m/>
    <m/>
    <m/>
    <m/>
    <x v="5"/>
    <x v="5"/>
    <x v="88"/>
    <m/>
    <x v="2"/>
    <x v="0"/>
    <m/>
    <m/>
    <m/>
    <m/>
    <m/>
    <m/>
    <m/>
    <m/>
    <m/>
    <m/>
    <m/>
    <m/>
    <m/>
    <s v="Insignificante"/>
    <s v="NO"/>
    <m/>
  </r>
  <r>
    <x v="4"/>
    <m/>
    <m/>
    <x v="37"/>
    <m/>
    <m/>
    <x v="8"/>
    <x v="10"/>
    <m/>
    <m/>
    <m/>
    <m/>
    <m/>
    <m/>
    <m/>
    <m/>
    <m/>
    <m/>
    <m/>
    <m/>
    <x v="5"/>
    <x v="5"/>
    <x v="88"/>
    <m/>
    <x v="2"/>
    <x v="0"/>
    <m/>
    <m/>
    <m/>
    <m/>
    <m/>
    <m/>
    <m/>
    <m/>
    <m/>
    <m/>
    <m/>
    <m/>
    <m/>
    <s v="Bajo"/>
    <s v="SI"/>
    <m/>
  </r>
  <r>
    <x v="5"/>
    <m/>
    <m/>
    <x v="37"/>
    <m/>
    <m/>
    <x v="8"/>
    <x v="10"/>
    <m/>
    <m/>
    <m/>
    <m/>
    <m/>
    <m/>
    <m/>
    <m/>
    <m/>
    <m/>
    <m/>
    <m/>
    <x v="5"/>
    <x v="5"/>
    <x v="88"/>
    <m/>
    <x v="2"/>
    <x v="0"/>
    <m/>
    <m/>
    <m/>
    <m/>
    <m/>
    <m/>
    <m/>
    <m/>
    <m/>
    <m/>
    <m/>
    <m/>
    <m/>
    <s v="Medio"/>
    <s v="NO"/>
    <m/>
  </r>
  <r>
    <x v="6"/>
    <m/>
    <m/>
    <x v="37"/>
    <m/>
    <m/>
    <x v="8"/>
    <x v="10"/>
    <m/>
    <m/>
    <m/>
    <m/>
    <m/>
    <m/>
    <m/>
    <m/>
    <m/>
    <m/>
    <m/>
    <m/>
    <x v="5"/>
    <x v="5"/>
    <x v="88"/>
    <m/>
    <x v="2"/>
    <x v="0"/>
    <m/>
    <m/>
    <m/>
    <m/>
    <m/>
    <m/>
    <m/>
    <m/>
    <m/>
    <m/>
    <m/>
    <m/>
    <m/>
    <s v="Insignifi"/>
    <s v="SI"/>
    <m/>
  </r>
  <r>
    <x v="7"/>
    <m/>
    <m/>
    <x v="37"/>
    <m/>
    <m/>
    <x v="8"/>
    <x v="10"/>
    <m/>
    <m/>
    <m/>
    <m/>
    <m/>
    <m/>
    <m/>
    <m/>
    <m/>
    <m/>
    <m/>
    <m/>
    <x v="5"/>
    <x v="5"/>
    <x v="88"/>
    <m/>
    <x v="2"/>
    <x v="0"/>
    <m/>
    <m/>
    <m/>
    <m/>
    <m/>
    <m/>
    <m/>
    <m/>
    <m/>
    <m/>
    <m/>
    <m/>
    <m/>
    <s v="Muy Bajo"/>
    <s v="NO"/>
    <m/>
  </r>
  <r>
    <x v="8"/>
    <m/>
    <m/>
    <x v="37"/>
    <m/>
    <m/>
    <x v="8"/>
    <x v="10"/>
    <m/>
    <m/>
    <m/>
    <m/>
    <m/>
    <m/>
    <m/>
    <m/>
    <m/>
    <m/>
    <m/>
    <m/>
    <x v="5"/>
    <x v="5"/>
    <x v="88"/>
    <m/>
    <x v="2"/>
    <x v="0"/>
    <m/>
    <m/>
    <m/>
    <m/>
    <m/>
    <m/>
    <m/>
    <m/>
    <m/>
    <m/>
    <m/>
    <m/>
    <m/>
    <s v="Medio "/>
    <s v="SI"/>
    <m/>
  </r>
  <r>
    <x v="9"/>
    <m/>
    <m/>
    <x v="37"/>
    <m/>
    <m/>
    <x v="8"/>
    <x v="10"/>
    <m/>
    <m/>
    <m/>
    <m/>
    <m/>
    <m/>
    <m/>
    <m/>
    <m/>
    <m/>
    <m/>
    <m/>
    <x v="5"/>
    <x v="5"/>
    <x v="88"/>
    <m/>
    <x v="2"/>
    <x v="0"/>
    <m/>
    <m/>
    <m/>
    <m/>
    <m/>
    <m/>
    <m/>
    <m/>
    <m/>
    <m/>
    <m/>
    <m/>
    <m/>
    <s v="Alto"/>
    <s v="NO"/>
    <m/>
  </r>
  <r>
    <x v="10"/>
    <m/>
    <m/>
    <x v="37"/>
    <m/>
    <m/>
    <x v="8"/>
    <x v="10"/>
    <m/>
    <m/>
    <m/>
    <m/>
    <m/>
    <m/>
    <m/>
    <m/>
    <m/>
    <m/>
    <m/>
    <m/>
    <x v="5"/>
    <x v="5"/>
    <x v="88"/>
    <m/>
    <x v="2"/>
    <x v="0"/>
    <m/>
    <m/>
    <m/>
    <m/>
    <m/>
    <m/>
    <m/>
    <m/>
    <m/>
    <m/>
    <m/>
    <m/>
    <m/>
    <s v="Muy alto"/>
    <s v="SI"/>
    <m/>
  </r>
  <r>
    <x v="11"/>
    <m/>
    <m/>
    <x v="37"/>
    <m/>
    <m/>
    <x v="8"/>
    <x v="10"/>
    <m/>
    <m/>
    <m/>
    <m/>
    <m/>
    <m/>
    <m/>
    <m/>
    <m/>
    <m/>
    <m/>
    <m/>
    <x v="5"/>
    <x v="5"/>
    <x v="88"/>
    <m/>
    <x v="2"/>
    <x v="0"/>
    <m/>
    <m/>
    <m/>
    <m/>
    <m/>
    <m/>
    <m/>
    <m/>
    <m/>
    <m/>
    <m/>
    <m/>
    <m/>
    <s v="Extremo"/>
    <s v="NO"/>
    <m/>
  </r>
  <r>
    <x v="12"/>
    <m/>
    <m/>
    <x v="37"/>
    <m/>
    <m/>
    <x v="8"/>
    <x v="10"/>
    <m/>
    <m/>
    <m/>
    <m/>
    <m/>
    <m/>
    <m/>
    <m/>
    <m/>
    <m/>
    <m/>
    <m/>
    <x v="5"/>
    <x v="5"/>
    <x v="88"/>
    <m/>
    <x v="2"/>
    <x v="0"/>
    <m/>
    <m/>
    <m/>
    <m/>
    <m/>
    <m/>
    <m/>
    <m/>
    <m/>
    <m/>
    <m/>
    <m/>
    <m/>
    <m/>
    <m/>
    <m/>
  </r>
  <r>
    <x v="13"/>
    <m/>
    <m/>
    <x v="37"/>
    <m/>
    <m/>
    <x v="8"/>
    <x v="10"/>
    <m/>
    <m/>
    <m/>
    <m/>
    <m/>
    <m/>
    <m/>
    <m/>
    <m/>
    <m/>
    <m/>
    <m/>
    <x v="5"/>
    <x v="5"/>
    <x v="88"/>
    <m/>
    <x v="2"/>
    <x v="0"/>
    <m/>
    <m/>
    <m/>
    <m/>
    <m/>
    <m/>
    <m/>
    <m/>
    <m/>
    <m/>
    <m/>
    <m/>
    <m/>
    <m/>
    <m/>
    <m/>
  </r>
  <r>
    <x v="14"/>
    <m/>
    <m/>
    <x v="37"/>
    <m/>
    <m/>
    <x v="8"/>
    <x v="10"/>
    <m/>
    <m/>
    <m/>
    <m/>
    <m/>
    <m/>
    <m/>
    <m/>
    <m/>
    <m/>
    <m/>
    <m/>
    <x v="5"/>
    <x v="5"/>
    <x v="88"/>
    <m/>
    <x v="2"/>
    <x v="0"/>
    <m/>
    <m/>
    <m/>
    <m/>
    <m/>
    <m/>
    <m/>
    <m/>
    <m/>
    <m/>
    <m/>
    <m/>
    <m/>
    <m/>
    <m/>
    <m/>
  </r>
  <r>
    <x v="15"/>
    <m/>
    <m/>
    <x v="37"/>
    <m/>
    <m/>
    <x v="8"/>
    <x v="10"/>
    <m/>
    <m/>
    <m/>
    <m/>
    <m/>
    <m/>
    <m/>
    <m/>
    <m/>
    <m/>
    <m/>
    <m/>
    <x v="5"/>
    <x v="5"/>
    <x v="88"/>
    <m/>
    <x v="2"/>
    <x v="0"/>
    <m/>
    <m/>
    <m/>
    <m/>
    <m/>
    <m/>
    <m/>
    <m/>
    <m/>
    <m/>
    <m/>
    <m/>
    <m/>
    <m/>
    <m/>
    <m/>
  </r>
  <r>
    <x v="16"/>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r>
    <x v="17"/>
    <m/>
    <m/>
    <x v="37"/>
    <m/>
    <m/>
    <x v="8"/>
    <x v="10"/>
    <m/>
    <m/>
    <m/>
    <m/>
    <m/>
    <m/>
    <m/>
    <m/>
    <m/>
    <m/>
    <m/>
    <m/>
    <x v="5"/>
    <x v="5"/>
    <x v="88"/>
    <m/>
    <x v="2"/>
    <x v="0"/>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AEB3C9-B6C1-4E39-8A88-B7B036BFED23}" name="PivotTable7"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T21:U36" firstHeaderRow="1" firstDataRow="1" firstDataCol="1"/>
  <pivotFields count="42">
    <pivotField showAll="0">
      <items count="24">
        <item x="3"/>
        <item x="16"/>
        <item x="5"/>
        <item x="10"/>
        <item x="1"/>
        <item m="1" x="22"/>
        <item x="11"/>
        <item m="1" x="21"/>
        <item x="12"/>
        <item m="1" x="19"/>
        <item m="1" x="18"/>
        <item x="13"/>
        <item x="14"/>
        <item x="2"/>
        <item m="1" x="20"/>
        <item x="4"/>
        <item x="8"/>
        <item x="15"/>
        <item x="9"/>
        <item x="7"/>
        <item x="6"/>
        <item x="0"/>
        <item x="17"/>
        <item t="default"/>
      </items>
    </pivotField>
    <pivotField showAll="0"/>
    <pivotField showAll="0"/>
    <pivotField showAll="0">
      <items count="40">
        <item x="13"/>
        <item x="32"/>
        <item x="12"/>
        <item x="24"/>
        <item x="20"/>
        <item x="35"/>
        <item x="26"/>
        <item x="33"/>
        <item x="16"/>
        <item x="29"/>
        <item x="25"/>
        <item x="34"/>
        <item x="6"/>
        <item x="14"/>
        <item x="27"/>
        <item x="18"/>
        <item x="28"/>
        <item x="23"/>
        <item x="7"/>
        <item x="0"/>
        <item x="5"/>
        <item x="8"/>
        <item m="1" x="38"/>
        <item x="3"/>
        <item x="2"/>
        <item x="10"/>
        <item x="11"/>
        <item x="4"/>
        <item x="15"/>
        <item x="19"/>
        <item x="9"/>
        <item x="21"/>
        <item x="30"/>
        <item x="1"/>
        <item x="31"/>
        <item x="17"/>
        <item x="22"/>
        <item x="36"/>
        <item x="37"/>
        <item t="default"/>
      </items>
    </pivotField>
    <pivotField showAll="0"/>
    <pivotField showAll="0"/>
    <pivotField showAll="0">
      <items count="10">
        <item x="3"/>
        <item x="0"/>
        <item x="2"/>
        <item x="7"/>
        <item x="5"/>
        <item x="1"/>
        <item x="4"/>
        <item x="6"/>
        <item x="8"/>
        <item t="default"/>
      </items>
    </pivotField>
    <pivotField showAll="0">
      <items count="12">
        <item x="0"/>
        <item x="9"/>
        <item x="1"/>
        <item x="2"/>
        <item x="4"/>
        <item x="3"/>
        <item x="5"/>
        <item x="6"/>
        <item x="7"/>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1"/>
        <item x="2"/>
        <item x="0"/>
        <item x="3"/>
        <item m="1" x="7"/>
        <item m="1" x="6"/>
        <item x="4"/>
        <item x="5"/>
        <item t="default"/>
      </items>
    </pivotField>
    <pivotField axis="axisRow" showAll="0" measureFilter="1" sortType="ascending">
      <items count="108">
        <item m="1" x="102"/>
        <item m="1" x="103"/>
        <item m="1" x="104"/>
        <item m="1" x="105"/>
        <item m="1" x="106"/>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m="1" x="89"/>
        <item m="1" x="90"/>
        <item m="1" x="91"/>
        <item m="1" x="92"/>
        <item m="1" x="93"/>
        <item m="1" x="94"/>
        <item m="1" x="95"/>
        <item m="1" x="96"/>
        <item m="1" x="97"/>
        <item m="1" x="98"/>
        <item x="88"/>
        <item m="1" x="99"/>
        <item m="1" x="100"/>
        <item m="1" x="101"/>
        <item x="0"/>
        <item x="1"/>
        <item x="2"/>
        <item x="3"/>
        <item t="default"/>
      </items>
      <autoSortScope>
        <pivotArea dataOnly="0" outline="0" fieldPosition="0">
          <references count="1">
            <reference field="4294967294" count="1" selected="0">
              <x v="0"/>
            </reference>
          </references>
        </pivotArea>
      </autoSortScope>
    </pivotField>
    <pivotField dataField="1" showAll="0"/>
    <pivotField showAll="0">
      <items count="4">
        <item x="0"/>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15">
    <i>
      <x v="52"/>
    </i>
    <i>
      <x v="56"/>
    </i>
    <i>
      <x v="7"/>
    </i>
    <i>
      <x v="60"/>
    </i>
    <i>
      <x v="9"/>
    </i>
    <i>
      <x v="64"/>
    </i>
    <i>
      <x v="11"/>
    </i>
    <i>
      <x v="68"/>
    </i>
    <i>
      <x v="8"/>
    </i>
    <i>
      <x v="76"/>
    </i>
    <i>
      <x v="6"/>
    </i>
    <i>
      <x v="84"/>
    </i>
    <i>
      <x v="10"/>
    </i>
    <i>
      <x v="106"/>
    </i>
    <i t="grand">
      <x/>
    </i>
  </rowItems>
  <colItems count="1">
    <i/>
  </colItems>
  <dataFields count="1">
    <dataField name="Sum of Fecha programada" fld="23" baseField="22" baseItem="7" numFmtId="14"/>
  </dataFields>
  <formats count="3">
    <format dxfId="11">
      <pivotArea collapsedLevelsAreSubtotals="1" fieldPosition="0">
        <references count="1">
          <reference field="22" count="0"/>
        </references>
      </pivotArea>
    </format>
    <format dxfId="10">
      <pivotArea dataOnly="0" labelOnly="1" fieldPosition="0">
        <references count="1">
          <reference field="22" count="0"/>
        </references>
      </pivotArea>
    </format>
    <format dxfId="9">
      <pivotArea outline="0" collapsedLevelsAreSubtotals="1" fieldPosition="0"/>
    </format>
  </formats>
  <pivotTableStyleInfo name="PivotStyleMedium4" showRowHeaders="1" showColHeaders="1" showRowStripes="0" showColStripes="0" showLastColumn="1"/>
  <filters count="1">
    <filter fld="22" type="percent" evalOrder="-1" id="9" iMeasureFld="0">
      <autoFilter ref="A1">
        <filterColumn colId="0">
          <top10 percent="1"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72B9E5-8CE8-40CC-B611-6CD82501EE5B}"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1" firstHeaderRow="1" firstDataRow="1" firstDataCol="1"/>
  <pivotFields count="42">
    <pivotField showAll="0">
      <items count="24">
        <item x="3"/>
        <item x="16"/>
        <item x="5"/>
        <item x="10"/>
        <item x="1"/>
        <item m="1" x="22"/>
        <item x="11"/>
        <item m="1" x="21"/>
        <item x="12"/>
        <item m="1" x="19"/>
        <item m="1" x="18"/>
        <item x="13"/>
        <item x="14"/>
        <item x="2"/>
        <item m="1" x="20"/>
        <item x="4"/>
        <item x="8"/>
        <item x="15"/>
        <item x="9"/>
        <item x="7"/>
        <item x="6"/>
        <item x="0"/>
        <item x="17"/>
        <item t="default"/>
      </items>
    </pivotField>
    <pivotField showAll="0"/>
    <pivotField showAll="0"/>
    <pivotField showAll="0">
      <items count="40">
        <item x="13"/>
        <item x="32"/>
        <item x="12"/>
        <item x="24"/>
        <item x="20"/>
        <item x="35"/>
        <item x="26"/>
        <item x="33"/>
        <item x="16"/>
        <item x="29"/>
        <item x="25"/>
        <item x="34"/>
        <item x="6"/>
        <item x="14"/>
        <item x="27"/>
        <item x="18"/>
        <item x="28"/>
        <item x="23"/>
        <item x="7"/>
        <item x="0"/>
        <item x="5"/>
        <item x="8"/>
        <item m="1" x="38"/>
        <item x="3"/>
        <item x="2"/>
        <item x="10"/>
        <item x="11"/>
        <item x="4"/>
        <item x="15"/>
        <item x="19"/>
        <item x="9"/>
        <item x="21"/>
        <item x="30"/>
        <item x="1"/>
        <item x="31"/>
        <item x="17"/>
        <item x="22"/>
        <item x="36"/>
        <item x="37"/>
        <item t="default"/>
      </items>
    </pivotField>
    <pivotField showAll="0"/>
    <pivotField showAll="0"/>
    <pivotField axis="axisRow" dataField="1" showAll="0">
      <items count="10">
        <item x="8"/>
        <item x="0"/>
        <item x="1"/>
        <item x="2"/>
        <item x="3"/>
        <item x="4"/>
        <item x="5"/>
        <item x="6"/>
        <item x="7"/>
        <item t="default"/>
      </items>
    </pivotField>
    <pivotField showAll="0">
      <items count="12">
        <item x="0"/>
        <item x="9"/>
        <item x="1"/>
        <item x="2"/>
        <item x="4"/>
        <item x="3"/>
        <item x="5"/>
        <item x="6"/>
        <item x="7"/>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1"/>
        <item x="2"/>
        <item x="0"/>
        <item x="3"/>
        <item m="1" x="7"/>
        <item m="1" x="6"/>
        <item x="4"/>
        <item x="5"/>
        <item t="default"/>
      </items>
    </pivotField>
    <pivotField showAll="0"/>
    <pivotField showAll="0"/>
    <pivotField showAll="0">
      <items count="4">
        <item x="0"/>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Count of Peligros identificados" fld="6" subtotal="count" baseField="0" baseItem="0"/>
  </dataFields>
  <chartFormats count="20">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6"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4"/>
          </reference>
        </references>
      </pivotArea>
    </chartFormat>
    <chartFormat chart="0" format="3">
      <pivotArea type="data" outline="0" fieldPosition="0">
        <references count="2">
          <reference field="4294967294" count="1" selected="0">
            <x v="0"/>
          </reference>
          <reference field="6" count="1" selected="0">
            <x v="5"/>
          </reference>
        </references>
      </pivotArea>
    </chartFormat>
    <chartFormat chart="6" format="5">
      <pivotArea type="data" outline="0" fieldPosition="0">
        <references count="2">
          <reference field="4294967294" count="1" selected="0">
            <x v="0"/>
          </reference>
          <reference field="6" count="1" selected="0">
            <x v="1"/>
          </reference>
        </references>
      </pivotArea>
    </chartFormat>
    <chartFormat chart="6" format="6">
      <pivotArea type="data" outline="0" fieldPosition="0">
        <references count="2">
          <reference field="4294967294" count="1" selected="0">
            <x v="0"/>
          </reference>
          <reference field="6" count="1" selected="0">
            <x v="4"/>
          </reference>
        </references>
      </pivotArea>
    </chartFormat>
    <chartFormat chart="6" format="7">
      <pivotArea type="data" outline="0" fieldPosition="0">
        <references count="2">
          <reference field="4294967294" count="1" selected="0">
            <x v="0"/>
          </reference>
          <reference field="6" count="1" selected="0">
            <x v="5"/>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6" format="9">
      <pivotArea type="data" outline="0" fieldPosition="0">
        <references count="2">
          <reference field="4294967294" count="1" selected="0">
            <x v="0"/>
          </reference>
          <reference field="6" count="1" selected="0">
            <x v="3"/>
          </reference>
        </references>
      </pivotArea>
    </chartFormat>
    <chartFormat chart="6" format="10">
      <pivotArea type="data" outline="0" fieldPosition="0">
        <references count="2">
          <reference field="4294967294" count="1" selected="0">
            <x v="0"/>
          </reference>
          <reference field="6" count="1" selected="0">
            <x v="6"/>
          </reference>
        </references>
      </pivotArea>
    </chartFormat>
    <chartFormat chart="6" format="11">
      <pivotArea type="data" outline="0" fieldPosition="0">
        <references count="2">
          <reference field="4294967294" count="1" selected="0">
            <x v="0"/>
          </reference>
          <reference field="6" count="1" selected="0">
            <x v="7"/>
          </reference>
        </references>
      </pivotArea>
    </chartFormat>
    <chartFormat chart="6" format="12">
      <pivotArea type="data" outline="0" fieldPosition="0">
        <references count="2">
          <reference field="4294967294" count="1" selected="0">
            <x v="0"/>
          </reference>
          <reference field="6" count="1" selected="0">
            <x v="8"/>
          </reference>
        </references>
      </pivotArea>
    </chartFormat>
    <chartFormat chart="0" format="10">
      <pivotArea type="data" outline="0" fieldPosition="0">
        <references count="2">
          <reference field="4294967294" count="1" selected="0">
            <x v="0"/>
          </reference>
          <reference field="6" count="1" selected="0">
            <x v="3"/>
          </reference>
        </references>
      </pivotArea>
    </chartFormat>
    <chartFormat chart="0" format="11">
      <pivotArea type="data" outline="0" fieldPosition="0">
        <references count="2">
          <reference field="4294967294" count="1" selected="0">
            <x v="0"/>
          </reference>
          <reference field="6" count="1" selected="0">
            <x v="6"/>
          </reference>
        </references>
      </pivotArea>
    </chartFormat>
    <chartFormat chart="0" format="12">
      <pivotArea type="data" outline="0" fieldPosition="0">
        <references count="2">
          <reference field="4294967294" count="1" selected="0">
            <x v="0"/>
          </reference>
          <reference field="6" count="1" selected="0">
            <x v="7"/>
          </reference>
        </references>
      </pivotArea>
    </chartFormat>
    <chartFormat chart="0" format="13">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C34114-4376-4561-9165-F77C56A91CE7}"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41" firstHeaderRow="1" firstDataRow="1" firstDataCol="1"/>
  <pivotFields count="42">
    <pivotField showAll="0">
      <items count="24">
        <item x="3"/>
        <item x="16"/>
        <item x="5"/>
        <item x="10"/>
        <item x="1"/>
        <item m="1" x="22"/>
        <item x="11"/>
        <item m="1" x="21"/>
        <item x="12"/>
        <item m="1" x="19"/>
        <item m="1" x="18"/>
        <item x="13"/>
        <item x="14"/>
        <item x="2"/>
        <item m="1" x="20"/>
        <item x="4"/>
        <item x="8"/>
        <item x="15"/>
        <item x="9"/>
        <item x="7"/>
        <item x="6"/>
        <item x="0"/>
        <item x="17"/>
        <item t="default"/>
      </items>
    </pivotField>
    <pivotField showAll="0"/>
    <pivotField showAll="0"/>
    <pivotField axis="axisRow" dataField="1" showAll="0">
      <items count="40">
        <item m="1" x="38"/>
        <item x="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items count="10">
        <item x="3"/>
        <item x="0"/>
        <item x="2"/>
        <item x="7"/>
        <item x="5"/>
        <item x="1"/>
        <item x="4"/>
        <item x="6"/>
        <item x="8"/>
        <item t="default"/>
      </items>
    </pivotField>
    <pivotField showAll="0">
      <items count="12">
        <item x="0"/>
        <item x="9"/>
        <item x="1"/>
        <item x="2"/>
        <item x="4"/>
        <item x="3"/>
        <item x="5"/>
        <item x="6"/>
        <item x="7"/>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1"/>
        <item x="2"/>
        <item x="0"/>
        <item x="3"/>
        <item m="1" x="7"/>
        <item m="1" x="6"/>
        <item x="4"/>
        <item x="5"/>
        <item t="default"/>
      </items>
    </pivotField>
    <pivotField showAll="0"/>
    <pivotField showAll="0"/>
    <pivotField showAll="0">
      <items count="4">
        <item x="0"/>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9">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Área" fld="3"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DBF107-E5E2-4A2B-909E-33497FA4973C}"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E52" firstHeaderRow="1" firstDataRow="2" firstDataCol="1"/>
  <pivotFields count="42">
    <pivotField axis="axisRow" showAll="0">
      <items count="24">
        <item x="3"/>
        <item x="5"/>
        <item x="10"/>
        <item x="1"/>
        <item m="1" x="19"/>
        <item m="1" x="18"/>
        <item x="13"/>
        <item x="14"/>
        <item x="2"/>
        <item x="15"/>
        <item x="6"/>
        <item x="0"/>
        <item x="17"/>
        <item m="1" x="20"/>
        <item x="8"/>
        <item x="7"/>
        <item x="9"/>
        <item m="1" x="21"/>
        <item m="1" x="22"/>
        <item x="16"/>
        <item x="4"/>
        <item x="11"/>
        <item x="12"/>
        <item t="default"/>
      </items>
    </pivotField>
    <pivotField showAll="0"/>
    <pivotField showAll="0"/>
    <pivotField showAll="0">
      <items count="40">
        <item x="13"/>
        <item x="32"/>
        <item x="12"/>
        <item x="24"/>
        <item x="20"/>
        <item x="35"/>
        <item x="26"/>
        <item x="33"/>
        <item x="16"/>
        <item x="29"/>
        <item x="25"/>
        <item x="34"/>
        <item x="6"/>
        <item x="14"/>
        <item x="27"/>
        <item x="18"/>
        <item x="28"/>
        <item x="23"/>
        <item x="7"/>
        <item x="0"/>
        <item x="5"/>
        <item x="8"/>
        <item m="1" x="38"/>
        <item x="3"/>
        <item x="2"/>
        <item x="10"/>
        <item x="11"/>
        <item x="4"/>
        <item x="15"/>
        <item x="19"/>
        <item x="9"/>
        <item x="21"/>
        <item x="30"/>
        <item x="1"/>
        <item x="31"/>
        <item x="17"/>
        <item x="22"/>
        <item x="36"/>
        <item x="37"/>
        <item t="default"/>
      </items>
    </pivotField>
    <pivotField showAll="0"/>
    <pivotField showAll="0"/>
    <pivotField showAll="0">
      <items count="10">
        <item x="3"/>
        <item x="0"/>
        <item x="2"/>
        <item x="7"/>
        <item x="5"/>
        <item x="1"/>
        <item x="4"/>
        <item x="6"/>
        <item x="8"/>
        <item t="default"/>
      </items>
    </pivotField>
    <pivotField showAll="0">
      <items count="12">
        <item x="0"/>
        <item x="9"/>
        <item x="1"/>
        <item x="2"/>
        <item x="4"/>
        <item x="3"/>
        <item x="5"/>
        <item x="6"/>
        <item x="7"/>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1"/>
        <item x="2"/>
        <item x="0"/>
        <item x="3"/>
        <item m="1" x="7"/>
        <item m="1" x="6"/>
        <item x="4"/>
        <item x="5"/>
        <item t="default"/>
      </items>
    </pivotField>
    <pivotField showAll="0"/>
    <pivotField showAll="0"/>
    <pivotField axis="axisCol" dataField="1" showAll="0">
      <items count="4">
        <item x="2"/>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9">
    <i>
      <x/>
    </i>
    <i>
      <x v="1"/>
    </i>
    <i>
      <x v="2"/>
    </i>
    <i>
      <x v="3"/>
    </i>
    <i>
      <x v="6"/>
    </i>
    <i>
      <x v="7"/>
    </i>
    <i>
      <x v="8"/>
    </i>
    <i>
      <x v="9"/>
    </i>
    <i>
      <x v="10"/>
    </i>
    <i>
      <x v="11"/>
    </i>
    <i>
      <x v="12"/>
    </i>
    <i>
      <x v="14"/>
    </i>
    <i>
      <x v="15"/>
    </i>
    <i>
      <x v="16"/>
    </i>
    <i>
      <x v="19"/>
    </i>
    <i>
      <x v="20"/>
    </i>
    <i>
      <x v="21"/>
    </i>
    <i>
      <x v="22"/>
    </i>
    <i t="grand">
      <x/>
    </i>
  </rowItems>
  <colFields count="1">
    <field x="24"/>
  </colFields>
  <colItems count="4">
    <i>
      <x/>
    </i>
    <i>
      <x v="1"/>
    </i>
    <i>
      <x v="2"/>
    </i>
    <i t="grand">
      <x/>
    </i>
  </colItems>
  <dataFields count="1">
    <dataField name="Count of Estatus" fld="24" subtotal="count" baseField="0" baseItem="0"/>
  </dataFields>
  <chartFormats count="6">
    <chartFormat chart="1" format="0" series="1">
      <pivotArea type="data" outline="0" fieldPosition="0">
        <references count="2">
          <reference field="4294967294" count="1" selected="0">
            <x v="0"/>
          </reference>
          <reference field="24" count="1" selected="0">
            <x v="0"/>
          </reference>
        </references>
      </pivotArea>
    </chartFormat>
    <chartFormat chart="1" format="1" series="1">
      <pivotArea type="data" outline="0" fieldPosition="0">
        <references count="2">
          <reference field="4294967294" count="1" selected="0">
            <x v="0"/>
          </reference>
          <reference field="24" count="1" selected="0">
            <x v="1"/>
          </reference>
        </references>
      </pivotArea>
    </chartFormat>
    <chartFormat chart="1" format="2" series="1">
      <pivotArea type="data" outline="0" fieldPosition="0">
        <references count="2">
          <reference field="4294967294" count="1" selected="0">
            <x v="0"/>
          </reference>
          <reference field="24" count="1" selected="0">
            <x v="2"/>
          </reference>
        </references>
      </pivotArea>
    </chartFormat>
    <chartFormat chart="5" format="6" series="1">
      <pivotArea type="data" outline="0" fieldPosition="0">
        <references count="2">
          <reference field="4294967294" count="1" selected="0">
            <x v="0"/>
          </reference>
          <reference field="24" count="1" selected="0">
            <x v="0"/>
          </reference>
        </references>
      </pivotArea>
    </chartFormat>
    <chartFormat chart="5" format="7" series="1">
      <pivotArea type="data" outline="0" fieldPosition="0">
        <references count="2">
          <reference field="4294967294" count="1" selected="0">
            <x v="0"/>
          </reference>
          <reference field="24" count="1" selected="0">
            <x v="1"/>
          </reference>
        </references>
      </pivotArea>
    </chartFormat>
    <chartFormat chart="5" format="8"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8D8BEC-EE73-4D98-AEE3-621F56D41C01}"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H23" firstHeaderRow="1" firstDataRow="2" firstDataCol="1"/>
  <pivotFields count="42">
    <pivotField axis="axisRow" showAll="0">
      <items count="24">
        <item x="3"/>
        <item x="16"/>
        <item x="5"/>
        <item x="10"/>
        <item x="1"/>
        <item m="1" x="22"/>
        <item x="11"/>
        <item m="1" x="21"/>
        <item x="12"/>
        <item m="1" x="19"/>
        <item m="1" x="18"/>
        <item x="13"/>
        <item x="14"/>
        <item x="2"/>
        <item m="1" x="20"/>
        <item x="4"/>
        <item x="8"/>
        <item x="15"/>
        <item x="9"/>
        <item x="7"/>
        <item x="6"/>
        <item x="0"/>
        <item x="17"/>
        <item t="default"/>
      </items>
    </pivotField>
    <pivotField showAll="0"/>
    <pivotField showAll="0"/>
    <pivotField showAll="0">
      <items count="40">
        <item x="13"/>
        <item x="32"/>
        <item x="12"/>
        <item x="24"/>
        <item x="20"/>
        <item x="35"/>
        <item x="26"/>
        <item x="33"/>
        <item x="16"/>
        <item x="29"/>
        <item x="25"/>
        <item x="34"/>
        <item x="6"/>
        <item x="14"/>
        <item x="27"/>
        <item x="18"/>
        <item x="28"/>
        <item x="23"/>
        <item x="7"/>
        <item x="0"/>
        <item x="5"/>
        <item x="8"/>
        <item m="1" x="38"/>
        <item x="3"/>
        <item x="2"/>
        <item x="10"/>
        <item x="11"/>
        <item x="4"/>
        <item x="15"/>
        <item x="19"/>
        <item x="9"/>
        <item x="21"/>
        <item x="30"/>
        <item x="1"/>
        <item x="31"/>
        <item x="17"/>
        <item x="22"/>
        <item x="36"/>
        <item x="37"/>
        <item t="default"/>
      </items>
    </pivotField>
    <pivotField showAll="0"/>
    <pivotField showAll="0"/>
    <pivotField showAll="0">
      <items count="10">
        <item x="3"/>
        <item x="0"/>
        <item x="2"/>
        <item x="7"/>
        <item x="5"/>
        <item x="1"/>
        <item x="4"/>
        <item x="6"/>
        <item x="8"/>
        <item t="default"/>
      </items>
    </pivotField>
    <pivotField showAll="0">
      <items count="12">
        <item x="0"/>
        <item x="9"/>
        <item x="1"/>
        <item x="2"/>
        <item x="4"/>
        <item x="3"/>
        <item x="5"/>
        <item x="6"/>
        <item x="7"/>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7">
        <item x="2"/>
        <item x="1"/>
        <item x="3"/>
        <item x="0"/>
        <item x="4"/>
        <item x="5"/>
        <item t="default"/>
      </items>
    </pivotField>
    <pivotField showAll="0">
      <items count="9">
        <item x="1"/>
        <item x="2"/>
        <item x="0"/>
        <item x="3"/>
        <item m="1" x="7"/>
        <item m="1" x="6"/>
        <item x="4"/>
        <item x="5"/>
        <item t="default"/>
      </items>
    </pivotField>
    <pivotField showAll="0"/>
    <pivotField showAll="0"/>
    <pivotField showAll="0">
      <items count="4">
        <item x="0"/>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9">
    <i>
      <x/>
    </i>
    <i>
      <x v="1"/>
    </i>
    <i>
      <x v="2"/>
    </i>
    <i>
      <x v="3"/>
    </i>
    <i>
      <x v="4"/>
    </i>
    <i>
      <x v="6"/>
    </i>
    <i>
      <x v="8"/>
    </i>
    <i>
      <x v="11"/>
    </i>
    <i>
      <x v="12"/>
    </i>
    <i>
      <x v="13"/>
    </i>
    <i>
      <x v="15"/>
    </i>
    <i>
      <x v="16"/>
    </i>
    <i>
      <x v="17"/>
    </i>
    <i>
      <x v="18"/>
    </i>
    <i>
      <x v="19"/>
    </i>
    <i>
      <x v="20"/>
    </i>
    <i>
      <x v="21"/>
    </i>
    <i>
      <x v="22"/>
    </i>
    <i t="grand">
      <x/>
    </i>
  </rowItems>
  <colFields count="1">
    <field x="20"/>
  </colFields>
  <colItems count="7">
    <i>
      <x/>
    </i>
    <i>
      <x v="1"/>
    </i>
    <i>
      <x v="2"/>
    </i>
    <i>
      <x v="3"/>
    </i>
    <i>
      <x v="4"/>
    </i>
    <i>
      <x v="5"/>
    </i>
    <i t="grand">
      <x/>
    </i>
  </colItems>
  <dataFields count="1">
    <dataField name="Count of Nivel de riesgo (Actual)" fld="20" subtotal="count" baseField="0" baseItem="0"/>
  </dataFields>
  <chartFormats count="18">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0" format="3" series="1">
      <pivotArea type="data" outline="0" fieldPosition="0">
        <references count="2">
          <reference field="4294967294" count="1" selected="0">
            <x v="0"/>
          </reference>
          <reference field="20" count="1" selected="0">
            <x v="3"/>
          </reference>
        </references>
      </pivotArea>
    </chartFormat>
    <chartFormat chart="0" format="4" series="1">
      <pivotArea type="data" outline="0" fieldPosition="0">
        <references count="2">
          <reference field="4294967294" count="1" selected="0">
            <x v="0"/>
          </reference>
          <reference field="20" count="1" selected="0">
            <x v="4"/>
          </reference>
        </references>
      </pivotArea>
    </chartFormat>
    <chartFormat chart="0" format="5" series="1">
      <pivotArea type="data" outline="0" fieldPosition="0">
        <references count="2">
          <reference field="4294967294" count="1" selected="0">
            <x v="0"/>
          </reference>
          <reference field="20" count="1" selected="0">
            <x v="5"/>
          </reference>
        </references>
      </pivotArea>
    </chartFormat>
    <chartFormat chart="13" format="12" series="1">
      <pivotArea type="data" outline="0" fieldPosition="0">
        <references count="2">
          <reference field="4294967294" count="1" selected="0">
            <x v="0"/>
          </reference>
          <reference field="20" count="1" selected="0">
            <x v="0"/>
          </reference>
        </references>
      </pivotArea>
    </chartFormat>
    <chartFormat chart="13" format="13" series="1">
      <pivotArea type="data" outline="0" fieldPosition="0">
        <references count="2">
          <reference field="4294967294" count="1" selected="0">
            <x v="0"/>
          </reference>
          <reference field="20" count="1" selected="0">
            <x v="1"/>
          </reference>
        </references>
      </pivotArea>
    </chartFormat>
    <chartFormat chart="13" format="14" series="1">
      <pivotArea type="data" outline="0" fieldPosition="0">
        <references count="2">
          <reference field="4294967294" count="1" selected="0">
            <x v="0"/>
          </reference>
          <reference field="20" count="1" selected="0">
            <x v="2"/>
          </reference>
        </references>
      </pivotArea>
    </chartFormat>
    <chartFormat chart="13" format="15" series="1">
      <pivotArea type="data" outline="0" fieldPosition="0">
        <references count="2">
          <reference field="4294967294" count="1" selected="0">
            <x v="0"/>
          </reference>
          <reference field="20" count="1" selected="0">
            <x v="3"/>
          </reference>
        </references>
      </pivotArea>
    </chartFormat>
    <chartFormat chart="13" format="16" series="1">
      <pivotArea type="data" outline="0" fieldPosition="0">
        <references count="2">
          <reference field="4294967294" count="1" selected="0">
            <x v="0"/>
          </reference>
          <reference field="20" count="1" selected="0">
            <x v="4"/>
          </reference>
        </references>
      </pivotArea>
    </chartFormat>
    <chartFormat chart="13" format="17" series="1">
      <pivotArea type="data" outline="0" fieldPosition="0">
        <references count="2">
          <reference field="4294967294" count="1" selected="0">
            <x v="0"/>
          </reference>
          <reference field="20" count="1" selected="0">
            <x v="5"/>
          </reference>
        </references>
      </pivotArea>
    </chartFormat>
    <chartFormat chart="3" format="34" series="1">
      <pivotArea type="data" outline="0" fieldPosition="0">
        <references count="2">
          <reference field="4294967294" count="1" selected="0">
            <x v="0"/>
          </reference>
          <reference field="20" count="1" selected="0">
            <x v="0"/>
          </reference>
        </references>
      </pivotArea>
    </chartFormat>
    <chartFormat chart="3" format="35" series="1">
      <pivotArea type="data" outline="0" fieldPosition="0">
        <references count="2">
          <reference field="4294967294" count="1" selected="0">
            <x v="0"/>
          </reference>
          <reference field="20" count="1" selected="0">
            <x v="1"/>
          </reference>
        </references>
      </pivotArea>
    </chartFormat>
    <chartFormat chart="3" format="36" series="1">
      <pivotArea type="data" outline="0" fieldPosition="0">
        <references count="2">
          <reference field="4294967294" count="1" selected="0">
            <x v="0"/>
          </reference>
          <reference field="20" count="1" selected="0">
            <x v="2"/>
          </reference>
        </references>
      </pivotArea>
    </chartFormat>
    <chartFormat chart="3" format="37" series="1">
      <pivotArea type="data" outline="0" fieldPosition="0">
        <references count="2">
          <reference field="4294967294" count="1" selected="0">
            <x v="0"/>
          </reference>
          <reference field="20" count="1" selected="0">
            <x v="3"/>
          </reference>
        </references>
      </pivotArea>
    </chartFormat>
    <chartFormat chart="3" format="38" series="1">
      <pivotArea type="data" outline="0" fieldPosition="0">
        <references count="2">
          <reference field="4294967294" count="1" selected="0">
            <x v="0"/>
          </reference>
          <reference field="20" count="1" selected="0">
            <x v="4"/>
          </reference>
        </references>
      </pivotArea>
    </chartFormat>
    <chartFormat chart="3" format="39" series="1">
      <pivotArea type="data" outline="0" fieldPosition="0">
        <references count="2">
          <reference field="4294967294" count="1" selected="0">
            <x v="0"/>
          </reference>
          <reference field="2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a" xr10:uid="{EC772006-39E7-4567-9A9D-D74F04EDCA94}" sourceName="Planta">
  <pivotTables>
    <pivotTable tabId="10" name="PivotTable2"/>
    <pivotTable tabId="8" name="PivotTable7"/>
    <pivotTable tabId="11" name="PivotTable4"/>
    <pivotTable tabId="12" name="PivotTable5"/>
    <pivotTable tabId="10" name="PivotTable1"/>
  </pivotTables>
  <data>
    <tabular pivotCacheId="887196639">
      <items count="23">
        <i x="3" s="1"/>
        <i x="16" s="1"/>
        <i x="5" s="1"/>
        <i x="10" s="1"/>
        <i x="1" s="1"/>
        <i x="11" s="1"/>
        <i x="12" s="1"/>
        <i x="13" s="1"/>
        <i x="14" s="1"/>
        <i x="2" s="1"/>
        <i x="4" s="1"/>
        <i x="8" s="1"/>
        <i x="15" s="1"/>
        <i x="9" s="1"/>
        <i x="7" s="1"/>
        <i x="6" s="1"/>
        <i x="0" s="1"/>
        <i x="22" s="1" nd="1"/>
        <i x="21" s="1" nd="1"/>
        <i x="19" s="1" nd="1"/>
        <i x="18" s="1" nd="1"/>
        <i x="20" s="1" nd="1"/>
        <i x="1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Área" xr10:uid="{4E5BCEB7-C4D9-4464-97C0-960FE082BFD3}" sourceName="Área">
  <pivotTables>
    <pivotTable tabId="10" name="PivotTable2"/>
    <pivotTable tabId="8" name="PivotTable7"/>
    <pivotTable tabId="11" name="PivotTable4"/>
    <pivotTable tabId="12" name="PivotTable5"/>
    <pivotTable tabId="10" name="PivotTable1"/>
  </pivotTables>
  <data>
    <tabular pivotCacheId="887196639">
      <items count="39">
        <i x="13" s="1"/>
        <i x="32" s="1"/>
        <i x="12" s="1"/>
        <i x="24" s="1"/>
        <i x="20" s="1"/>
        <i x="35" s="1"/>
        <i x="26" s="1"/>
        <i x="33" s="1"/>
        <i x="16" s="1"/>
        <i x="29" s="1"/>
        <i x="25" s="1"/>
        <i x="34" s="1"/>
        <i x="6" s="1"/>
        <i x="14" s="1"/>
        <i x="27" s="1"/>
        <i x="18" s="1"/>
        <i x="28" s="1"/>
        <i x="23" s="1"/>
        <i x="7" s="1"/>
        <i x="0" s="1"/>
        <i x="5" s="1"/>
        <i x="8" s="1"/>
        <i x="3" s="1"/>
        <i x="2" s="1"/>
        <i x="10" s="1"/>
        <i x="11" s="1"/>
        <i x="4" s="1"/>
        <i x="15" s="1"/>
        <i x="19" s="1"/>
        <i x="9" s="1"/>
        <i x="21" s="1"/>
        <i x="30" s="1"/>
        <i x="1" s="1"/>
        <i x="31" s="1"/>
        <i x="17" s="1"/>
        <i x="22" s="1"/>
        <i x="36" s="1"/>
        <i x="37" s="1"/>
        <i x="3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ligros_identificados" xr10:uid="{04495199-88E0-4F2E-82A9-43703AD959B1}" sourceName="Peligros identificados">
  <pivotTables>
    <pivotTable tabId="10" name="PivotTable2"/>
    <pivotTable tabId="8" name="PivotTable7"/>
    <pivotTable tabId="11" name="PivotTable4"/>
    <pivotTable tabId="12" name="PivotTable5"/>
    <pivotTable tabId="10" name="PivotTable1"/>
  </pivotTables>
  <data>
    <tabular pivotCacheId="887196639">
      <items count="9">
        <i x="3" s="1"/>
        <i x="0" s="1"/>
        <i x="2" s="1"/>
        <i x="7" s="1"/>
        <i x="5" s="1"/>
        <i x="1" s="1"/>
        <i x="4" s="1"/>
        <i x="6" s="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canismo_de_lesión__Ligar_tabla" xr10:uid="{BE6292F3-2F2D-4EDE-AC07-6AE932ECFF07}" sourceName="Mecanismo de lesión (Ligar tabla)">
  <pivotTables>
    <pivotTable tabId="10" name="PivotTable2"/>
    <pivotTable tabId="8" name="PivotTable7"/>
    <pivotTable tabId="11" name="PivotTable4"/>
    <pivotTable tabId="12" name="PivotTable5"/>
    <pivotTable tabId="10" name="PivotTable1"/>
  </pivotTables>
  <data>
    <tabular pivotCacheId="887196639">
      <items count="11">
        <i x="0" s="1"/>
        <i x="9" s="1"/>
        <i x="1" s="1"/>
        <i x="2" s="1"/>
        <i x="4" s="1"/>
        <i x="3" s="1"/>
        <i x="5" s="1"/>
        <i x="6" s="1"/>
        <i x="7" s="1"/>
        <i x="8"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mpo_de_acción" xr10:uid="{AC4F8CA3-2F92-4E57-9B8A-4FECE5D450F0}" sourceName="Tiempo de acción">
  <pivotTables>
    <pivotTable tabId="10" name="PivotTable2"/>
    <pivotTable tabId="8" name="PivotTable7"/>
    <pivotTable tabId="11" name="PivotTable4"/>
    <pivotTable tabId="12" name="PivotTable5"/>
    <pivotTable tabId="10" name="PivotTable1"/>
  </pivotTables>
  <data>
    <tabular pivotCacheId="887196639">
      <items count="8">
        <i x="1" s="1"/>
        <i x="2" s="1"/>
        <i x="0" s="1"/>
        <i x="3" s="1"/>
        <i x="4" s="1"/>
        <i x="7" s="1" nd="1"/>
        <i x="6" s="1" nd="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tatus" xr10:uid="{D2BCC247-2499-4879-BE91-28BA986B66F1}" sourceName="Estatus">
  <pivotTables>
    <pivotTable tabId="10" name="PivotTable2"/>
    <pivotTable tabId="8" name="PivotTable7"/>
    <pivotTable tabId="11" name="PivotTable4"/>
    <pivotTable tabId="12" name="PivotTable5"/>
    <pivotTable tabId="10" name="PivotTable1"/>
  </pivotTables>
  <data>
    <tabular pivotCacheId="887196639">
      <items count="3">
        <i x="0" s="1"/>
        <i x="1" s="1"/>
        <i x="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ramide_de_Contramedidas" xr10:uid="{756EB777-0A92-4F3E-94EA-76AFAD590C85}" sourceName="Piramide de Contramedidas">
  <pivotTables>
    <pivotTable tabId="10" name="PivotTable2"/>
    <pivotTable tabId="8" name="PivotTable7"/>
    <pivotTable tabId="11" name="PivotTable4"/>
    <pivotTable tabId="12" name="PivotTable5"/>
    <pivotTable tabId="10" name="PivotTable1"/>
  </pivotTables>
  <data>
    <tabular pivotCacheId="887196639">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a1" xr10:uid="{70324AAB-C5B9-4B61-B756-9A3F9DAA43BC}" sourceName="Planta">
  <extLst>
    <x:ext xmlns:x15="http://schemas.microsoft.com/office/spreadsheetml/2010/11/main" uri="{2F2917AC-EB37-4324-AD4E-5DD8C200BD13}">
      <x15:tableSlicerCache tableId="2" column="1" customListSort="0"/>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a 1" xr10:uid="{9BA6B410-60B9-472B-9C4D-CEB7644FD997}" cache="Slicer_Planta" caption="Planta" rowHeight="241300"/>
  <slicer name="Área 1" xr10:uid="{77414D59-96BA-47DA-8D28-6446DE3EC98F}" cache="Slicer_Área" caption="Área" rowHeight="241300"/>
  <slicer name="Peligros identificados 1" xr10:uid="{EB53AE15-1675-47D1-906D-80A293BA5C67}" cache="Slicer_Peligros_identificados" caption="Peligros identificados" rowHeight="241300"/>
  <slicer name="Mecanismo de lesión (Ligar tabla) 1" xr10:uid="{CAACB673-F3E2-43A3-AC5C-FC42D73F6E5C}" cache="Slicer_Mecanismo_de_lesión__Ligar_tabla" caption="Mecanismo de lesión (Ligar tabla)" rowHeight="241300"/>
  <slicer name="Tiempo de acción 1" xr10:uid="{DFBDB2E4-40A1-4085-8957-C853C268DC56}" cache="Slicer_Tiempo_de_acción" caption="Tiempo de acción" rowHeight="241300"/>
  <slicer name="Estatus 1" xr10:uid="{79063FBF-FF17-40A6-A92C-79B37203082F}" cache="Slicer_Estatus" caption="Estatus" rowHeight="241300"/>
  <slicer name="Piramide de Contramedidas 1" xr10:uid="{B49F249C-2E05-4C9F-8481-FD4CFCD00BE4}" cache="Slicer_Piramide_de_Contramedidas" caption="Piramide de Contramedida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a 4" xr10:uid="{219B8A6A-BDB5-42B5-8E6C-D56188AF4927}" cache="Slicer_Planta1" caption="Planta" columnCoun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a 3" xr10:uid="{56F49FFB-96C1-4680-82BC-46B3F27A0D86}" cache="Slicer_Planta1" caption="Planta" columnCoun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a" xr10:uid="{7408A05D-B902-4C4D-B58D-07C35B661A3B}" cache="Slicer_Planta" caption="Planta" rowHeight="241300"/>
  <slicer name="Área" xr10:uid="{144BF943-2A9B-45A5-928C-AD8FEC6A85B1}" cache="Slicer_Área" caption="Área" rowHeight="241300"/>
  <slicer name="Peligros identificados" xr10:uid="{0A740C54-2B21-495D-827F-3752E3A97B83}" cache="Slicer_Peligros_identificados" caption="Peligros identificados" rowHeight="241300"/>
  <slicer name="Mecanismo de lesión (Ligar tabla)" xr10:uid="{7F1E2C05-C08D-47CF-87D3-97F0CB5A6E08}" cache="Slicer_Mecanismo_de_lesión__Ligar_tabla" caption="Mecanismo de lesión (Ligar tabla)" rowHeight="241300"/>
  <slicer name="Tiempo de acción" xr10:uid="{AB23A10D-E851-4C03-8DAB-80BB7C789258}" cache="Slicer_Tiempo_de_acción" caption="Tiempo de acción" rowHeight="241300"/>
  <slicer name="Estatus" xr10:uid="{D50DF915-CED0-483C-A462-8B6FBBC03C5D}" cache="Slicer_Estatus" caption="Estatus" rowHeight="241300"/>
  <slicer name="Piramide de Contramedidas" xr10:uid="{FB3AFCE6-8B21-49EB-B807-A3D25843D4A2}" cache="Slicer_Piramide_de_Contramedidas" caption="Piramide de Contramedida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8DF7BE-6E79-48C7-9763-7550EC3E4060}" name="Table2" displayName="Table2" ref="A1:E1048576" totalsRowShown="0" headerRowDxfId="8">
  <autoFilter ref="A1:E1048576" xr:uid="{AA8DF7BE-6E79-48C7-9763-7550EC3E4060}">
    <filterColumn colId="0" hiddenButton="1">
      <filters>
        <filter val="Atitalaquia"/>
      </filters>
    </filterColumn>
    <filterColumn colId="1" hiddenButton="1"/>
    <filterColumn colId="2" hiddenButton="1"/>
    <filterColumn colId="3" hiddenButton="1"/>
    <filterColumn colId="4" hiddenButton="1"/>
  </autoFilter>
  <tableColumns count="5">
    <tableColumn id="1" xr3:uid="{85565CA7-D175-4E94-81C7-8E013FC8A3C1}" name="Planta"/>
    <tableColumn id="2" xr3:uid="{CDDB03ED-8663-463E-BB6E-29915AE7A18D}" name="Gravedad (Actual)"/>
    <tableColumn id="3" xr3:uid="{6EDE2DB4-D6B8-4057-9B64-1CCCD3B88AC5}" name="Valor GA"/>
    <tableColumn id="4" xr3:uid="{E166364C-11BD-4A8B-80A4-1EFFBBC6F18D}" name="Probabilidad (Actual)"/>
    <tableColumn id="5" xr3:uid="{BF6CA6A5-EA87-40C2-A661-DCA4B7B582BF}" name="Valor PA"/>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externalLinkPath" Target="file:///\\SIACEFS03\Respaldo%20Planta%20Sabinas\personal\yrivas_sigma-alimentos_com\Documents\Respaldo%20Julio%20yossy\HRNS\HRN%20Homologado\HRN%20FORMATO%20NUEVO\L&#225;cteos-Formato%20en%20blanco%20Analisis%20de%20Riesgos%20HRN.xlsx" TargetMode="Externa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externalLinkPath" Target="file:///\\SIACEFS03\Respaldo%20Planta%20Sabinas\personal\yrivas_sigma-alimentos_com\Documents\Respaldo%20Julio%20yossy\HRNS\HRN%20Homologado\HRN%20FORMATO%20NUEVO\L&#225;cteos-Formato%20en%20blanco%20Analisis%20de%20Riesgos%20HRN.xls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D56F8-CC70-4802-9E38-A922C4547A46}">
  <dimension ref="A8:V58"/>
  <sheetViews>
    <sheetView showGridLines="0" topLeftCell="F6" workbookViewId="0">
      <selection activeCell="B17" sqref="B17"/>
    </sheetView>
  </sheetViews>
  <sheetFormatPr defaultColWidth="9.140625" defaultRowHeight="15" x14ac:dyDescent="0.25"/>
  <cols>
    <col min="11" max="11" width="17.42578125" customWidth="1"/>
    <col min="12" max="18" width="8.42578125" customWidth="1"/>
    <col min="19" max="19" width="3" customWidth="1"/>
  </cols>
  <sheetData>
    <row r="8" spans="10:18" ht="23.25" customHeight="1" x14ac:dyDescent="0.25">
      <c r="J8" s="132">
        <v>15</v>
      </c>
      <c r="K8" s="62" t="s">
        <v>62</v>
      </c>
      <c r="L8" s="134" t="e">
        <f>COUNTIFS(#REF!,15,#REF!,0.1)</f>
        <v>#REF!</v>
      </c>
      <c r="M8" s="135" t="e">
        <f>COUNTIFS(#REF!,15,#REF!,0.5)</f>
        <v>#REF!</v>
      </c>
      <c r="N8" s="135" t="e">
        <f>COUNTIFS(#REF!,15,#REF!,1)</f>
        <v>#REF!</v>
      </c>
      <c r="O8" s="136" t="e">
        <f>COUNTIFS(#REF!,15,#REF!,2)</f>
        <v>#REF!</v>
      </c>
      <c r="P8" s="136" t="e">
        <f>COUNTIFS(#REF!,15,#REF!,4)</f>
        <v>#REF!</v>
      </c>
      <c r="Q8" s="136" t="e">
        <f>COUNTIFS(#REF!,15,#REF!,8)</f>
        <v>#REF!</v>
      </c>
      <c r="R8" s="136" t="e">
        <f>COUNTIFS(#REF!,15,#REF!,15)</f>
        <v>#REF!</v>
      </c>
    </row>
    <row r="9" spans="10:18" ht="23.25" customHeight="1" x14ac:dyDescent="0.25">
      <c r="J9" s="132">
        <v>10</v>
      </c>
      <c r="K9" s="62" t="s">
        <v>60</v>
      </c>
      <c r="L9" s="134" t="e">
        <f>COUNTIFS(#REF!,10,#REF!,0.1)</f>
        <v>#REF!</v>
      </c>
      <c r="M9" s="135" t="e">
        <f>COUNTIFS(#REF!,10,#REF!,0.5)</f>
        <v>#REF!</v>
      </c>
      <c r="N9" s="135" t="e">
        <f>COUNTIFS(#REF!,10,#REF!,1)</f>
        <v>#REF!</v>
      </c>
      <c r="O9" s="135" t="e">
        <f>COUNTIFS(#REF!,10,#REF!,2)</f>
        <v>#REF!</v>
      </c>
      <c r="P9" s="136" t="e">
        <f>COUNTIFS(#REF!,10,#REF!,4)</f>
        <v>#REF!</v>
      </c>
      <c r="Q9" s="136" t="e">
        <f>COUNTIFS(#REF!,10,#REF!,8)</f>
        <v>#REF!</v>
      </c>
      <c r="R9" s="136" t="e">
        <f>COUNTIFS(#REF!,10,#REF!,15)</f>
        <v>#REF!</v>
      </c>
    </row>
    <row r="10" spans="10:18" ht="23.25" customHeight="1" x14ac:dyDescent="0.25">
      <c r="J10" s="132">
        <v>8</v>
      </c>
      <c r="K10" s="62" t="s">
        <v>57</v>
      </c>
      <c r="L10" s="134" t="e">
        <f>COUNTIFS(#REF!,8,#REF!,0.1)</f>
        <v>#REF!</v>
      </c>
      <c r="M10" s="134" t="e">
        <f>COUNTIFS(#REF!,8,#REF!,0.5)</f>
        <v>#REF!</v>
      </c>
      <c r="N10" s="135" t="e">
        <f>COUNTIFS(#REF!,8,#REF!,1)</f>
        <v>#REF!</v>
      </c>
      <c r="O10" s="135" t="e">
        <f>COUNTIFS(#REF!,8,#REF!,2)</f>
        <v>#REF!</v>
      </c>
      <c r="P10" s="136" t="e">
        <f>COUNTIFS(#REF!,8,#REF!,4)</f>
        <v>#REF!</v>
      </c>
      <c r="Q10" s="136" t="e">
        <f>COUNTIFS(#REF!,8,#REF!,8)</f>
        <v>#REF!</v>
      </c>
      <c r="R10" s="136" t="e">
        <f>COUNTIFS(#REF!,8,#REF!,15)</f>
        <v>#REF!</v>
      </c>
    </row>
    <row r="11" spans="10:18" ht="23.25" customHeight="1" x14ac:dyDescent="0.25">
      <c r="J11" s="132">
        <v>5</v>
      </c>
      <c r="K11" s="62" t="s">
        <v>54</v>
      </c>
      <c r="L11" s="134" t="e">
        <f>COUNTIFS(#REF!,5,#REF!,0.1)</f>
        <v>#REF!</v>
      </c>
      <c r="M11" s="134" t="e">
        <f>COUNTIFS(#REF!,5,#REF!,0.5)</f>
        <v>#REF!</v>
      </c>
      <c r="N11" s="135" t="e">
        <f>COUNTIFS(#REF!,5,#REF!,1)</f>
        <v>#REF!</v>
      </c>
      <c r="O11" s="135" t="e">
        <f>COUNTIFS(#REF!,5,#REF!,2)</f>
        <v>#REF!</v>
      </c>
      <c r="P11" s="135" t="e">
        <f>COUNTIFS(#REF!,5,#REF!,4)</f>
        <v>#REF!</v>
      </c>
      <c r="Q11" s="136" t="e">
        <f>COUNTIFS(#REF!,5,#REF!,8)</f>
        <v>#REF!</v>
      </c>
      <c r="R11" s="136" t="e">
        <f>COUNTIFS(#REF!,5,#REF!,15)</f>
        <v>#REF!</v>
      </c>
    </row>
    <row r="12" spans="10:18" ht="23.25" customHeight="1" x14ac:dyDescent="0.25">
      <c r="J12" s="132">
        <v>2</v>
      </c>
      <c r="K12" s="62" t="s">
        <v>51</v>
      </c>
      <c r="L12" s="137" t="e">
        <f>COUNTIFS(#REF!,2,#REF!,0.1)</f>
        <v>#REF!</v>
      </c>
      <c r="M12" s="134" t="e">
        <f>COUNTIFS(#REF!,2,#REF!,0.5)</f>
        <v>#REF!</v>
      </c>
      <c r="N12" s="134" t="e">
        <f>COUNTIFS(#REF!,2,#REF!,1)</f>
        <v>#REF!</v>
      </c>
      <c r="O12" s="134" t="e">
        <f>COUNTIFS(#REF!,2,#REF!,2)</f>
        <v>#REF!</v>
      </c>
      <c r="P12" s="135" t="e">
        <f>COUNTIFS(#REF!,2,#REF!,4)</f>
        <v>#REF!</v>
      </c>
      <c r="Q12" s="135" t="e">
        <f>COUNTIFS(#REF!,2,#REF!,8)</f>
        <v>#REF!</v>
      </c>
      <c r="R12" s="136" t="e">
        <f>COUNTIFS(#REF!,2,#REF!,15)</f>
        <v>#REF!</v>
      </c>
    </row>
    <row r="13" spans="10:18" ht="23.25" customHeight="1" x14ac:dyDescent="0.25">
      <c r="J13" s="132">
        <v>1</v>
      </c>
      <c r="K13" s="62" t="s">
        <v>48</v>
      </c>
      <c r="L13" s="137" t="e">
        <f>COUNTIFS(#REF!,1,#REF!,0.1)</f>
        <v>#REF!</v>
      </c>
      <c r="M13" s="134" t="e">
        <f>COUNTIFS(#REF!,1,#REF!,0.5)</f>
        <v>#REF!</v>
      </c>
      <c r="N13" s="134" t="e">
        <f>COUNTIFS(#REF!,1,#REF!,1)</f>
        <v>#REF!</v>
      </c>
      <c r="O13" s="134" t="e">
        <f>COUNTIFS(#REF!,1,#REF!,2)</f>
        <v>#REF!</v>
      </c>
      <c r="P13" s="134" t="e">
        <f>COUNTIFS(#REF!,1,#REF!,4)</f>
        <v>#REF!</v>
      </c>
      <c r="Q13" s="135" t="e">
        <f>COUNTIFS(#REF!,1,#REF!,8)</f>
        <v>#REF!</v>
      </c>
      <c r="R13" s="135" t="e">
        <f>COUNTIFS(#REF!,1,#REF!,15)</f>
        <v>#REF!</v>
      </c>
    </row>
    <row r="14" spans="10:18" ht="23.25" customHeight="1" x14ac:dyDescent="0.25">
      <c r="J14" s="132">
        <v>0.5</v>
      </c>
      <c r="K14" s="62" t="s">
        <v>45</v>
      </c>
      <c r="L14" s="137" t="e">
        <f>COUNTIFS(#REF!,0.5,#REF!,0.1)</f>
        <v>#REF!</v>
      </c>
      <c r="M14" s="137" t="e">
        <f>COUNTIFS(#REF!,0.5,#REF!,0.5)</f>
        <v>#REF!</v>
      </c>
      <c r="N14" s="134" t="e">
        <f>COUNTIFS(#REF!,0.5,#REF!,1)</f>
        <v>#REF!</v>
      </c>
      <c r="O14" s="134" t="e">
        <f>COUNTIFS(#REF!,0.5,#REF!,2)</f>
        <v>#REF!</v>
      </c>
      <c r="P14" s="134" t="e">
        <f>COUNTIFS(#REF!,0.5,#REF!,4)</f>
        <v>#REF!</v>
      </c>
      <c r="Q14" s="134" t="e">
        <f>COUNTIFS(#REF!,0.5,#REF!,8)</f>
        <v>#REF!</v>
      </c>
      <c r="R14" s="135" t="e">
        <f>COUNTIFS(#REF!,0.5,#REF!,15)</f>
        <v>#REF!</v>
      </c>
    </row>
    <row r="15" spans="10:18" ht="23.25" customHeight="1" x14ac:dyDescent="0.25">
      <c r="J15" s="132">
        <v>0.1</v>
      </c>
      <c r="K15" s="62" t="s">
        <v>42</v>
      </c>
      <c r="L15" s="137" t="e">
        <f>COUNTIFS(#REF!,0.1,#REF!,0.1)</f>
        <v>#REF!</v>
      </c>
      <c r="M15" s="137" t="e">
        <f>COUNTIFS(#REF!,0.1,#REF!,0.5)</f>
        <v>#REF!</v>
      </c>
      <c r="N15" s="137" t="e">
        <f>COUNTIFS(#REF!,0.1,#REF!,1)</f>
        <v>#REF!</v>
      </c>
      <c r="O15" s="137" t="e">
        <f>COUNTIFS(#REF!,0.1,#REF!,2)</f>
        <v>#REF!</v>
      </c>
      <c r="P15" s="134" t="e">
        <f>COUNTIFS(#REF!,0.1,#REF!,4)</f>
        <v>#REF!</v>
      </c>
      <c r="Q15" s="134" t="e">
        <f>COUNTIFS(#REF!,0.1,#REF!,8)</f>
        <v>#REF!</v>
      </c>
      <c r="R15" s="134" t="e">
        <f>COUNTIFS(#REF!,0.1,#REF!,15)</f>
        <v>#REF!</v>
      </c>
    </row>
    <row r="16" spans="10:18" ht="23.25" customHeight="1" x14ac:dyDescent="0.25">
      <c r="J16" s="132">
        <v>0</v>
      </c>
      <c r="K16" s="62" t="s">
        <v>39</v>
      </c>
      <c r="L16" s="137" t="e">
        <f>COUNTIFS(#REF!,0,#REF!,0.1)</f>
        <v>#REF!</v>
      </c>
      <c r="M16" s="137" t="e">
        <f>COUNTIFS(#REF!,0,#REF!,0.5)</f>
        <v>#REF!</v>
      </c>
      <c r="N16" s="137" t="e">
        <f>COUNTIFS(#REF!,0,#REF!,1)</f>
        <v>#REF!</v>
      </c>
      <c r="O16" s="137" t="e">
        <f>COUNTIFS(#REF!,0,#REF!,2)</f>
        <v>#REF!</v>
      </c>
      <c r="P16" s="137" t="e">
        <f>COUNTIFS(#REF!,0,#REF!,4)</f>
        <v>#REF!</v>
      </c>
      <c r="Q16" s="137" t="e">
        <f>COUNTIFS(#REF!,0,#REF!,8)</f>
        <v>#REF!</v>
      </c>
      <c r="R16" s="134" t="e">
        <f>COUNTIFS(#REF!,0,#REF!,15)</f>
        <v>#REF!</v>
      </c>
    </row>
    <row r="17" spans="10:22" ht="123.75" x14ac:dyDescent="0.25">
      <c r="L17" s="62" t="s">
        <v>66</v>
      </c>
      <c r="M17" s="62" t="s">
        <v>68</v>
      </c>
      <c r="N17" s="62" t="s">
        <v>70</v>
      </c>
      <c r="O17" s="62" t="s">
        <v>72</v>
      </c>
      <c r="P17" s="62" t="s">
        <v>74</v>
      </c>
      <c r="Q17" s="62" t="s">
        <v>76</v>
      </c>
      <c r="R17" s="62" t="s">
        <v>78</v>
      </c>
    </row>
    <row r="18" spans="10:22" x14ac:dyDescent="0.25">
      <c r="J18" s="138"/>
      <c r="K18" s="138"/>
      <c r="L18" s="133">
        <v>0.1</v>
      </c>
      <c r="M18" s="133">
        <v>0.5</v>
      </c>
      <c r="N18" s="133">
        <v>1</v>
      </c>
      <c r="O18" s="133">
        <v>2</v>
      </c>
      <c r="P18" s="133">
        <v>4</v>
      </c>
      <c r="Q18" s="133">
        <v>8</v>
      </c>
      <c r="R18" s="133">
        <v>15</v>
      </c>
    </row>
    <row r="20" spans="10:22" x14ac:dyDescent="0.25">
      <c r="T20" s="128" t="s">
        <v>208</v>
      </c>
      <c r="U20" s="128" t="s">
        <v>31</v>
      </c>
      <c r="V20" s="128" t="s">
        <v>209</v>
      </c>
    </row>
    <row r="21" spans="10:22" x14ac:dyDescent="0.25">
      <c r="T21" s="126" t="s">
        <v>200</v>
      </c>
      <c r="U21" t="s">
        <v>222</v>
      </c>
    </row>
    <row r="22" spans="10:22" x14ac:dyDescent="0.25">
      <c r="T22" s="129" t="s">
        <v>230</v>
      </c>
      <c r="U22" s="131">
        <v>45397</v>
      </c>
    </row>
    <row r="23" spans="10:22" x14ac:dyDescent="0.25">
      <c r="T23" s="129" t="s">
        <v>221</v>
      </c>
      <c r="U23" s="131">
        <v>45397</v>
      </c>
    </row>
    <row r="24" spans="10:22" x14ac:dyDescent="0.25">
      <c r="T24" s="129" t="s">
        <v>231</v>
      </c>
      <c r="U24" s="131">
        <v>45397</v>
      </c>
    </row>
    <row r="25" spans="10:22" x14ac:dyDescent="0.25">
      <c r="T25" s="129" t="s">
        <v>232</v>
      </c>
      <c r="U25" s="131">
        <v>45397</v>
      </c>
    </row>
    <row r="26" spans="10:22" x14ac:dyDescent="0.25">
      <c r="T26" s="129" t="s">
        <v>233</v>
      </c>
      <c r="U26" s="131">
        <v>45397</v>
      </c>
    </row>
    <row r="27" spans="10:22" x14ac:dyDescent="0.25">
      <c r="T27" s="129" t="s">
        <v>234</v>
      </c>
      <c r="U27" s="131">
        <v>45397</v>
      </c>
    </row>
    <row r="28" spans="10:22" x14ac:dyDescent="0.25">
      <c r="T28" s="129" t="s">
        <v>235</v>
      </c>
      <c r="U28" s="131">
        <v>45397</v>
      </c>
    </row>
    <row r="29" spans="10:22" x14ac:dyDescent="0.25">
      <c r="T29" s="129" t="s">
        <v>236</v>
      </c>
      <c r="U29" s="131">
        <v>45397</v>
      </c>
    </row>
    <row r="30" spans="10:22" x14ac:dyDescent="0.25">
      <c r="T30" s="129" t="s">
        <v>237</v>
      </c>
      <c r="U30" s="131">
        <v>45397</v>
      </c>
    </row>
    <row r="31" spans="10:22" x14ac:dyDescent="0.25">
      <c r="T31" s="129" t="s">
        <v>238</v>
      </c>
      <c r="U31" s="131">
        <v>45397</v>
      </c>
    </row>
    <row r="32" spans="10:22" x14ac:dyDescent="0.25">
      <c r="T32" s="129" t="s">
        <v>239</v>
      </c>
      <c r="U32" s="131">
        <v>45397</v>
      </c>
    </row>
    <row r="33" spans="20:21" x14ac:dyDescent="0.25">
      <c r="T33" s="129" t="s">
        <v>240</v>
      </c>
      <c r="U33" s="131">
        <v>45397</v>
      </c>
    </row>
    <row r="34" spans="20:21" x14ac:dyDescent="0.25">
      <c r="T34" s="129" t="s">
        <v>241</v>
      </c>
      <c r="U34" s="131">
        <v>45397</v>
      </c>
    </row>
    <row r="35" spans="20:21" x14ac:dyDescent="0.25">
      <c r="T35" s="129" t="s">
        <v>242</v>
      </c>
      <c r="U35" s="131">
        <v>45397</v>
      </c>
    </row>
    <row r="36" spans="20:21" x14ac:dyDescent="0.25">
      <c r="T36" s="127" t="s">
        <v>202</v>
      </c>
      <c r="U36" s="130">
        <v>635558</v>
      </c>
    </row>
    <row r="58" spans="1:1" x14ac:dyDescent="0.25">
      <c r="A58" t="s">
        <v>215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4A1C2-0D65-4801-8D08-9C56C8FA5AC6}">
  <dimension ref="A1:Z4672"/>
  <sheetViews>
    <sheetView workbookViewId="0">
      <selection activeCell="I1" sqref="I1:I1048576"/>
    </sheetView>
  </sheetViews>
  <sheetFormatPr defaultColWidth="9.140625" defaultRowHeight="15" zeroHeight="1" x14ac:dyDescent="0.25"/>
  <cols>
    <col min="1" max="1" width="23.42578125" bestFit="1" customWidth="1"/>
    <col min="2" max="2" width="19.42578125" bestFit="1" customWidth="1"/>
    <col min="3" max="3" width="11" customWidth="1"/>
    <col min="4" max="4" width="21.85546875" customWidth="1"/>
    <col min="5" max="5" width="10.7109375" customWidth="1"/>
    <col min="7" max="7" width="10" customWidth="1"/>
    <col min="8" max="8" width="14.140625" customWidth="1"/>
    <col min="9" max="9" width="10.7109375" style="141" bestFit="1" customWidth="1"/>
    <col min="11" max="11" width="9.140625" style="141"/>
  </cols>
  <sheetData>
    <row r="1" spans="1:26" x14ac:dyDescent="0.25">
      <c r="A1" t="s">
        <v>14</v>
      </c>
      <c r="B1" t="s">
        <v>176</v>
      </c>
      <c r="C1" t="s">
        <v>180</v>
      </c>
      <c r="D1" t="s">
        <v>177</v>
      </c>
      <c r="E1" t="s">
        <v>181</v>
      </c>
      <c r="G1" t="str">
        <f>A1</f>
        <v>Planta</v>
      </c>
      <c r="H1" t="str">
        <f t="shared" ref="H1:K1" si="0">B1</f>
        <v>Gravedad (Actual)</v>
      </c>
      <c r="I1" t="str">
        <f t="shared" si="0"/>
        <v>Valor GA</v>
      </c>
      <c r="J1" t="str">
        <f t="shared" si="0"/>
        <v>Probabilidad (Actual)</v>
      </c>
      <c r="K1" t="str">
        <f t="shared" si="0"/>
        <v>Valor PA</v>
      </c>
    </row>
    <row r="2" spans="1:26" hidden="1" x14ac:dyDescent="0.25">
      <c r="A2" t="e">
        <f>#REF!</f>
        <v>#REF!</v>
      </c>
      <c r="B2" t="e">
        <f>#REF!</f>
        <v>#REF!</v>
      </c>
      <c r="C2" t="e">
        <f>#REF!</f>
        <v>#REF!</v>
      </c>
      <c r="D2" t="e">
        <f>#REF!</f>
        <v>#REF!</v>
      </c>
      <c r="E2" t="e">
        <f>#REF!</f>
        <v>#REF!</v>
      </c>
      <c r="G2" t="e">
        <f t="shared" ref="G2:G65" si="1">A2</f>
        <v>#REF!</v>
      </c>
      <c r="H2" t="e">
        <f t="shared" ref="H2:H65" si="2">B2</f>
        <v>#REF!</v>
      </c>
      <c r="I2" s="141" t="e">
        <f t="shared" ref="I2:I65" si="3">C2</f>
        <v>#REF!</v>
      </c>
      <c r="J2" t="e">
        <f t="shared" ref="J2:J65" si="4">D2</f>
        <v>#REF!</v>
      </c>
      <c r="K2" s="141" t="e">
        <f t="shared" ref="K2:K65" si="5">E2</f>
        <v>#REF!</v>
      </c>
      <c r="S2" s="62" t="s">
        <v>62</v>
      </c>
      <c r="T2" s="134" t="e">
        <f>COUNTIFS(#REF!,15,#REF!,0.1)</f>
        <v>#REF!</v>
      </c>
      <c r="U2" s="135" t="e">
        <f>COUNTIFS(#REF!,15,#REF!,0.5)</f>
        <v>#REF!</v>
      </c>
      <c r="V2" s="135" t="e">
        <f>COUNTIFS(#REF!,15,#REF!,1)</f>
        <v>#REF!</v>
      </c>
      <c r="W2" s="136" t="e">
        <f>COUNTIFS(#REF!,15,#REF!,2)</f>
        <v>#REF!</v>
      </c>
      <c r="X2" s="136" t="e">
        <f>COUNTIFS(#REF!,15,#REF!,4)</f>
        <v>#REF!</v>
      </c>
      <c r="Y2" s="136" t="e">
        <f>COUNTIFS(#REF!,15,#REF!,8)</f>
        <v>#REF!</v>
      </c>
      <c r="Z2" s="136" t="e">
        <f>COUNTIFS(#REF!,15,#REF!,15)</f>
        <v>#REF!</v>
      </c>
    </row>
    <row r="3" spans="1:26" ht="22.5" hidden="1" x14ac:dyDescent="0.25">
      <c r="A3" t="e">
        <f>#REF!</f>
        <v>#REF!</v>
      </c>
      <c r="B3" t="e">
        <f>#REF!</f>
        <v>#REF!</v>
      </c>
      <c r="C3" t="e">
        <f>#REF!</f>
        <v>#REF!</v>
      </c>
      <c r="D3" t="e">
        <f>#REF!</f>
        <v>#REF!</v>
      </c>
      <c r="E3" t="e">
        <f>#REF!</f>
        <v>#REF!</v>
      </c>
      <c r="G3" t="e">
        <f t="shared" si="1"/>
        <v>#REF!</v>
      </c>
      <c r="H3" t="e">
        <f t="shared" si="2"/>
        <v>#REF!</v>
      </c>
      <c r="I3" s="141" t="e">
        <f t="shared" si="3"/>
        <v>#REF!</v>
      </c>
      <c r="J3" t="e">
        <f t="shared" si="4"/>
        <v>#REF!</v>
      </c>
      <c r="K3" s="141" t="e">
        <f t="shared" si="5"/>
        <v>#REF!</v>
      </c>
      <c r="S3" s="62" t="s">
        <v>60</v>
      </c>
      <c r="T3" s="134" t="e">
        <f>COUNTIFS(#REF!,10,#REF!,0.1)</f>
        <v>#REF!</v>
      </c>
      <c r="U3" s="135" t="e">
        <f>COUNTIFS(#REF!,10,#REF!,0.5)</f>
        <v>#REF!</v>
      </c>
      <c r="V3" s="135" t="e">
        <f>COUNTIFS(#REF!,10,#REF!,1)</f>
        <v>#REF!</v>
      </c>
      <c r="W3" s="135" t="e">
        <f>COUNTIFS(#REF!,10,#REF!,2)</f>
        <v>#REF!</v>
      </c>
      <c r="X3" s="136" t="e">
        <f>COUNTIFS(#REF!,10,#REF!,4)</f>
        <v>#REF!</v>
      </c>
      <c r="Y3" s="136" t="e">
        <f>COUNTIFS(#REF!,10,#REF!,8)</f>
        <v>#REF!</v>
      </c>
      <c r="Z3" s="136" t="e">
        <f>COUNTIFS(#REF!,10,#REF!,15)</f>
        <v>#REF!</v>
      </c>
    </row>
    <row r="4" spans="1:26" hidden="1" x14ac:dyDescent="0.25">
      <c r="A4" t="e">
        <f>#REF!</f>
        <v>#REF!</v>
      </c>
      <c r="B4" t="e">
        <f>#REF!</f>
        <v>#REF!</v>
      </c>
      <c r="C4" t="e">
        <f>#REF!</f>
        <v>#REF!</v>
      </c>
      <c r="D4" t="e">
        <f>#REF!</f>
        <v>#REF!</v>
      </c>
      <c r="E4" t="e">
        <f>#REF!</f>
        <v>#REF!</v>
      </c>
      <c r="G4" t="e">
        <f t="shared" si="1"/>
        <v>#REF!</v>
      </c>
      <c r="H4" t="e">
        <f t="shared" si="2"/>
        <v>#REF!</v>
      </c>
      <c r="I4" s="141" t="e">
        <f t="shared" si="3"/>
        <v>#REF!</v>
      </c>
      <c r="J4" t="e">
        <f t="shared" si="4"/>
        <v>#REF!</v>
      </c>
      <c r="K4" s="141" t="e">
        <f t="shared" si="5"/>
        <v>#REF!</v>
      </c>
      <c r="S4" s="62" t="s">
        <v>57</v>
      </c>
      <c r="T4" s="134" t="e">
        <f>COUNTIFS(#REF!,8,#REF!,0.1)</f>
        <v>#REF!</v>
      </c>
      <c r="U4" s="134" t="e">
        <f>COUNTIFS(#REF!,8,#REF!,0.5)</f>
        <v>#REF!</v>
      </c>
      <c r="V4" s="135" t="e">
        <f>COUNTIFS(#REF!,8,#REF!,1)</f>
        <v>#REF!</v>
      </c>
      <c r="W4" s="135" t="e">
        <f>COUNTIFS(#REF!,8,#REF!,2)</f>
        <v>#REF!</v>
      </c>
      <c r="X4" s="136" t="e">
        <f>COUNTIFS(#REF!,8,#REF!,4)</f>
        <v>#REF!</v>
      </c>
      <c r="Y4" s="136" t="e">
        <f>COUNTIFS(#REF!,8,#REF!,8)</f>
        <v>#REF!</v>
      </c>
      <c r="Z4" s="136" t="e">
        <f>COUNTIFS(#REF!,8,#REF!,15)</f>
        <v>#REF!</v>
      </c>
    </row>
    <row r="5" spans="1:26" ht="33.75" hidden="1" x14ac:dyDescent="0.25">
      <c r="A5" t="e">
        <f>#REF!</f>
        <v>#REF!</v>
      </c>
      <c r="B5" t="e">
        <f>#REF!</f>
        <v>#REF!</v>
      </c>
      <c r="C5" t="e">
        <f>#REF!</f>
        <v>#REF!</v>
      </c>
      <c r="D5" t="e">
        <f>#REF!</f>
        <v>#REF!</v>
      </c>
      <c r="E5" t="e">
        <f>#REF!</f>
        <v>#REF!</v>
      </c>
      <c r="G5" t="e">
        <f t="shared" si="1"/>
        <v>#REF!</v>
      </c>
      <c r="H5" t="e">
        <f t="shared" si="2"/>
        <v>#REF!</v>
      </c>
      <c r="I5" s="141" t="e">
        <f t="shared" si="3"/>
        <v>#REF!</v>
      </c>
      <c r="J5" t="e">
        <f t="shared" si="4"/>
        <v>#REF!</v>
      </c>
      <c r="K5" s="141" t="e">
        <f t="shared" si="5"/>
        <v>#REF!</v>
      </c>
      <c r="S5" s="62" t="s">
        <v>54</v>
      </c>
      <c r="T5" s="134" t="e">
        <f>COUNTIFS(#REF!,5,#REF!,0.1)</f>
        <v>#REF!</v>
      </c>
      <c r="U5" s="134" t="e">
        <f>COUNTIFS(#REF!,5,#REF!,0.5)</f>
        <v>#REF!</v>
      </c>
      <c r="V5" s="135" t="e">
        <f>COUNTIFS(#REF!,5,#REF!,1)</f>
        <v>#REF!</v>
      </c>
      <c r="W5" s="135" t="e">
        <f>COUNTIFS(#REF!,5,#REF!,2)</f>
        <v>#REF!</v>
      </c>
      <c r="X5" s="135" t="e">
        <f>COUNTIFS(#REF!,5,#REF!,4)</f>
        <v>#REF!</v>
      </c>
      <c r="Y5" s="136" t="e">
        <f>COUNTIFS(#REF!,5,#REF!,8)</f>
        <v>#REF!</v>
      </c>
      <c r="Z5" s="136" t="e">
        <f>COUNTIFS(#REF!,5,#REF!,15)</f>
        <v>#REF!</v>
      </c>
    </row>
    <row r="6" spans="1:26" x14ac:dyDescent="0.25">
      <c r="A6" t="e">
        <f>#REF!</f>
        <v>#REF!</v>
      </c>
      <c r="B6" t="e">
        <f>#REF!</f>
        <v>#REF!</v>
      </c>
      <c r="C6" t="e">
        <f>#REF!</f>
        <v>#REF!</v>
      </c>
      <c r="D6" t="e">
        <f>#REF!</f>
        <v>#REF!</v>
      </c>
      <c r="E6" t="e">
        <f>#REF!</f>
        <v>#REF!</v>
      </c>
      <c r="G6" t="e">
        <f t="shared" si="1"/>
        <v>#REF!</v>
      </c>
      <c r="H6" t="e">
        <f t="shared" si="2"/>
        <v>#REF!</v>
      </c>
      <c r="I6" t="e">
        <f t="shared" si="3"/>
        <v>#REF!</v>
      </c>
      <c r="J6" t="e">
        <f t="shared" si="4"/>
        <v>#REF!</v>
      </c>
      <c r="K6" t="e">
        <f t="shared" si="5"/>
        <v>#REF!</v>
      </c>
      <c r="S6" s="62" t="s">
        <v>51</v>
      </c>
      <c r="T6" s="139" t="e">
        <f>COUNTIFS(#REF!,2,#REF!,0.1)</f>
        <v>#REF!</v>
      </c>
      <c r="U6" s="142" t="e">
        <f>COUNTIFS(#REF!,2,#REF!,0.5)</f>
        <v>#REF!</v>
      </c>
      <c r="V6" s="142" t="e">
        <f>COUNTIFS(#REF!,2,#REF!,1)</f>
        <v>#REF!</v>
      </c>
      <c r="W6" s="142" t="e">
        <f>COUNTIFS(#REF!,2,#REF!,2)</f>
        <v>#REF!</v>
      </c>
      <c r="X6" s="143" t="e">
        <f>COUNTIFS(#REF!,2,#REF!,4)</f>
        <v>#REF!</v>
      </c>
      <c r="Y6" s="143" t="e">
        <f>COUNTIFS(#REF!,2,#REF!,8)</f>
        <v>#REF!</v>
      </c>
      <c r="Z6" s="144" t="e">
        <f>COUNTIFS(#REF!,2,#REF!,15)</f>
        <v>#REF!</v>
      </c>
    </row>
    <row r="7" spans="1:26" hidden="1" x14ac:dyDescent="0.25">
      <c r="A7" t="e">
        <f>#REF!</f>
        <v>#REF!</v>
      </c>
      <c r="B7" t="e">
        <f>#REF!</f>
        <v>#REF!</v>
      </c>
      <c r="C7" t="e">
        <f>#REF!</f>
        <v>#REF!</v>
      </c>
      <c r="D7" t="e">
        <f>#REF!</f>
        <v>#REF!</v>
      </c>
      <c r="E7" t="e">
        <f>#REF!</f>
        <v>#REF!</v>
      </c>
      <c r="G7" t="e">
        <f t="shared" si="1"/>
        <v>#REF!</v>
      </c>
      <c r="H7" t="e">
        <f t="shared" si="2"/>
        <v>#REF!</v>
      </c>
      <c r="I7" s="140" t="e">
        <f t="shared" si="3"/>
        <v>#REF!</v>
      </c>
      <c r="J7" t="e">
        <f t="shared" si="4"/>
        <v>#REF!</v>
      </c>
      <c r="K7" s="140" t="e">
        <f t="shared" si="5"/>
        <v>#REF!</v>
      </c>
      <c r="S7" s="62" t="s">
        <v>48</v>
      </c>
      <c r="T7" s="137" t="e">
        <f>COUNTIFS(#REF!,1,#REF!,0.1)</f>
        <v>#REF!</v>
      </c>
      <c r="U7" s="134" t="e">
        <f>COUNTIFS(#REF!,1,#REF!,0.5)</f>
        <v>#REF!</v>
      </c>
      <c r="V7" s="134" t="e">
        <f>COUNTIFS(#REF!,1,#REF!,1)</f>
        <v>#REF!</v>
      </c>
      <c r="W7" s="134" t="e">
        <f>COUNTIFS(#REF!,1,#REF!,2)</f>
        <v>#REF!</v>
      </c>
      <c r="X7" s="134" t="e">
        <f>COUNTIFS(#REF!,1,#REF!,4)</f>
        <v>#REF!</v>
      </c>
      <c r="Y7" s="135" t="e">
        <f>COUNTIFS(#REF!,1,#REF!,8)</f>
        <v>#REF!</v>
      </c>
      <c r="Z7" s="135" t="e">
        <f>COUNTIFS(#REF!,1,#REF!,15)</f>
        <v>#REF!</v>
      </c>
    </row>
    <row r="8" spans="1:26" ht="22.5" hidden="1" x14ac:dyDescent="0.25">
      <c r="A8" t="e">
        <f>#REF!</f>
        <v>#REF!</v>
      </c>
      <c r="B8" t="e">
        <f>#REF!</f>
        <v>#REF!</v>
      </c>
      <c r="C8" t="e">
        <f>#REF!</f>
        <v>#REF!</v>
      </c>
      <c r="D8" t="e">
        <f>#REF!</f>
        <v>#REF!</v>
      </c>
      <c r="E8" t="e">
        <f>#REF!</f>
        <v>#REF!</v>
      </c>
      <c r="G8" t="e">
        <f t="shared" si="1"/>
        <v>#REF!</v>
      </c>
      <c r="H8" t="e">
        <f t="shared" si="2"/>
        <v>#REF!</v>
      </c>
      <c r="I8" s="140" t="e">
        <f t="shared" si="3"/>
        <v>#REF!</v>
      </c>
      <c r="J8" t="e">
        <f t="shared" si="4"/>
        <v>#REF!</v>
      </c>
      <c r="K8" s="140" t="e">
        <f t="shared" si="5"/>
        <v>#REF!</v>
      </c>
      <c r="S8" s="62" t="s">
        <v>45</v>
      </c>
      <c r="T8" s="137" t="e">
        <f>COUNTIFS(#REF!,0.5,#REF!,0.1)</f>
        <v>#REF!</v>
      </c>
      <c r="U8" s="137" t="e">
        <f>COUNTIFS(#REF!,0.5,#REF!,0.5)</f>
        <v>#REF!</v>
      </c>
      <c r="V8" s="134" t="e">
        <f>COUNTIFS(#REF!,0.5,#REF!,1)</f>
        <v>#REF!</v>
      </c>
      <c r="W8" s="134" t="e">
        <f>COUNTIFS(#REF!,0.5,#REF!,2)</f>
        <v>#REF!</v>
      </c>
      <c r="X8" s="134" t="e">
        <f>COUNTIFS(#REF!,0.5,#REF!,4)</f>
        <v>#REF!</v>
      </c>
      <c r="Y8" s="134" t="e">
        <f>COUNTIFS(#REF!,0.5,#REF!,8)</f>
        <v>#REF!</v>
      </c>
      <c r="Z8" s="135" t="e">
        <f>COUNTIFS(#REF!,0.5,#REF!,15)</f>
        <v>#REF!</v>
      </c>
    </row>
    <row r="9" spans="1:26" ht="22.5" hidden="1" x14ac:dyDescent="0.25">
      <c r="A9" t="e">
        <f>#REF!</f>
        <v>#REF!</v>
      </c>
      <c r="B9" t="e">
        <f>#REF!</f>
        <v>#REF!</v>
      </c>
      <c r="C9" t="e">
        <f>#REF!</f>
        <v>#REF!</v>
      </c>
      <c r="D9" t="e">
        <f>#REF!</f>
        <v>#REF!</v>
      </c>
      <c r="E9" t="e">
        <f>#REF!</f>
        <v>#REF!</v>
      </c>
      <c r="G9" t="e">
        <f t="shared" si="1"/>
        <v>#REF!</v>
      </c>
      <c r="H9" t="e">
        <f t="shared" si="2"/>
        <v>#REF!</v>
      </c>
      <c r="I9" s="140" t="e">
        <f t="shared" si="3"/>
        <v>#REF!</v>
      </c>
      <c r="J9" t="e">
        <f t="shared" si="4"/>
        <v>#REF!</v>
      </c>
      <c r="K9" s="140" t="e">
        <f t="shared" si="5"/>
        <v>#REF!</v>
      </c>
      <c r="S9" s="62" t="s">
        <v>42</v>
      </c>
      <c r="T9" s="137" t="e">
        <f>COUNTIFS(#REF!,0.1,#REF!,0.1)</f>
        <v>#REF!</v>
      </c>
      <c r="U9" s="137" t="e">
        <f>COUNTIFS(#REF!,0.1,#REF!,0.5)</f>
        <v>#REF!</v>
      </c>
      <c r="V9" s="137" t="e">
        <f>COUNTIFS(#REF!,0.1,#REF!,1)</f>
        <v>#REF!</v>
      </c>
      <c r="W9" s="137" t="e">
        <f>COUNTIFS(#REF!,0.1,#REF!,2)</f>
        <v>#REF!</v>
      </c>
      <c r="X9" s="134" t="e">
        <f>COUNTIFS(#REF!,0.1,#REF!,4)</f>
        <v>#REF!</v>
      </c>
      <c r="Y9" s="134" t="e">
        <f>COUNTIFS(#REF!,0.1,#REF!,8)</f>
        <v>#REF!</v>
      </c>
      <c r="Z9" s="134" t="e">
        <f>COUNTIFS(#REF!,0.1,#REF!,15)</f>
        <v>#REF!</v>
      </c>
    </row>
    <row r="10" spans="1:26" hidden="1" x14ac:dyDescent="0.25">
      <c r="A10" t="e">
        <f>#REF!</f>
        <v>#REF!</v>
      </c>
      <c r="B10" t="e">
        <f>#REF!</f>
        <v>#REF!</v>
      </c>
      <c r="C10" t="e">
        <f>#REF!</f>
        <v>#REF!</v>
      </c>
      <c r="D10" t="e">
        <f>#REF!</f>
        <v>#REF!</v>
      </c>
      <c r="E10" t="e">
        <f>#REF!</f>
        <v>#REF!</v>
      </c>
      <c r="G10" t="e">
        <f t="shared" si="1"/>
        <v>#REF!</v>
      </c>
      <c r="H10" t="e">
        <f t="shared" si="2"/>
        <v>#REF!</v>
      </c>
      <c r="I10" s="140" t="e">
        <f t="shared" si="3"/>
        <v>#REF!</v>
      </c>
      <c r="J10" t="e">
        <f t="shared" si="4"/>
        <v>#REF!</v>
      </c>
      <c r="K10" s="140" t="e">
        <f t="shared" si="5"/>
        <v>#REF!</v>
      </c>
      <c r="S10" s="62" t="s">
        <v>39</v>
      </c>
      <c r="T10" s="137">
        <f>COUNTIFS(Table2[Valor PA],0,Table2[Valor GA],0.1)</f>
        <v>0</v>
      </c>
      <c r="U10" s="137" t="e">
        <f>COUNTIFS(#REF!,0,#REF!,0.5)</f>
        <v>#REF!</v>
      </c>
      <c r="V10" s="137" t="e">
        <f>COUNTIFS(#REF!,0,#REF!,1)</f>
        <v>#REF!</v>
      </c>
      <c r="W10" s="137" t="e">
        <f>COUNTIFS(#REF!,0,#REF!,2)</f>
        <v>#REF!</v>
      </c>
      <c r="X10" s="137" t="e">
        <f>COUNTIFS(#REF!,0,#REF!,4)</f>
        <v>#REF!</v>
      </c>
      <c r="Y10" s="137" t="e">
        <f>COUNTIFS(#REF!,0,#REF!,8)</f>
        <v>#REF!</v>
      </c>
      <c r="Z10" s="134" t="e">
        <f>COUNTIFS(#REF!,0,#REF!,15)</f>
        <v>#REF!</v>
      </c>
    </row>
    <row r="11" spans="1:26" ht="112.5" hidden="1" x14ac:dyDescent="0.25">
      <c r="A11" t="e">
        <f>#REF!</f>
        <v>#REF!</v>
      </c>
      <c r="B11" t="e">
        <f>#REF!</f>
        <v>#REF!</v>
      </c>
      <c r="C11" t="e">
        <f>#REF!</f>
        <v>#REF!</v>
      </c>
      <c r="D11" t="e">
        <f>#REF!</f>
        <v>#REF!</v>
      </c>
      <c r="E11" t="e">
        <f>#REF!</f>
        <v>#REF!</v>
      </c>
      <c r="G11" t="e">
        <f t="shared" si="1"/>
        <v>#REF!</v>
      </c>
      <c r="H11" t="e">
        <f t="shared" si="2"/>
        <v>#REF!</v>
      </c>
      <c r="I11" s="140" t="e">
        <f t="shared" si="3"/>
        <v>#REF!</v>
      </c>
      <c r="J11" t="e">
        <f t="shared" si="4"/>
        <v>#REF!</v>
      </c>
      <c r="K11" s="140" t="e">
        <f t="shared" si="5"/>
        <v>#REF!</v>
      </c>
      <c r="T11" s="62" t="s">
        <v>66</v>
      </c>
      <c r="U11" s="62" t="s">
        <v>68</v>
      </c>
      <c r="V11" s="62" t="s">
        <v>70</v>
      </c>
      <c r="W11" s="62" t="s">
        <v>72</v>
      </c>
      <c r="X11" s="62" t="s">
        <v>74</v>
      </c>
      <c r="Y11" s="62" t="s">
        <v>76</v>
      </c>
      <c r="Z11" s="62" t="s">
        <v>78</v>
      </c>
    </row>
    <row r="12" spans="1:26" hidden="1" x14ac:dyDescent="0.25">
      <c r="A12" t="e">
        <f>#REF!</f>
        <v>#REF!</v>
      </c>
      <c r="B12" t="e">
        <f>#REF!</f>
        <v>#REF!</v>
      </c>
      <c r="C12" t="e">
        <f>#REF!</f>
        <v>#REF!</v>
      </c>
      <c r="D12" t="e">
        <f>#REF!</f>
        <v>#REF!</v>
      </c>
      <c r="E12" t="e">
        <f>#REF!</f>
        <v>#REF!</v>
      </c>
      <c r="G12" t="e">
        <f t="shared" si="1"/>
        <v>#REF!</v>
      </c>
      <c r="H12" t="e">
        <f t="shared" si="2"/>
        <v>#REF!</v>
      </c>
      <c r="I12" s="140" t="e">
        <f t="shared" si="3"/>
        <v>#REF!</v>
      </c>
      <c r="J12" t="e">
        <f t="shared" si="4"/>
        <v>#REF!</v>
      </c>
      <c r="K12" s="140" t="e">
        <f t="shared" si="5"/>
        <v>#REF!</v>
      </c>
      <c r="T12" s="133">
        <v>0.1</v>
      </c>
      <c r="U12" s="133">
        <v>0.5</v>
      </c>
      <c r="V12" s="133">
        <v>1</v>
      </c>
      <c r="W12" s="133">
        <v>2</v>
      </c>
      <c r="X12" s="133">
        <v>4</v>
      </c>
      <c r="Y12" s="133">
        <v>8</v>
      </c>
      <c r="Z12" s="133">
        <v>15</v>
      </c>
    </row>
    <row r="13" spans="1:26" hidden="1" x14ac:dyDescent="0.25">
      <c r="A13" t="e">
        <f>#REF!</f>
        <v>#REF!</v>
      </c>
      <c r="B13" t="e">
        <f>#REF!</f>
        <v>#REF!</v>
      </c>
      <c r="C13" t="e">
        <f>#REF!</f>
        <v>#REF!</v>
      </c>
      <c r="D13" t="e">
        <f>#REF!</f>
        <v>#REF!</v>
      </c>
      <c r="E13" t="e">
        <f>#REF!</f>
        <v>#REF!</v>
      </c>
      <c r="G13" t="e">
        <f t="shared" si="1"/>
        <v>#REF!</v>
      </c>
      <c r="H13" t="e">
        <f t="shared" si="2"/>
        <v>#REF!</v>
      </c>
      <c r="I13" s="140" t="e">
        <f t="shared" si="3"/>
        <v>#REF!</v>
      </c>
      <c r="J13" t="e">
        <f t="shared" si="4"/>
        <v>#REF!</v>
      </c>
      <c r="K13" s="140" t="e">
        <f t="shared" si="5"/>
        <v>#REF!</v>
      </c>
    </row>
    <row r="14" spans="1:26" hidden="1" x14ac:dyDescent="0.25">
      <c r="A14" t="e">
        <f>#REF!</f>
        <v>#REF!</v>
      </c>
      <c r="B14" t="e">
        <f>#REF!</f>
        <v>#REF!</v>
      </c>
      <c r="C14" t="e">
        <f>#REF!</f>
        <v>#REF!</v>
      </c>
      <c r="D14" t="e">
        <f>#REF!</f>
        <v>#REF!</v>
      </c>
      <c r="E14" t="e">
        <f>#REF!</f>
        <v>#REF!</v>
      </c>
      <c r="G14" t="e">
        <f t="shared" si="1"/>
        <v>#REF!</v>
      </c>
      <c r="H14" t="e">
        <f t="shared" si="2"/>
        <v>#REF!</v>
      </c>
      <c r="I14" s="140" t="e">
        <f t="shared" si="3"/>
        <v>#REF!</v>
      </c>
      <c r="J14" t="e">
        <f t="shared" si="4"/>
        <v>#REF!</v>
      </c>
      <c r="K14" s="140" t="e">
        <f t="shared" si="5"/>
        <v>#REF!</v>
      </c>
    </row>
    <row r="15" spans="1:26" hidden="1" x14ac:dyDescent="0.25">
      <c r="A15" t="e">
        <f>#REF!</f>
        <v>#REF!</v>
      </c>
      <c r="B15" t="e">
        <f>#REF!</f>
        <v>#REF!</v>
      </c>
      <c r="C15" t="e">
        <f>#REF!</f>
        <v>#REF!</v>
      </c>
      <c r="D15" t="e">
        <f>#REF!</f>
        <v>#REF!</v>
      </c>
      <c r="E15" t="e">
        <f>#REF!</f>
        <v>#REF!</v>
      </c>
      <c r="G15" t="e">
        <f t="shared" si="1"/>
        <v>#REF!</v>
      </c>
      <c r="H15" t="e">
        <f t="shared" si="2"/>
        <v>#REF!</v>
      </c>
      <c r="I15" s="140" t="e">
        <f t="shared" si="3"/>
        <v>#REF!</v>
      </c>
      <c r="J15" t="e">
        <f t="shared" si="4"/>
        <v>#REF!</v>
      </c>
      <c r="K15" s="140" t="e">
        <f t="shared" si="5"/>
        <v>#REF!</v>
      </c>
    </row>
    <row r="16" spans="1:26" hidden="1" x14ac:dyDescent="0.25">
      <c r="A16" t="e">
        <f>#REF!</f>
        <v>#REF!</v>
      </c>
      <c r="B16" t="e">
        <f>#REF!</f>
        <v>#REF!</v>
      </c>
      <c r="C16" t="e">
        <f>#REF!</f>
        <v>#REF!</v>
      </c>
      <c r="D16" t="e">
        <f>#REF!</f>
        <v>#REF!</v>
      </c>
      <c r="E16" t="e">
        <f>#REF!</f>
        <v>#REF!</v>
      </c>
      <c r="G16" t="e">
        <f t="shared" si="1"/>
        <v>#REF!</v>
      </c>
      <c r="H16" t="e">
        <f t="shared" si="2"/>
        <v>#REF!</v>
      </c>
      <c r="I16" s="140" t="e">
        <f t="shared" si="3"/>
        <v>#REF!</v>
      </c>
      <c r="J16" t="e">
        <f t="shared" si="4"/>
        <v>#REF!</v>
      </c>
      <c r="K16" s="140" t="e">
        <f t="shared" si="5"/>
        <v>#REF!</v>
      </c>
    </row>
    <row r="17" spans="1:11" hidden="1" x14ac:dyDescent="0.25">
      <c r="A17" t="e">
        <f>#REF!</f>
        <v>#REF!</v>
      </c>
      <c r="B17" t="e">
        <f>#REF!</f>
        <v>#REF!</v>
      </c>
      <c r="C17" t="e">
        <f>#REF!</f>
        <v>#REF!</v>
      </c>
      <c r="D17" t="e">
        <f>#REF!</f>
        <v>#REF!</v>
      </c>
      <c r="E17" t="e">
        <f>#REF!</f>
        <v>#REF!</v>
      </c>
      <c r="G17" t="e">
        <f t="shared" si="1"/>
        <v>#REF!</v>
      </c>
      <c r="H17" t="e">
        <f t="shared" si="2"/>
        <v>#REF!</v>
      </c>
      <c r="I17" s="140" t="e">
        <f t="shared" si="3"/>
        <v>#REF!</v>
      </c>
      <c r="J17" t="e">
        <f t="shared" si="4"/>
        <v>#REF!</v>
      </c>
      <c r="K17" s="140" t="e">
        <f t="shared" si="5"/>
        <v>#REF!</v>
      </c>
    </row>
    <row r="18" spans="1:11" hidden="1" x14ac:dyDescent="0.25">
      <c r="A18" t="e">
        <f>#REF!</f>
        <v>#REF!</v>
      </c>
      <c r="B18" t="e">
        <f>#REF!</f>
        <v>#REF!</v>
      </c>
      <c r="C18" t="e">
        <f>#REF!</f>
        <v>#REF!</v>
      </c>
      <c r="D18" t="e">
        <f>#REF!</f>
        <v>#REF!</v>
      </c>
      <c r="E18" t="e">
        <f>#REF!</f>
        <v>#REF!</v>
      </c>
      <c r="G18" t="e">
        <f t="shared" si="1"/>
        <v>#REF!</v>
      </c>
      <c r="H18" t="e">
        <f t="shared" si="2"/>
        <v>#REF!</v>
      </c>
      <c r="I18" s="140" t="e">
        <f t="shared" si="3"/>
        <v>#REF!</v>
      </c>
      <c r="J18" t="e">
        <f t="shared" si="4"/>
        <v>#REF!</v>
      </c>
      <c r="K18" s="140" t="e">
        <f t="shared" si="5"/>
        <v>#REF!</v>
      </c>
    </row>
    <row r="19" spans="1:11" hidden="1" x14ac:dyDescent="0.25">
      <c r="A19" t="e">
        <f>#REF!</f>
        <v>#REF!</v>
      </c>
      <c r="B19" t="e">
        <f>#REF!</f>
        <v>#REF!</v>
      </c>
      <c r="C19" t="e">
        <f>#REF!</f>
        <v>#REF!</v>
      </c>
      <c r="D19" t="e">
        <f>#REF!</f>
        <v>#REF!</v>
      </c>
      <c r="E19" t="e">
        <f>#REF!</f>
        <v>#REF!</v>
      </c>
      <c r="G19" t="e">
        <f t="shared" si="1"/>
        <v>#REF!</v>
      </c>
      <c r="H19" t="e">
        <f t="shared" si="2"/>
        <v>#REF!</v>
      </c>
      <c r="I19" s="140" t="e">
        <f t="shared" si="3"/>
        <v>#REF!</v>
      </c>
      <c r="J19" t="e">
        <f t="shared" si="4"/>
        <v>#REF!</v>
      </c>
      <c r="K19" s="140" t="e">
        <f t="shared" si="5"/>
        <v>#REF!</v>
      </c>
    </row>
    <row r="20" spans="1:11" hidden="1" x14ac:dyDescent="0.25">
      <c r="A20" t="e">
        <f>#REF!</f>
        <v>#REF!</v>
      </c>
      <c r="B20" t="e">
        <f>#REF!</f>
        <v>#REF!</v>
      </c>
      <c r="C20" t="e">
        <f>#REF!</f>
        <v>#REF!</v>
      </c>
      <c r="D20" t="e">
        <f>#REF!</f>
        <v>#REF!</v>
      </c>
      <c r="E20" t="e">
        <f>#REF!</f>
        <v>#REF!</v>
      </c>
      <c r="G20" t="e">
        <f t="shared" si="1"/>
        <v>#REF!</v>
      </c>
      <c r="H20" t="e">
        <f t="shared" si="2"/>
        <v>#REF!</v>
      </c>
      <c r="I20" s="140" t="e">
        <f t="shared" si="3"/>
        <v>#REF!</v>
      </c>
      <c r="J20" t="e">
        <f t="shared" si="4"/>
        <v>#REF!</v>
      </c>
      <c r="K20" s="140" t="e">
        <f t="shared" si="5"/>
        <v>#REF!</v>
      </c>
    </row>
    <row r="21" spans="1:11" hidden="1" x14ac:dyDescent="0.25">
      <c r="A21" t="e">
        <f>#REF!</f>
        <v>#REF!</v>
      </c>
      <c r="B21" t="e">
        <f>#REF!</f>
        <v>#REF!</v>
      </c>
      <c r="C21" t="e">
        <f>#REF!</f>
        <v>#REF!</v>
      </c>
      <c r="D21" t="e">
        <f>#REF!</f>
        <v>#REF!</v>
      </c>
      <c r="E21" t="e">
        <f>#REF!</f>
        <v>#REF!</v>
      </c>
      <c r="G21" t="e">
        <f t="shared" si="1"/>
        <v>#REF!</v>
      </c>
      <c r="H21" t="e">
        <f t="shared" si="2"/>
        <v>#REF!</v>
      </c>
      <c r="I21" s="140" t="e">
        <f t="shared" si="3"/>
        <v>#REF!</v>
      </c>
      <c r="J21" t="e">
        <f t="shared" si="4"/>
        <v>#REF!</v>
      </c>
      <c r="K21" s="140" t="e">
        <f t="shared" si="5"/>
        <v>#REF!</v>
      </c>
    </row>
    <row r="22" spans="1:11" hidden="1" x14ac:dyDescent="0.25">
      <c r="A22" t="e">
        <f>#REF!</f>
        <v>#REF!</v>
      </c>
      <c r="B22" t="e">
        <f>#REF!</f>
        <v>#REF!</v>
      </c>
      <c r="C22" t="e">
        <f>#REF!</f>
        <v>#REF!</v>
      </c>
      <c r="D22" t="e">
        <f>#REF!</f>
        <v>#REF!</v>
      </c>
      <c r="E22" t="e">
        <f>#REF!</f>
        <v>#REF!</v>
      </c>
      <c r="G22" t="e">
        <f t="shared" si="1"/>
        <v>#REF!</v>
      </c>
      <c r="H22" t="e">
        <f t="shared" si="2"/>
        <v>#REF!</v>
      </c>
      <c r="I22" s="140" t="e">
        <f t="shared" si="3"/>
        <v>#REF!</v>
      </c>
      <c r="J22" t="e">
        <f t="shared" si="4"/>
        <v>#REF!</v>
      </c>
      <c r="K22" s="140" t="e">
        <f t="shared" si="5"/>
        <v>#REF!</v>
      </c>
    </row>
    <row r="23" spans="1:11" x14ac:dyDescent="0.25">
      <c r="A23" t="e">
        <f>#REF!</f>
        <v>#REF!</v>
      </c>
      <c r="B23" t="e">
        <f>#REF!</f>
        <v>#REF!</v>
      </c>
      <c r="C23" t="e">
        <f>#REF!</f>
        <v>#REF!</v>
      </c>
      <c r="D23" t="e">
        <f>#REF!</f>
        <v>#REF!</v>
      </c>
      <c r="E23" t="e">
        <f>#REF!</f>
        <v>#REF!</v>
      </c>
      <c r="G23" t="e">
        <f t="shared" si="1"/>
        <v>#REF!</v>
      </c>
      <c r="H23" t="e">
        <f t="shared" si="2"/>
        <v>#REF!</v>
      </c>
      <c r="I23" t="e">
        <f t="shared" si="3"/>
        <v>#REF!</v>
      </c>
      <c r="J23" t="e">
        <f t="shared" si="4"/>
        <v>#REF!</v>
      </c>
      <c r="K23" t="e">
        <f t="shared" si="5"/>
        <v>#REF!</v>
      </c>
    </row>
    <row r="24" spans="1:11" hidden="1" x14ac:dyDescent="0.25">
      <c r="A24" t="e">
        <f>#REF!</f>
        <v>#REF!</v>
      </c>
      <c r="B24" t="e">
        <f>#REF!</f>
        <v>#REF!</v>
      </c>
      <c r="C24" t="e">
        <f>#REF!</f>
        <v>#REF!</v>
      </c>
      <c r="D24" t="e">
        <f>#REF!</f>
        <v>#REF!</v>
      </c>
      <c r="E24" t="e">
        <f>#REF!</f>
        <v>#REF!</v>
      </c>
      <c r="G24" t="e">
        <f t="shared" si="1"/>
        <v>#REF!</v>
      </c>
      <c r="H24" t="e">
        <f t="shared" si="2"/>
        <v>#REF!</v>
      </c>
      <c r="I24" s="140" t="e">
        <f t="shared" si="3"/>
        <v>#REF!</v>
      </c>
      <c r="J24" t="e">
        <f t="shared" si="4"/>
        <v>#REF!</v>
      </c>
      <c r="K24" s="140" t="e">
        <f t="shared" si="5"/>
        <v>#REF!</v>
      </c>
    </row>
    <row r="25" spans="1:11" hidden="1" x14ac:dyDescent="0.25">
      <c r="A25" t="e">
        <f>#REF!</f>
        <v>#REF!</v>
      </c>
      <c r="B25" t="e">
        <f>#REF!</f>
        <v>#REF!</v>
      </c>
      <c r="C25" t="e">
        <f>#REF!</f>
        <v>#REF!</v>
      </c>
      <c r="D25" t="e">
        <f>#REF!</f>
        <v>#REF!</v>
      </c>
      <c r="E25" t="e">
        <f>#REF!</f>
        <v>#REF!</v>
      </c>
      <c r="G25" t="e">
        <f t="shared" si="1"/>
        <v>#REF!</v>
      </c>
      <c r="H25" t="e">
        <f t="shared" si="2"/>
        <v>#REF!</v>
      </c>
      <c r="I25" s="140" t="e">
        <f t="shared" si="3"/>
        <v>#REF!</v>
      </c>
      <c r="J25" t="e">
        <f t="shared" si="4"/>
        <v>#REF!</v>
      </c>
      <c r="K25" s="140" t="e">
        <f t="shared" si="5"/>
        <v>#REF!</v>
      </c>
    </row>
    <row r="26" spans="1:11" hidden="1" x14ac:dyDescent="0.25">
      <c r="A26" t="e">
        <f>#REF!</f>
        <v>#REF!</v>
      </c>
      <c r="B26" t="e">
        <f>#REF!</f>
        <v>#REF!</v>
      </c>
      <c r="C26" t="e">
        <f>#REF!</f>
        <v>#REF!</v>
      </c>
      <c r="D26" t="e">
        <f>#REF!</f>
        <v>#REF!</v>
      </c>
      <c r="E26" t="e">
        <f>#REF!</f>
        <v>#REF!</v>
      </c>
      <c r="G26" t="e">
        <f t="shared" si="1"/>
        <v>#REF!</v>
      </c>
      <c r="H26" t="e">
        <f t="shared" si="2"/>
        <v>#REF!</v>
      </c>
      <c r="I26" s="140" t="e">
        <f t="shared" si="3"/>
        <v>#REF!</v>
      </c>
      <c r="J26" t="e">
        <f t="shared" si="4"/>
        <v>#REF!</v>
      </c>
      <c r="K26" s="140" t="e">
        <f t="shared" si="5"/>
        <v>#REF!</v>
      </c>
    </row>
    <row r="27" spans="1:11" hidden="1" x14ac:dyDescent="0.25">
      <c r="A27" t="e">
        <f>#REF!</f>
        <v>#REF!</v>
      </c>
      <c r="B27" t="e">
        <f>#REF!</f>
        <v>#REF!</v>
      </c>
      <c r="C27" t="e">
        <f>#REF!</f>
        <v>#REF!</v>
      </c>
      <c r="D27" t="e">
        <f>#REF!</f>
        <v>#REF!</v>
      </c>
      <c r="E27" t="e">
        <f>#REF!</f>
        <v>#REF!</v>
      </c>
      <c r="G27" t="e">
        <f t="shared" si="1"/>
        <v>#REF!</v>
      </c>
      <c r="H27" t="e">
        <f t="shared" si="2"/>
        <v>#REF!</v>
      </c>
      <c r="I27" s="140" t="e">
        <f t="shared" si="3"/>
        <v>#REF!</v>
      </c>
      <c r="J27" t="e">
        <f t="shared" si="4"/>
        <v>#REF!</v>
      </c>
      <c r="K27" s="140" t="e">
        <f t="shared" si="5"/>
        <v>#REF!</v>
      </c>
    </row>
    <row r="28" spans="1:11" hidden="1" x14ac:dyDescent="0.25">
      <c r="A28" t="e">
        <f>#REF!</f>
        <v>#REF!</v>
      </c>
      <c r="B28" t="e">
        <f>#REF!</f>
        <v>#REF!</v>
      </c>
      <c r="C28" t="e">
        <f>#REF!</f>
        <v>#REF!</v>
      </c>
      <c r="D28" t="e">
        <f>#REF!</f>
        <v>#REF!</v>
      </c>
      <c r="E28" t="e">
        <f>#REF!</f>
        <v>#REF!</v>
      </c>
      <c r="G28" t="e">
        <f t="shared" si="1"/>
        <v>#REF!</v>
      </c>
      <c r="H28" t="e">
        <f t="shared" si="2"/>
        <v>#REF!</v>
      </c>
      <c r="I28" s="140" t="e">
        <f t="shared" si="3"/>
        <v>#REF!</v>
      </c>
      <c r="J28" t="e">
        <f t="shared" si="4"/>
        <v>#REF!</v>
      </c>
      <c r="K28" s="140" t="e">
        <f t="shared" si="5"/>
        <v>#REF!</v>
      </c>
    </row>
    <row r="29" spans="1:11" hidden="1" x14ac:dyDescent="0.25">
      <c r="A29" t="e">
        <f>#REF!</f>
        <v>#REF!</v>
      </c>
      <c r="B29" t="e">
        <f>#REF!</f>
        <v>#REF!</v>
      </c>
      <c r="C29" t="e">
        <f>#REF!</f>
        <v>#REF!</v>
      </c>
      <c r="D29" t="e">
        <f>#REF!</f>
        <v>#REF!</v>
      </c>
      <c r="E29" t="e">
        <f>#REF!</f>
        <v>#REF!</v>
      </c>
      <c r="G29" t="e">
        <f t="shared" si="1"/>
        <v>#REF!</v>
      </c>
      <c r="H29" t="e">
        <f t="shared" si="2"/>
        <v>#REF!</v>
      </c>
      <c r="I29" s="140" t="e">
        <f t="shared" si="3"/>
        <v>#REF!</v>
      </c>
      <c r="J29" t="e">
        <f t="shared" si="4"/>
        <v>#REF!</v>
      </c>
      <c r="K29" s="140" t="e">
        <f t="shared" si="5"/>
        <v>#REF!</v>
      </c>
    </row>
    <row r="30" spans="1:11" hidden="1" x14ac:dyDescent="0.25">
      <c r="A30" t="e">
        <f>#REF!</f>
        <v>#REF!</v>
      </c>
      <c r="B30" t="e">
        <f>#REF!</f>
        <v>#REF!</v>
      </c>
      <c r="C30" t="e">
        <f>#REF!</f>
        <v>#REF!</v>
      </c>
      <c r="D30" t="e">
        <f>#REF!</f>
        <v>#REF!</v>
      </c>
      <c r="E30" t="e">
        <f>#REF!</f>
        <v>#REF!</v>
      </c>
      <c r="G30" t="e">
        <f t="shared" si="1"/>
        <v>#REF!</v>
      </c>
      <c r="H30" t="e">
        <f t="shared" si="2"/>
        <v>#REF!</v>
      </c>
      <c r="I30" s="140" t="e">
        <f t="shared" si="3"/>
        <v>#REF!</v>
      </c>
      <c r="J30" t="e">
        <f t="shared" si="4"/>
        <v>#REF!</v>
      </c>
      <c r="K30" s="140" t="e">
        <f t="shared" si="5"/>
        <v>#REF!</v>
      </c>
    </row>
    <row r="31" spans="1:11" hidden="1" x14ac:dyDescent="0.25">
      <c r="A31" t="e">
        <f>#REF!</f>
        <v>#REF!</v>
      </c>
      <c r="B31" t="e">
        <f>#REF!</f>
        <v>#REF!</v>
      </c>
      <c r="C31" t="e">
        <f>#REF!</f>
        <v>#REF!</v>
      </c>
      <c r="D31" t="e">
        <f>#REF!</f>
        <v>#REF!</v>
      </c>
      <c r="E31" t="e">
        <f>#REF!</f>
        <v>#REF!</v>
      </c>
      <c r="G31" t="e">
        <f t="shared" si="1"/>
        <v>#REF!</v>
      </c>
      <c r="H31" t="e">
        <f t="shared" si="2"/>
        <v>#REF!</v>
      </c>
      <c r="I31" s="140" t="e">
        <f t="shared" si="3"/>
        <v>#REF!</v>
      </c>
      <c r="J31" t="e">
        <f t="shared" si="4"/>
        <v>#REF!</v>
      </c>
      <c r="K31" s="140" t="e">
        <f t="shared" si="5"/>
        <v>#REF!</v>
      </c>
    </row>
    <row r="32" spans="1:11" hidden="1" x14ac:dyDescent="0.25">
      <c r="A32" t="e">
        <f>#REF!</f>
        <v>#REF!</v>
      </c>
      <c r="B32" t="e">
        <f>#REF!</f>
        <v>#REF!</v>
      </c>
      <c r="C32" t="e">
        <f>#REF!</f>
        <v>#REF!</v>
      </c>
      <c r="D32" t="e">
        <f>#REF!</f>
        <v>#REF!</v>
      </c>
      <c r="E32" t="e">
        <f>#REF!</f>
        <v>#REF!</v>
      </c>
      <c r="G32" t="e">
        <f t="shared" si="1"/>
        <v>#REF!</v>
      </c>
      <c r="H32" t="e">
        <f t="shared" si="2"/>
        <v>#REF!</v>
      </c>
      <c r="I32" s="140" t="e">
        <f t="shared" si="3"/>
        <v>#REF!</v>
      </c>
      <c r="J32" t="e">
        <f t="shared" si="4"/>
        <v>#REF!</v>
      </c>
      <c r="K32" s="140" t="e">
        <f t="shared" si="5"/>
        <v>#REF!</v>
      </c>
    </row>
    <row r="33" spans="1:11" hidden="1" x14ac:dyDescent="0.25">
      <c r="A33" t="e">
        <f>#REF!</f>
        <v>#REF!</v>
      </c>
      <c r="B33" t="e">
        <f>#REF!</f>
        <v>#REF!</v>
      </c>
      <c r="C33" t="e">
        <f>#REF!</f>
        <v>#REF!</v>
      </c>
      <c r="D33" t="e">
        <f>#REF!</f>
        <v>#REF!</v>
      </c>
      <c r="E33" t="e">
        <f>#REF!</f>
        <v>#REF!</v>
      </c>
      <c r="G33" t="e">
        <f t="shared" si="1"/>
        <v>#REF!</v>
      </c>
      <c r="H33" t="e">
        <f t="shared" si="2"/>
        <v>#REF!</v>
      </c>
      <c r="I33" s="140" t="e">
        <f t="shared" si="3"/>
        <v>#REF!</v>
      </c>
      <c r="J33" t="e">
        <f t="shared" si="4"/>
        <v>#REF!</v>
      </c>
      <c r="K33" s="140" t="e">
        <f t="shared" si="5"/>
        <v>#REF!</v>
      </c>
    </row>
    <row r="34" spans="1:11" hidden="1" x14ac:dyDescent="0.25">
      <c r="A34" t="e">
        <f>#REF!</f>
        <v>#REF!</v>
      </c>
      <c r="B34" t="e">
        <f>#REF!</f>
        <v>#REF!</v>
      </c>
      <c r="C34" t="e">
        <f>#REF!</f>
        <v>#REF!</v>
      </c>
      <c r="D34" t="e">
        <f>#REF!</f>
        <v>#REF!</v>
      </c>
      <c r="E34" t="e">
        <f>#REF!</f>
        <v>#REF!</v>
      </c>
      <c r="G34" t="e">
        <f t="shared" si="1"/>
        <v>#REF!</v>
      </c>
      <c r="H34" t="e">
        <f t="shared" si="2"/>
        <v>#REF!</v>
      </c>
      <c r="I34" s="140" t="e">
        <f t="shared" si="3"/>
        <v>#REF!</v>
      </c>
      <c r="J34" t="e">
        <f t="shared" si="4"/>
        <v>#REF!</v>
      </c>
      <c r="K34" s="140" t="e">
        <f t="shared" si="5"/>
        <v>#REF!</v>
      </c>
    </row>
    <row r="35" spans="1:11" hidden="1" x14ac:dyDescent="0.25">
      <c r="A35" t="e">
        <f>#REF!</f>
        <v>#REF!</v>
      </c>
      <c r="B35" t="e">
        <f>#REF!</f>
        <v>#REF!</v>
      </c>
      <c r="C35" t="e">
        <f>#REF!</f>
        <v>#REF!</v>
      </c>
      <c r="D35" t="e">
        <f>#REF!</f>
        <v>#REF!</v>
      </c>
      <c r="E35" t="e">
        <f>#REF!</f>
        <v>#REF!</v>
      </c>
      <c r="G35" t="e">
        <f t="shared" si="1"/>
        <v>#REF!</v>
      </c>
      <c r="H35" t="e">
        <f t="shared" si="2"/>
        <v>#REF!</v>
      </c>
      <c r="I35" s="140" t="e">
        <f t="shared" si="3"/>
        <v>#REF!</v>
      </c>
      <c r="J35" t="e">
        <f t="shared" si="4"/>
        <v>#REF!</v>
      </c>
      <c r="K35" s="140" t="e">
        <f t="shared" si="5"/>
        <v>#REF!</v>
      </c>
    </row>
    <row r="36" spans="1:11" hidden="1" x14ac:dyDescent="0.25">
      <c r="A36" t="e">
        <f>#REF!</f>
        <v>#REF!</v>
      </c>
      <c r="B36" t="e">
        <f>#REF!</f>
        <v>#REF!</v>
      </c>
      <c r="C36" t="e">
        <f>#REF!</f>
        <v>#REF!</v>
      </c>
      <c r="D36" t="e">
        <f>#REF!</f>
        <v>#REF!</v>
      </c>
      <c r="E36" t="e">
        <f>#REF!</f>
        <v>#REF!</v>
      </c>
      <c r="G36" t="e">
        <f t="shared" si="1"/>
        <v>#REF!</v>
      </c>
      <c r="H36" t="e">
        <f t="shared" si="2"/>
        <v>#REF!</v>
      </c>
      <c r="I36" s="140" t="e">
        <f t="shared" si="3"/>
        <v>#REF!</v>
      </c>
      <c r="J36" t="e">
        <f t="shared" si="4"/>
        <v>#REF!</v>
      </c>
      <c r="K36" s="140" t="e">
        <f t="shared" si="5"/>
        <v>#REF!</v>
      </c>
    </row>
    <row r="37" spans="1:11" hidden="1" x14ac:dyDescent="0.25">
      <c r="A37" t="e">
        <f>#REF!</f>
        <v>#REF!</v>
      </c>
      <c r="B37" t="e">
        <f>#REF!</f>
        <v>#REF!</v>
      </c>
      <c r="C37" t="e">
        <f>#REF!</f>
        <v>#REF!</v>
      </c>
      <c r="D37" t="e">
        <f>#REF!</f>
        <v>#REF!</v>
      </c>
      <c r="E37" t="e">
        <f>#REF!</f>
        <v>#REF!</v>
      </c>
      <c r="G37" t="e">
        <f t="shared" si="1"/>
        <v>#REF!</v>
      </c>
      <c r="H37" t="e">
        <f t="shared" si="2"/>
        <v>#REF!</v>
      </c>
      <c r="I37" s="140" t="e">
        <f t="shared" si="3"/>
        <v>#REF!</v>
      </c>
      <c r="J37" t="e">
        <f t="shared" si="4"/>
        <v>#REF!</v>
      </c>
      <c r="K37" s="140" t="e">
        <f t="shared" si="5"/>
        <v>#REF!</v>
      </c>
    </row>
    <row r="38" spans="1:11" hidden="1" x14ac:dyDescent="0.25">
      <c r="A38" t="e">
        <f>#REF!</f>
        <v>#REF!</v>
      </c>
      <c r="B38" t="e">
        <f>#REF!</f>
        <v>#REF!</v>
      </c>
      <c r="C38" t="e">
        <f>#REF!</f>
        <v>#REF!</v>
      </c>
      <c r="D38" t="e">
        <f>#REF!</f>
        <v>#REF!</v>
      </c>
      <c r="E38" t="e">
        <f>#REF!</f>
        <v>#REF!</v>
      </c>
      <c r="G38" t="e">
        <f t="shared" si="1"/>
        <v>#REF!</v>
      </c>
      <c r="H38" t="e">
        <f t="shared" si="2"/>
        <v>#REF!</v>
      </c>
      <c r="I38" s="140" t="e">
        <f t="shared" si="3"/>
        <v>#REF!</v>
      </c>
      <c r="J38" t="e">
        <f t="shared" si="4"/>
        <v>#REF!</v>
      </c>
      <c r="K38" s="140" t="e">
        <f t="shared" si="5"/>
        <v>#REF!</v>
      </c>
    </row>
    <row r="39" spans="1:11" hidden="1" x14ac:dyDescent="0.25">
      <c r="A39" t="e">
        <f>#REF!</f>
        <v>#REF!</v>
      </c>
      <c r="B39" t="e">
        <f>#REF!</f>
        <v>#REF!</v>
      </c>
      <c r="C39" t="e">
        <f>#REF!</f>
        <v>#REF!</v>
      </c>
      <c r="D39" t="e">
        <f>#REF!</f>
        <v>#REF!</v>
      </c>
      <c r="E39" t="e">
        <f>#REF!</f>
        <v>#REF!</v>
      </c>
      <c r="G39" t="e">
        <f t="shared" si="1"/>
        <v>#REF!</v>
      </c>
      <c r="H39" t="e">
        <f t="shared" si="2"/>
        <v>#REF!</v>
      </c>
      <c r="I39" s="140" t="e">
        <f t="shared" si="3"/>
        <v>#REF!</v>
      </c>
      <c r="J39" t="e">
        <f t="shared" si="4"/>
        <v>#REF!</v>
      </c>
      <c r="K39" s="140" t="e">
        <f t="shared" si="5"/>
        <v>#REF!</v>
      </c>
    </row>
    <row r="40" spans="1:11" x14ac:dyDescent="0.25">
      <c r="A40" t="e">
        <f>#REF!</f>
        <v>#REF!</v>
      </c>
      <c r="B40" t="e">
        <f>#REF!</f>
        <v>#REF!</v>
      </c>
      <c r="C40" t="e">
        <f>#REF!</f>
        <v>#REF!</v>
      </c>
      <c r="D40" t="e">
        <f>#REF!</f>
        <v>#REF!</v>
      </c>
      <c r="E40" t="e">
        <f>#REF!</f>
        <v>#REF!</v>
      </c>
      <c r="G40" t="e">
        <f t="shared" si="1"/>
        <v>#REF!</v>
      </c>
      <c r="H40" t="e">
        <f t="shared" si="2"/>
        <v>#REF!</v>
      </c>
      <c r="I40" t="e">
        <f t="shared" si="3"/>
        <v>#REF!</v>
      </c>
      <c r="J40" t="e">
        <f t="shared" si="4"/>
        <v>#REF!</v>
      </c>
      <c r="K40" t="e">
        <f t="shared" si="5"/>
        <v>#REF!</v>
      </c>
    </row>
    <row r="41" spans="1:11" hidden="1" x14ac:dyDescent="0.25">
      <c r="A41" t="e">
        <f>#REF!</f>
        <v>#REF!</v>
      </c>
      <c r="B41" t="e">
        <f>#REF!</f>
        <v>#REF!</v>
      </c>
      <c r="C41" t="e">
        <f>#REF!</f>
        <v>#REF!</v>
      </c>
      <c r="D41" t="e">
        <f>#REF!</f>
        <v>#REF!</v>
      </c>
      <c r="E41" t="e">
        <f>#REF!</f>
        <v>#REF!</v>
      </c>
      <c r="G41" t="e">
        <f t="shared" si="1"/>
        <v>#REF!</v>
      </c>
      <c r="H41" t="e">
        <f t="shared" si="2"/>
        <v>#REF!</v>
      </c>
      <c r="I41" s="140" t="e">
        <f t="shared" si="3"/>
        <v>#REF!</v>
      </c>
      <c r="J41" t="e">
        <f t="shared" si="4"/>
        <v>#REF!</v>
      </c>
      <c r="K41" s="140" t="e">
        <f t="shared" si="5"/>
        <v>#REF!</v>
      </c>
    </row>
    <row r="42" spans="1:11" hidden="1" x14ac:dyDescent="0.25">
      <c r="A42" t="e">
        <f>#REF!</f>
        <v>#REF!</v>
      </c>
      <c r="B42" t="e">
        <f>#REF!</f>
        <v>#REF!</v>
      </c>
      <c r="C42" t="e">
        <f>#REF!</f>
        <v>#REF!</v>
      </c>
      <c r="D42" t="e">
        <f>#REF!</f>
        <v>#REF!</v>
      </c>
      <c r="E42" t="e">
        <f>#REF!</f>
        <v>#REF!</v>
      </c>
      <c r="G42" t="e">
        <f t="shared" si="1"/>
        <v>#REF!</v>
      </c>
      <c r="H42" t="e">
        <f t="shared" si="2"/>
        <v>#REF!</v>
      </c>
      <c r="I42" s="140" t="e">
        <f t="shared" si="3"/>
        <v>#REF!</v>
      </c>
      <c r="J42" t="e">
        <f t="shared" si="4"/>
        <v>#REF!</v>
      </c>
      <c r="K42" s="140" t="e">
        <f t="shared" si="5"/>
        <v>#REF!</v>
      </c>
    </row>
    <row r="43" spans="1:11" hidden="1" x14ac:dyDescent="0.25">
      <c r="A43" t="e">
        <f>#REF!</f>
        <v>#REF!</v>
      </c>
      <c r="B43" t="e">
        <f>#REF!</f>
        <v>#REF!</v>
      </c>
      <c r="C43" t="e">
        <f>#REF!</f>
        <v>#REF!</v>
      </c>
      <c r="D43" t="e">
        <f>#REF!</f>
        <v>#REF!</v>
      </c>
      <c r="E43" t="e">
        <f>#REF!</f>
        <v>#REF!</v>
      </c>
      <c r="G43" t="e">
        <f t="shared" si="1"/>
        <v>#REF!</v>
      </c>
      <c r="H43" t="e">
        <f t="shared" si="2"/>
        <v>#REF!</v>
      </c>
      <c r="I43" s="140" t="e">
        <f t="shared" si="3"/>
        <v>#REF!</v>
      </c>
      <c r="J43" t="e">
        <f t="shared" si="4"/>
        <v>#REF!</v>
      </c>
      <c r="K43" s="140" t="e">
        <f t="shared" si="5"/>
        <v>#REF!</v>
      </c>
    </row>
    <row r="44" spans="1:11" hidden="1" x14ac:dyDescent="0.25">
      <c r="A44" t="e">
        <f>#REF!</f>
        <v>#REF!</v>
      </c>
      <c r="B44" t="e">
        <f>#REF!</f>
        <v>#REF!</v>
      </c>
      <c r="C44" t="e">
        <f>#REF!</f>
        <v>#REF!</v>
      </c>
      <c r="D44" t="e">
        <f>#REF!</f>
        <v>#REF!</v>
      </c>
      <c r="E44" t="e">
        <f>#REF!</f>
        <v>#REF!</v>
      </c>
      <c r="G44" t="e">
        <f t="shared" si="1"/>
        <v>#REF!</v>
      </c>
      <c r="H44" t="e">
        <f t="shared" si="2"/>
        <v>#REF!</v>
      </c>
      <c r="I44" s="140" t="e">
        <f t="shared" si="3"/>
        <v>#REF!</v>
      </c>
      <c r="J44" t="e">
        <f t="shared" si="4"/>
        <v>#REF!</v>
      </c>
      <c r="K44" s="140" t="e">
        <f t="shared" si="5"/>
        <v>#REF!</v>
      </c>
    </row>
    <row r="45" spans="1:11" hidden="1" x14ac:dyDescent="0.25">
      <c r="A45" t="e">
        <f>#REF!</f>
        <v>#REF!</v>
      </c>
      <c r="B45" t="e">
        <f>#REF!</f>
        <v>#REF!</v>
      </c>
      <c r="C45" t="e">
        <f>#REF!</f>
        <v>#REF!</v>
      </c>
      <c r="D45" t="e">
        <f>#REF!</f>
        <v>#REF!</v>
      </c>
      <c r="E45" t="e">
        <f>#REF!</f>
        <v>#REF!</v>
      </c>
      <c r="G45" t="e">
        <f t="shared" si="1"/>
        <v>#REF!</v>
      </c>
      <c r="H45" t="e">
        <f t="shared" si="2"/>
        <v>#REF!</v>
      </c>
      <c r="I45" s="140" t="e">
        <f t="shared" si="3"/>
        <v>#REF!</v>
      </c>
      <c r="J45" t="e">
        <f t="shared" si="4"/>
        <v>#REF!</v>
      </c>
      <c r="K45" s="140" t="e">
        <f t="shared" si="5"/>
        <v>#REF!</v>
      </c>
    </row>
    <row r="46" spans="1:11" hidden="1" x14ac:dyDescent="0.25">
      <c r="A46" t="e">
        <f>#REF!</f>
        <v>#REF!</v>
      </c>
      <c r="B46" t="e">
        <f>#REF!</f>
        <v>#REF!</v>
      </c>
      <c r="C46" t="e">
        <f>#REF!</f>
        <v>#REF!</v>
      </c>
      <c r="D46" t="e">
        <f>#REF!</f>
        <v>#REF!</v>
      </c>
      <c r="E46" t="e">
        <f>#REF!</f>
        <v>#REF!</v>
      </c>
      <c r="G46" t="e">
        <f t="shared" si="1"/>
        <v>#REF!</v>
      </c>
      <c r="H46" t="e">
        <f t="shared" si="2"/>
        <v>#REF!</v>
      </c>
      <c r="I46" s="140" t="e">
        <f t="shared" si="3"/>
        <v>#REF!</v>
      </c>
      <c r="J46" t="e">
        <f t="shared" si="4"/>
        <v>#REF!</v>
      </c>
      <c r="K46" s="140" t="e">
        <f t="shared" si="5"/>
        <v>#REF!</v>
      </c>
    </row>
    <row r="47" spans="1:11" hidden="1" x14ac:dyDescent="0.25">
      <c r="A47" t="e">
        <f>#REF!</f>
        <v>#REF!</v>
      </c>
      <c r="B47" t="e">
        <f>#REF!</f>
        <v>#REF!</v>
      </c>
      <c r="C47" t="e">
        <f>#REF!</f>
        <v>#REF!</v>
      </c>
      <c r="D47" t="e">
        <f>#REF!</f>
        <v>#REF!</v>
      </c>
      <c r="E47" t="e">
        <f>#REF!</f>
        <v>#REF!</v>
      </c>
      <c r="G47" t="e">
        <f t="shared" si="1"/>
        <v>#REF!</v>
      </c>
      <c r="H47" t="e">
        <f t="shared" si="2"/>
        <v>#REF!</v>
      </c>
      <c r="I47" s="140" t="e">
        <f t="shared" si="3"/>
        <v>#REF!</v>
      </c>
      <c r="J47" t="e">
        <f t="shared" si="4"/>
        <v>#REF!</v>
      </c>
      <c r="K47" s="140" t="e">
        <f t="shared" si="5"/>
        <v>#REF!</v>
      </c>
    </row>
    <row r="48" spans="1:11" hidden="1" x14ac:dyDescent="0.25">
      <c r="A48" t="e">
        <f>#REF!</f>
        <v>#REF!</v>
      </c>
      <c r="B48" t="e">
        <f>#REF!</f>
        <v>#REF!</v>
      </c>
      <c r="C48" t="e">
        <f>#REF!</f>
        <v>#REF!</v>
      </c>
      <c r="D48" t="e">
        <f>#REF!</f>
        <v>#REF!</v>
      </c>
      <c r="E48" t="e">
        <f>#REF!</f>
        <v>#REF!</v>
      </c>
      <c r="G48" t="e">
        <f t="shared" si="1"/>
        <v>#REF!</v>
      </c>
      <c r="H48" t="e">
        <f t="shared" si="2"/>
        <v>#REF!</v>
      </c>
      <c r="I48" s="140" t="e">
        <f t="shared" si="3"/>
        <v>#REF!</v>
      </c>
      <c r="J48" t="e">
        <f t="shared" si="4"/>
        <v>#REF!</v>
      </c>
      <c r="K48" s="140" t="e">
        <f t="shared" si="5"/>
        <v>#REF!</v>
      </c>
    </row>
    <row r="49" spans="1:11" hidden="1" x14ac:dyDescent="0.25">
      <c r="A49" t="e">
        <f>#REF!</f>
        <v>#REF!</v>
      </c>
      <c r="B49" t="e">
        <f>#REF!</f>
        <v>#REF!</v>
      </c>
      <c r="C49" t="e">
        <f>#REF!</f>
        <v>#REF!</v>
      </c>
      <c r="D49" t="e">
        <f>#REF!</f>
        <v>#REF!</v>
      </c>
      <c r="E49" t="e">
        <f>#REF!</f>
        <v>#REF!</v>
      </c>
      <c r="G49" t="e">
        <f t="shared" si="1"/>
        <v>#REF!</v>
      </c>
      <c r="H49" t="e">
        <f t="shared" si="2"/>
        <v>#REF!</v>
      </c>
      <c r="I49" s="140" t="e">
        <f t="shared" si="3"/>
        <v>#REF!</v>
      </c>
      <c r="J49" t="e">
        <f t="shared" si="4"/>
        <v>#REF!</v>
      </c>
      <c r="K49" s="140" t="e">
        <f t="shared" si="5"/>
        <v>#REF!</v>
      </c>
    </row>
    <row r="50" spans="1:11" hidden="1" x14ac:dyDescent="0.25">
      <c r="A50" t="e">
        <f>#REF!</f>
        <v>#REF!</v>
      </c>
      <c r="B50" t="e">
        <f>#REF!</f>
        <v>#REF!</v>
      </c>
      <c r="C50" t="e">
        <f>#REF!</f>
        <v>#REF!</v>
      </c>
      <c r="D50" t="e">
        <f>#REF!</f>
        <v>#REF!</v>
      </c>
      <c r="E50" t="e">
        <f>#REF!</f>
        <v>#REF!</v>
      </c>
      <c r="G50" t="e">
        <f t="shared" si="1"/>
        <v>#REF!</v>
      </c>
      <c r="H50" t="e">
        <f t="shared" si="2"/>
        <v>#REF!</v>
      </c>
      <c r="I50" s="140" t="e">
        <f t="shared" si="3"/>
        <v>#REF!</v>
      </c>
      <c r="J50" t="e">
        <f t="shared" si="4"/>
        <v>#REF!</v>
      </c>
      <c r="K50" s="140" t="e">
        <f t="shared" si="5"/>
        <v>#REF!</v>
      </c>
    </row>
    <row r="51" spans="1:11" hidden="1" x14ac:dyDescent="0.25">
      <c r="A51" t="e">
        <f>#REF!</f>
        <v>#REF!</v>
      </c>
      <c r="B51" t="e">
        <f>#REF!</f>
        <v>#REF!</v>
      </c>
      <c r="C51" t="e">
        <f>#REF!</f>
        <v>#REF!</v>
      </c>
      <c r="D51" t="e">
        <f>#REF!</f>
        <v>#REF!</v>
      </c>
      <c r="E51" t="e">
        <f>#REF!</f>
        <v>#REF!</v>
      </c>
      <c r="G51" t="e">
        <f t="shared" si="1"/>
        <v>#REF!</v>
      </c>
      <c r="H51" t="e">
        <f t="shared" si="2"/>
        <v>#REF!</v>
      </c>
      <c r="I51" s="140" t="e">
        <f t="shared" si="3"/>
        <v>#REF!</v>
      </c>
      <c r="J51" t="e">
        <f t="shared" si="4"/>
        <v>#REF!</v>
      </c>
      <c r="K51" s="140" t="e">
        <f t="shared" si="5"/>
        <v>#REF!</v>
      </c>
    </row>
    <row r="52" spans="1:11" hidden="1" x14ac:dyDescent="0.25">
      <c r="A52" t="e">
        <f>#REF!</f>
        <v>#REF!</v>
      </c>
      <c r="B52" t="e">
        <f>#REF!</f>
        <v>#REF!</v>
      </c>
      <c r="C52" t="e">
        <f>#REF!</f>
        <v>#REF!</v>
      </c>
      <c r="D52" t="e">
        <f>#REF!</f>
        <v>#REF!</v>
      </c>
      <c r="E52" t="e">
        <f>#REF!</f>
        <v>#REF!</v>
      </c>
      <c r="G52" t="e">
        <f t="shared" si="1"/>
        <v>#REF!</v>
      </c>
      <c r="H52" t="e">
        <f t="shared" si="2"/>
        <v>#REF!</v>
      </c>
      <c r="I52" s="140" t="e">
        <f t="shared" si="3"/>
        <v>#REF!</v>
      </c>
      <c r="J52" t="e">
        <f t="shared" si="4"/>
        <v>#REF!</v>
      </c>
      <c r="K52" s="140" t="e">
        <f t="shared" si="5"/>
        <v>#REF!</v>
      </c>
    </row>
    <row r="53" spans="1:11" hidden="1" x14ac:dyDescent="0.25">
      <c r="A53" t="e">
        <f>#REF!</f>
        <v>#REF!</v>
      </c>
      <c r="B53" t="e">
        <f>#REF!</f>
        <v>#REF!</v>
      </c>
      <c r="C53" t="e">
        <f>#REF!</f>
        <v>#REF!</v>
      </c>
      <c r="D53" t="e">
        <f>#REF!</f>
        <v>#REF!</v>
      </c>
      <c r="E53" t="e">
        <f>#REF!</f>
        <v>#REF!</v>
      </c>
      <c r="G53" t="e">
        <f t="shared" si="1"/>
        <v>#REF!</v>
      </c>
      <c r="H53" t="e">
        <f t="shared" si="2"/>
        <v>#REF!</v>
      </c>
      <c r="I53" s="140" t="e">
        <f t="shared" si="3"/>
        <v>#REF!</v>
      </c>
      <c r="J53" t="e">
        <f t="shared" si="4"/>
        <v>#REF!</v>
      </c>
      <c r="K53" s="140" t="e">
        <f t="shared" si="5"/>
        <v>#REF!</v>
      </c>
    </row>
    <row r="54" spans="1:11" hidden="1" x14ac:dyDescent="0.25">
      <c r="A54" t="e">
        <f>#REF!</f>
        <v>#REF!</v>
      </c>
      <c r="B54" t="e">
        <f>#REF!</f>
        <v>#REF!</v>
      </c>
      <c r="C54" t="e">
        <f>#REF!</f>
        <v>#REF!</v>
      </c>
      <c r="D54" t="e">
        <f>#REF!</f>
        <v>#REF!</v>
      </c>
      <c r="E54" t="e">
        <f>#REF!</f>
        <v>#REF!</v>
      </c>
      <c r="G54" t="e">
        <f t="shared" si="1"/>
        <v>#REF!</v>
      </c>
      <c r="H54" t="e">
        <f t="shared" si="2"/>
        <v>#REF!</v>
      </c>
      <c r="I54" s="140" t="e">
        <f t="shared" si="3"/>
        <v>#REF!</v>
      </c>
      <c r="J54" t="e">
        <f t="shared" si="4"/>
        <v>#REF!</v>
      </c>
      <c r="K54" s="140" t="e">
        <f t="shared" si="5"/>
        <v>#REF!</v>
      </c>
    </row>
    <row r="55" spans="1:11" hidden="1" x14ac:dyDescent="0.25">
      <c r="A55" t="e">
        <f>#REF!</f>
        <v>#REF!</v>
      </c>
      <c r="B55" t="e">
        <f>#REF!</f>
        <v>#REF!</v>
      </c>
      <c r="C55" t="e">
        <f>#REF!</f>
        <v>#REF!</v>
      </c>
      <c r="D55" t="e">
        <f>#REF!</f>
        <v>#REF!</v>
      </c>
      <c r="E55" t="e">
        <f>#REF!</f>
        <v>#REF!</v>
      </c>
      <c r="G55" t="e">
        <f t="shared" si="1"/>
        <v>#REF!</v>
      </c>
      <c r="H55" t="e">
        <f t="shared" si="2"/>
        <v>#REF!</v>
      </c>
      <c r="I55" s="140" t="e">
        <f t="shared" si="3"/>
        <v>#REF!</v>
      </c>
      <c r="J55" t="e">
        <f t="shared" si="4"/>
        <v>#REF!</v>
      </c>
      <c r="K55" s="140" t="e">
        <f t="shared" si="5"/>
        <v>#REF!</v>
      </c>
    </row>
    <row r="56" spans="1:11" hidden="1" x14ac:dyDescent="0.25">
      <c r="A56" t="e">
        <f>#REF!</f>
        <v>#REF!</v>
      </c>
      <c r="B56" t="e">
        <f>#REF!</f>
        <v>#REF!</v>
      </c>
      <c r="C56" t="e">
        <f>#REF!</f>
        <v>#REF!</v>
      </c>
      <c r="D56" t="e">
        <f>#REF!</f>
        <v>#REF!</v>
      </c>
      <c r="E56" t="e">
        <f>#REF!</f>
        <v>#REF!</v>
      </c>
      <c r="G56" t="e">
        <f t="shared" si="1"/>
        <v>#REF!</v>
      </c>
      <c r="H56" t="e">
        <f t="shared" si="2"/>
        <v>#REF!</v>
      </c>
      <c r="I56" s="140" t="e">
        <f t="shared" si="3"/>
        <v>#REF!</v>
      </c>
      <c r="J56" t="e">
        <f t="shared" si="4"/>
        <v>#REF!</v>
      </c>
      <c r="K56" s="140" t="e">
        <f t="shared" si="5"/>
        <v>#REF!</v>
      </c>
    </row>
    <row r="57" spans="1:11" x14ac:dyDescent="0.25">
      <c r="A57" t="e">
        <f>#REF!</f>
        <v>#REF!</v>
      </c>
      <c r="B57" t="e">
        <f>#REF!</f>
        <v>#REF!</v>
      </c>
      <c r="C57" t="e">
        <f>#REF!</f>
        <v>#REF!</v>
      </c>
      <c r="D57" t="e">
        <f>#REF!</f>
        <v>#REF!</v>
      </c>
      <c r="E57" t="e">
        <f>#REF!</f>
        <v>#REF!</v>
      </c>
      <c r="G57" t="e">
        <f t="shared" si="1"/>
        <v>#REF!</v>
      </c>
      <c r="H57" t="e">
        <f t="shared" si="2"/>
        <v>#REF!</v>
      </c>
      <c r="I57" t="e">
        <f t="shared" si="3"/>
        <v>#REF!</v>
      </c>
      <c r="J57" t="e">
        <f t="shared" si="4"/>
        <v>#REF!</v>
      </c>
      <c r="K57" t="e">
        <f t="shared" si="5"/>
        <v>#REF!</v>
      </c>
    </row>
    <row r="58" spans="1:11" hidden="1" x14ac:dyDescent="0.25">
      <c r="A58" t="e">
        <f>#REF!</f>
        <v>#REF!</v>
      </c>
      <c r="B58" t="e">
        <f>#REF!</f>
        <v>#REF!</v>
      </c>
      <c r="C58" t="e">
        <f>#REF!</f>
        <v>#REF!</v>
      </c>
      <c r="D58" t="e">
        <f>#REF!</f>
        <v>#REF!</v>
      </c>
      <c r="E58" t="e">
        <f>#REF!</f>
        <v>#REF!</v>
      </c>
      <c r="G58" t="e">
        <f t="shared" si="1"/>
        <v>#REF!</v>
      </c>
      <c r="H58" t="e">
        <f t="shared" si="2"/>
        <v>#REF!</v>
      </c>
      <c r="I58" s="140" t="e">
        <f t="shared" si="3"/>
        <v>#REF!</v>
      </c>
      <c r="J58" t="e">
        <f t="shared" si="4"/>
        <v>#REF!</v>
      </c>
      <c r="K58" s="140" t="e">
        <f t="shared" si="5"/>
        <v>#REF!</v>
      </c>
    </row>
    <row r="59" spans="1:11" hidden="1" x14ac:dyDescent="0.25">
      <c r="A59" t="e">
        <f>#REF!</f>
        <v>#REF!</v>
      </c>
      <c r="B59" t="e">
        <f>#REF!</f>
        <v>#REF!</v>
      </c>
      <c r="C59" t="e">
        <f>#REF!</f>
        <v>#REF!</v>
      </c>
      <c r="D59" t="e">
        <f>#REF!</f>
        <v>#REF!</v>
      </c>
      <c r="E59" t="e">
        <f>#REF!</f>
        <v>#REF!</v>
      </c>
      <c r="G59" t="e">
        <f t="shared" si="1"/>
        <v>#REF!</v>
      </c>
      <c r="H59" t="e">
        <f t="shared" si="2"/>
        <v>#REF!</v>
      </c>
      <c r="I59" s="140" t="e">
        <f t="shared" si="3"/>
        <v>#REF!</v>
      </c>
      <c r="J59" t="e">
        <f t="shared" si="4"/>
        <v>#REF!</v>
      </c>
      <c r="K59" s="140" t="e">
        <f t="shared" si="5"/>
        <v>#REF!</v>
      </c>
    </row>
    <row r="60" spans="1:11" hidden="1" x14ac:dyDescent="0.25">
      <c r="A60" t="e">
        <f>#REF!</f>
        <v>#REF!</v>
      </c>
      <c r="B60" t="e">
        <f>#REF!</f>
        <v>#REF!</v>
      </c>
      <c r="C60" t="e">
        <f>#REF!</f>
        <v>#REF!</v>
      </c>
      <c r="D60" t="e">
        <f>#REF!</f>
        <v>#REF!</v>
      </c>
      <c r="E60" t="e">
        <f>#REF!</f>
        <v>#REF!</v>
      </c>
      <c r="G60" t="e">
        <f t="shared" si="1"/>
        <v>#REF!</v>
      </c>
      <c r="H60" t="e">
        <f t="shared" si="2"/>
        <v>#REF!</v>
      </c>
      <c r="I60" s="140" t="e">
        <f t="shared" si="3"/>
        <v>#REF!</v>
      </c>
      <c r="J60" t="e">
        <f t="shared" si="4"/>
        <v>#REF!</v>
      </c>
      <c r="K60" s="140" t="e">
        <f t="shared" si="5"/>
        <v>#REF!</v>
      </c>
    </row>
    <row r="61" spans="1:11" hidden="1" x14ac:dyDescent="0.25">
      <c r="A61" t="e">
        <f>#REF!</f>
        <v>#REF!</v>
      </c>
      <c r="B61" t="e">
        <f>#REF!</f>
        <v>#REF!</v>
      </c>
      <c r="C61" t="e">
        <f>#REF!</f>
        <v>#REF!</v>
      </c>
      <c r="D61" t="e">
        <f>#REF!</f>
        <v>#REF!</v>
      </c>
      <c r="E61" t="e">
        <f>#REF!</f>
        <v>#REF!</v>
      </c>
      <c r="G61" t="e">
        <f t="shared" si="1"/>
        <v>#REF!</v>
      </c>
      <c r="H61" t="e">
        <f t="shared" si="2"/>
        <v>#REF!</v>
      </c>
      <c r="I61" s="140" t="e">
        <f t="shared" si="3"/>
        <v>#REF!</v>
      </c>
      <c r="J61" t="e">
        <f t="shared" si="4"/>
        <v>#REF!</v>
      </c>
      <c r="K61" s="140" t="e">
        <f t="shared" si="5"/>
        <v>#REF!</v>
      </c>
    </row>
    <row r="62" spans="1:11" hidden="1" x14ac:dyDescent="0.25">
      <c r="A62" t="e">
        <f>#REF!</f>
        <v>#REF!</v>
      </c>
      <c r="B62" t="e">
        <f>#REF!</f>
        <v>#REF!</v>
      </c>
      <c r="C62" t="e">
        <f>#REF!</f>
        <v>#REF!</v>
      </c>
      <c r="D62" t="e">
        <f>#REF!</f>
        <v>#REF!</v>
      </c>
      <c r="E62" t="e">
        <f>#REF!</f>
        <v>#REF!</v>
      </c>
      <c r="G62" t="e">
        <f t="shared" si="1"/>
        <v>#REF!</v>
      </c>
      <c r="H62" t="e">
        <f t="shared" si="2"/>
        <v>#REF!</v>
      </c>
      <c r="I62" s="140" t="e">
        <f t="shared" si="3"/>
        <v>#REF!</v>
      </c>
      <c r="J62" t="e">
        <f t="shared" si="4"/>
        <v>#REF!</v>
      </c>
      <c r="K62" s="140" t="e">
        <f t="shared" si="5"/>
        <v>#REF!</v>
      </c>
    </row>
    <row r="63" spans="1:11" hidden="1" x14ac:dyDescent="0.25">
      <c r="A63" t="e">
        <f>#REF!</f>
        <v>#REF!</v>
      </c>
      <c r="B63" t="e">
        <f>#REF!</f>
        <v>#REF!</v>
      </c>
      <c r="C63" t="e">
        <f>#REF!</f>
        <v>#REF!</v>
      </c>
      <c r="D63" t="e">
        <f>#REF!</f>
        <v>#REF!</v>
      </c>
      <c r="E63" t="e">
        <f>#REF!</f>
        <v>#REF!</v>
      </c>
      <c r="G63" t="e">
        <f t="shared" si="1"/>
        <v>#REF!</v>
      </c>
      <c r="H63" t="e">
        <f t="shared" si="2"/>
        <v>#REF!</v>
      </c>
      <c r="I63" s="140" t="e">
        <f t="shared" si="3"/>
        <v>#REF!</v>
      </c>
      <c r="J63" t="e">
        <f t="shared" si="4"/>
        <v>#REF!</v>
      </c>
      <c r="K63" s="140" t="e">
        <f t="shared" si="5"/>
        <v>#REF!</v>
      </c>
    </row>
    <row r="64" spans="1:11" hidden="1" x14ac:dyDescent="0.25">
      <c r="A64" t="e">
        <f>#REF!</f>
        <v>#REF!</v>
      </c>
      <c r="B64" t="e">
        <f>#REF!</f>
        <v>#REF!</v>
      </c>
      <c r="C64" t="e">
        <f>#REF!</f>
        <v>#REF!</v>
      </c>
      <c r="D64" t="e">
        <f>#REF!</f>
        <v>#REF!</v>
      </c>
      <c r="E64" t="e">
        <f>#REF!</f>
        <v>#REF!</v>
      </c>
      <c r="G64" t="e">
        <f t="shared" si="1"/>
        <v>#REF!</v>
      </c>
      <c r="H64" t="e">
        <f t="shared" si="2"/>
        <v>#REF!</v>
      </c>
      <c r="I64" s="140" t="e">
        <f t="shared" si="3"/>
        <v>#REF!</v>
      </c>
      <c r="J64" t="e">
        <f t="shared" si="4"/>
        <v>#REF!</v>
      </c>
      <c r="K64" s="140" t="e">
        <f t="shared" si="5"/>
        <v>#REF!</v>
      </c>
    </row>
    <row r="65" spans="1:11" hidden="1" x14ac:dyDescent="0.25">
      <c r="A65" t="e">
        <f>#REF!</f>
        <v>#REF!</v>
      </c>
      <c r="B65" t="e">
        <f>#REF!</f>
        <v>#REF!</v>
      </c>
      <c r="C65" t="e">
        <f>#REF!</f>
        <v>#REF!</v>
      </c>
      <c r="D65" t="e">
        <f>#REF!</f>
        <v>#REF!</v>
      </c>
      <c r="E65" t="e">
        <f>#REF!</f>
        <v>#REF!</v>
      </c>
      <c r="G65" t="e">
        <f t="shared" si="1"/>
        <v>#REF!</v>
      </c>
      <c r="H65" t="e">
        <f t="shared" si="2"/>
        <v>#REF!</v>
      </c>
      <c r="I65" s="140" t="e">
        <f t="shared" si="3"/>
        <v>#REF!</v>
      </c>
      <c r="J65" t="e">
        <f t="shared" si="4"/>
        <v>#REF!</v>
      </c>
      <c r="K65" s="140" t="e">
        <f t="shared" si="5"/>
        <v>#REF!</v>
      </c>
    </row>
    <row r="66" spans="1:11" hidden="1" x14ac:dyDescent="0.25">
      <c r="A66" t="e">
        <f>#REF!</f>
        <v>#REF!</v>
      </c>
      <c r="B66" t="e">
        <f>#REF!</f>
        <v>#REF!</v>
      </c>
      <c r="C66" t="e">
        <f>#REF!</f>
        <v>#REF!</v>
      </c>
      <c r="D66" t="e">
        <f>#REF!</f>
        <v>#REF!</v>
      </c>
      <c r="E66" t="e">
        <f>#REF!</f>
        <v>#REF!</v>
      </c>
      <c r="G66" t="e">
        <f t="shared" ref="G66:G129" si="6">A66</f>
        <v>#REF!</v>
      </c>
      <c r="H66" t="e">
        <f t="shared" ref="H66:H129" si="7">B66</f>
        <v>#REF!</v>
      </c>
      <c r="I66" s="140" t="e">
        <f t="shared" ref="I66:I129" si="8">C66</f>
        <v>#REF!</v>
      </c>
      <c r="J66" t="e">
        <f t="shared" ref="J66:J129" si="9">D66</f>
        <v>#REF!</v>
      </c>
      <c r="K66" s="140" t="e">
        <f t="shared" ref="K66:K129" si="10">E66</f>
        <v>#REF!</v>
      </c>
    </row>
    <row r="67" spans="1:11" hidden="1" x14ac:dyDescent="0.25">
      <c r="A67" t="e">
        <f>#REF!</f>
        <v>#REF!</v>
      </c>
      <c r="B67" t="e">
        <f>#REF!</f>
        <v>#REF!</v>
      </c>
      <c r="C67" t="e">
        <f>#REF!</f>
        <v>#REF!</v>
      </c>
      <c r="D67" t="e">
        <f>#REF!</f>
        <v>#REF!</v>
      </c>
      <c r="E67" t="e">
        <f>#REF!</f>
        <v>#REF!</v>
      </c>
      <c r="G67" t="e">
        <f t="shared" si="6"/>
        <v>#REF!</v>
      </c>
      <c r="H67" t="e">
        <f t="shared" si="7"/>
        <v>#REF!</v>
      </c>
      <c r="I67" s="140" t="e">
        <f t="shared" si="8"/>
        <v>#REF!</v>
      </c>
      <c r="J67" t="e">
        <f t="shared" si="9"/>
        <v>#REF!</v>
      </c>
      <c r="K67" s="140" t="e">
        <f t="shared" si="10"/>
        <v>#REF!</v>
      </c>
    </row>
    <row r="68" spans="1:11" hidden="1" x14ac:dyDescent="0.25">
      <c r="A68" t="e">
        <f>#REF!</f>
        <v>#REF!</v>
      </c>
      <c r="B68" t="e">
        <f>#REF!</f>
        <v>#REF!</v>
      </c>
      <c r="C68" t="e">
        <f>#REF!</f>
        <v>#REF!</v>
      </c>
      <c r="D68" t="e">
        <f>#REF!</f>
        <v>#REF!</v>
      </c>
      <c r="E68" t="e">
        <f>#REF!</f>
        <v>#REF!</v>
      </c>
      <c r="G68" t="e">
        <f t="shared" si="6"/>
        <v>#REF!</v>
      </c>
      <c r="H68" t="e">
        <f t="shared" si="7"/>
        <v>#REF!</v>
      </c>
      <c r="I68" s="140" t="e">
        <f t="shared" si="8"/>
        <v>#REF!</v>
      </c>
      <c r="J68" t="e">
        <f t="shared" si="9"/>
        <v>#REF!</v>
      </c>
      <c r="K68" s="140" t="e">
        <f t="shared" si="10"/>
        <v>#REF!</v>
      </c>
    </row>
    <row r="69" spans="1:11" hidden="1" x14ac:dyDescent="0.25">
      <c r="A69" t="e">
        <f>#REF!</f>
        <v>#REF!</v>
      </c>
      <c r="B69" t="e">
        <f>#REF!</f>
        <v>#REF!</v>
      </c>
      <c r="C69" t="e">
        <f>#REF!</f>
        <v>#REF!</v>
      </c>
      <c r="D69" t="e">
        <f>#REF!</f>
        <v>#REF!</v>
      </c>
      <c r="E69" t="e">
        <f>#REF!</f>
        <v>#REF!</v>
      </c>
      <c r="G69" t="e">
        <f t="shared" si="6"/>
        <v>#REF!</v>
      </c>
      <c r="H69" t="e">
        <f t="shared" si="7"/>
        <v>#REF!</v>
      </c>
      <c r="I69" s="140" t="e">
        <f t="shared" si="8"/>
        <v>#REF!</v>
      </c>
      <c r="J69" t="e">
        <f t="shared" si="9"/>
        <v>#REF!</v>
      </c>
      <c r="K69" s="140" t="e">
        <f t="shared" si="10"/>
        <v>#REF!</v>
      </c>
    </row>
    <row r="70" spans="1:11" hidden="1" x14ac:dyDescent="0.25">
      <c r="A70" t="e">
        <f>#REF!</f>
        <v>#REF!</v>
      </c>
      <c r="B70" t="e">
        <f>#REF!</f>
        <v>#REF!</v>
      </c>
      <c r="C70" t="e">
        <f>#REF!</f>
        <v>#REF!</v>
      </c>
      <c r="D70" t="e">
        <f>#REF!</f>
        <v>#REF!</v>
      </c>
      <c r="E70" t="e">
        <f>#REF!</f>
        <v>#REF!</v>
      </c>
      <c r="G70" t="e">
        <f t="shared" si="6"/>
        <v>#REF!</v>
      </c>
      <c r="H70" t="e">
        <f t="shared" si="7"/>
        <v>#REF!</v>
      </c>
      <c r="I70" s="140" t="e">
        <f t="shared" si="8"/>
        <v>#REF!</v>
      </c>
      <c r="J70" t="e">
        <f t="shared" si="9"/>
        <v>#REF!</v>
      </c>
      <c r="K70" s="140" t="e">
        <f t="shared" si="10"/>
        <v>#REF!</v>
      </c>
    </row>
    <row r="71" spans="1:11" hidden="1" x14ac:dyDescent="0.25">
      <c r="A71" t="e">
        <f>#REF!</f>
        <v>#REF!</v>
      </c>
      <c r="B71" t="e">
        <f>#REF!</f>
        <v>#REF!</v>
      </c>
      <c r="C71" t="e">
        <f>#REF!</f>
        <v>#REF!</v>
      </c>
      <c r="D71" t="e">
        <f>#REF!</f>
        <v>#REF!</v>
      </c>
      <c r="E71" t="e">
        <f>#REF!</f>
        <v>#REF!</v>
      </c>
      <c r="G71" t="e">
        <f t="shared" si="6"/>
        <v>#REF!</v>
      </c>
      <c r="H71" t="e">
        <f t="shared" si="7"/>
        <v>#REF!</v>
      </c>
      <c r="I71" s="140" t="e">
        <f t="shared" si="8"/>
        <v>#REF!</v>
      </c>
      <c r="J71" t="e">
        <f t="shared" si="9"/>
        <v>#REF!</v>
      </c>
      <c r="K71" s="140" t="e">
        <f t="shared" si="10"/>
        <v>#REF!</v>
      </c>
    </row>
    <row r="72" spans="1:11" hidden="1" x14ac:dyDescent="0.25">
      <c r="A72" t="e">
        <f>#REF!</f>
        <v>#REF!</v>
      </c>
      <c r="B72" t="e">
        <f>#REF!</f>
        <v>#REF!</v>
      </c>
      <c r="C72" t="e">
        <f>#REF!</f>
        <v>#REF!</v>
      </c>
      <c r="D72" t="e">
        <f>#REF!</f>
        <v>#REF!</v>
      </c>
      <c r="E72" t="e">
        <f>#REF!</f>
        <v>#REF!</v>
      </c>
      <c r="G72" t="e">
        <f t="shared" si="6"/>
        <v>#REF!</v>
      </c>
      <c r="H72" t="e">
        <f t="shared" si="7"/>
        <v>#REF!</v>
      </c>
      <c r="I72" s="140" t="e">
        <f t="shared" si="8"/>
        <v>#REF!</v>
      </c>
      <c r="J72" t="e">
        <f t="shared" si="9"/>
        <v>#REF!</v>
      </c>
      <c r="K72" s="140" t="e">
        <f t="shared" si="10"/>
        <v>#REF!</v>
      </c>
    </row>
    <row r="73" spans="1:11" hidden="1" x14ac:dyDescent="0.25">
      <c r="A73" t="e">
        <f>#REF!</f>
        <v>#REF!</v>
      </c>
      <c r="B73" t="e">
        <f>#REF!</f>
        <v>#REF!</v>
      </c>
      <c r="C73" t="e">
        <f>#REF!</f>
        <v>#REF!</v>
      </c>
      <c r="D73" t="e">
        <f>#REF!</f>
        <v>#REF!</v>
      </c>
      <c r="E73" t="e">
        <f>#REF!</f>
        <v>#REF!</v>
      </c>
      <c r="G73" t="e">
        <f t="shared" si="6"/>
        <v>#REF!</v>
      </c>
      <c r="H73" t="e">
        <f t="shared" si="7"/>
        <v>#REF!</v>
      </c>
      <c r="I73" s="140" t="e">
        <f t="shared" si="8"/>
        <v>#REF!</v>
      </c>
      <c r="J73" t="e">
        <f t="shared" si="9"/>
        <v>#REF!</v>
      </c>
      <c r="K73" s="140" t="e">
        <f t="shared" si="10"/>
        <v>#REF!</v>
      </c>
    </row>
    <row r="74" spans="1:11" x14ac:dyDescent="0.25">
      <c r="A74" t="e">
        <f>#REF!</f>
        <v>#REF!</v>
      </c>
      <c r="B74" t="e">
        <f>#REF!</f>
        <v>#REF!</v>
      </c>
      <c r="C74" t="e">
        <f>#REF!</f>
        <v>#REF!</v>
      </c>
      <c r="D74" t="e">
        <f>#REF!</f>
        <v>#REF!</v>
      </c>
      <c r="E74" t="e">
        <f>#REF!</f>
        <v>#REF!</v>
      </c>
      <c r="G74" t="e">
        <f t="shared" si="6"/>
        <v>#REF!</v>
      </c>
      <c r="H74" t="e">
        <f t="shared" si="7"/>
        <v>#REF!</v>
      </c>
      <c r="I74" t="e">
        <f t="shared" si="8"/>
        <v>#REF!</v>
      </c>
      <c r="J74" t="e">
        <f t="shared" si="9"/>
        <v>#REF!</v>
      </c>
      <c r="K74" t="e">
        <f t="shared" si="10"/>
        <v>#REF!</v>
      </c>
    </row>
    <row r="75" spans="1:11" hidden="1" x14ac:dyDescent="0.25">
      <c r="A75" t="e">
        <f>#REF!</f>
        <v>#REF!</v>
      </c>
      <c r="B75" t="e">
        <f>#REF!</f>
        <v>#REF!</v>
      </c>
      <c r="C75" t="e">
        <f>#REF!</f>
        <v>#REF!</v>
      </c>
      <c r="D75" t="e">
        <f>#REF!</f>
        <v>#REF!</v>
      </c>
      <c r="E75" t="e">
        <f>#REF!</f>
        <v>#REF!</v>
      </c>
      <c r="G75" t="e">
        <f t="shared" si="6"/>
        <v>#REF!</v>
      </c>
      <c r="H75" t="e">
        <f t="shared" si="7"/>
        <v>#REF!</v>
      </c>
      <c r="I75" s="140" t="e">
        <f t="shared" si="8"/>
        <v>#REF!</v>
      </c>
      <c r="J75" t="e">
        <f t="shared" si="9"/>
        <v>#REF!</v>
      </c>
      <c r="K75" s="140" t="e">
        <f t="shared" si="10"/>
        <v>#REF!</v>
      </c>
    </row>
    <row r="76" spans="1:11" hidden="1" x14ac:dyDescent="0.25">
      <c r="A76" t="e">
        <f>#REF!</f>
        <v>#REF!</v>
      </c>
      <c r="B76" t="e">
        <f>#REF!</f>
        <v>#REF!</v>
      </c>
      <c r="C76" t="e">
        <f>#REF!</f>
        <v>#REF!</v>
      </c>
      <c r="D76" t="e">
        <f>#REF!</f>
        <v>#REF!</v>
      </c>
      <c r="E76" t="e">
        <f>#REF!</f>
        <v>#REF!</v>
      </c>
      <c r="G76" t="e">
        <f t="shared" si="6"/>
        <v>#REF!</v>
      </c>
      <c r="H76" t="e">
        <f t="shared" si="7"/>
        <v>#REF!</v>
      </c>
      <c r="I76" s="140" t="e">
        <f t="shared" si="8"/>
        <v>#REF!</v>
      </c>
      <c r="J76" t="e">
        <f t="shared" si="9"/>
        <v>#REF!</v>
      </c>
      <c r="K76" s="140" t="e">
        <f t="shared" si="10"/>
        <v>#REF!</v>
      </c>
    </row>
    <row r="77" spans="1:11" hidden="1" x14ac:dyDescent="0.25">
      <c r="A77" t="e">
        <f>#REF!</f>
        <v>#REF!</v>
      </c>
      <c r="B77" t="e">
        <f>#REF!</f>
        <v>#REF!</v>
      </c>
      <c r="C77" t="e">
        <f>#REF!</f>
        <v>#REF!</v>
      </c>
      <c r="D77" t="e">
        <f>#REF!</f>
        <v>#REF!</v>
      </c>
      <c r="E77" t="e">
        <f>#REF!</f>
        <v>#REF!</v>
      </c>
      <c r="G77" t="e">
        <f t="shared" si="6"/>
        <v>#REF!</v>
      </c>
      <c r="H77" t="e">
        <f t="shared" si="7"/>
        <v>#REF!</v>
      </c>
      <c r="I77" s="140" t="e">
        <f t="shared" si="8"/>
        <v>#REF!</v>
      </c>
      <c r="J77" t="e">
        <f t="shared" si="9"/>
        <v>#REF!</v>
      </c>
      <c r="K77" s="140" t="e">
        <f t="shared" si="10"/>
        <v>#REF!</v>
      </c>
    </row>
    <row r="78" spans="1:11" hidden="1" x14ac:dyDescent="0.25">
      <c r="A78" t="e">
        <f>#REF!</f>
        <v>#REF!</v>
      </c>
      <c r="B78" t="e">
        <f>#REF!</f>
        <v>#REF!</v>
      </c>
      <c r="C78" t="e">
        <f>#REF!</f>
        <v>#REF!</v>
      </c>
      <c r="D78" t="e">
        <f>#REF!</f>
        <v>#REF!</v>
      </c>
      <c r="E78" t="e">
        <f>#REF!</f>
        <v>#REF!</v>
      </c>
      <c r="G78" t="e">
        <f t="shared" si="6"/>
        <v>#REF!</v>
      </c>
      <c r="H78" t="e">
        <f t="shared" si="7"/>
        <v>#REF!</v>
      </c>
      <c r="I78" s="140" t="e">
        <f t="shared" si="8"/>
        <v>#REF!</v>
      </c>
      <c r="J78" t="e">
        <f t="shared" si="9"/>
        <v>#REF!</v>
      </c>
      <c r="K78" s="140" t="e">
        <f t="shared" si="10"/>
        <v>#REF!</v>
      </c>
    </row>
    <row r="79" spans="1:11" hidden="1" x14ac:dyDescent="0.25">
      <c r="A79" t="e">
        <f>#REF!</f>
        <v>#REF!</v>
      </c>
      <c r="B79" t="e">
        <f>#REF!</f>
        <v>#REF!</v>
      </c>
      <c r="C79" t="e">
        <f>#REF!</f>
        <v>#REF!</v>
      </c>
      <c r="D79" t="e">
        <f>#REF!</f>
        <v>#REF!</v>
      </c>
      <c r="E79" t="e">
        <f>#REF!</f>
        <v>#REF!</v>
      </c>
      <c r="G79" t="e">
        <f t="shared" si="6"/>
        <v>#REF!</v>
      </c>
      <c r="H79" t="e">
        <f t="shared" si="7"/>
        <v>#REF!</v>
      </c>
      <c r="I79" s="140" t="e">
        <f t="shared" si="8"/>
        <v>#REF!</v>
      </c>
      <c r="J79" t="e">
        <f t="shared" si="9"/>
        <v>#REF!</v>
      </c>
      <c r="K79" s="140" t="e">
        <f t="shared" si="10"/>
        <v>#REF!</v>
      </c>
    </row>
    <row r="80" spans="1:11" hidden="1" x14ac:dyDescent="0.25">
      <c r="A80" t="e">
        <f>#REF!</f>
        <v>#REF!</v>
      </c>
      <c r="B80" t="e">
        <f>#REF!</f>
        <v>#REF!</v>
      </c>
      <c r="C80" t="e">
        <f>#REF!</f>
        <v>#REF!</v>
      </c>
      <c r="D80" t="e">
        <f>#REF!</f>
        <v>#REF!</v>
      </c>
      <c r="E80" t="e">
        <f>#REF!</f>
        <v>#REF!</v>
      </c>
      <c r="G80" t="e">
        <f t="shared" si="6"/>
        <v>#REF!</v>
      </c>
      <c r="H80" t="e">
        <f t="shared" si="7"/>
        <v>#REF!</v>
      </c>
      <c r="I80" s="140" t="e">
        <f t="shared" si="8"/>
        <v>#REF!</v>
      </c>
      <c r="J80" t="e">
        <f t="shared" si="9"/>
        <v>#REF!</v>
      </c>
      <c r="K80" s="140" t="e">
        <f t="shared" si="10"/>
        <v>#REF!</v>
      </c>
    </row>
    <row r="81" spans="1:11" hidden="1" x14ac:dyDescent="0.25">
      <c r="A81" t="e">
        <f>#REF!</f>
        <v>#REF!</v>
      </c>
      <c r="B81" t="e">
        <f>#REF!</f>
        <v>#REF!</v>
      </c>
      <c r="C81" t="e">
        <f>#REF!</f>
        <v>#REF!</v>
      </c>
      <c r="D81" t="e">
        <f>#REF!</f>
        <v>#REF!</v>
      </c>
      <c r="E81" t="e">
        <f>#REF!</f>
        <v>#REF!</v>
      </c>
      <c r="G81" t="e">
        <f t="shared" si="6"/>
        <v>#REF!</v>
      </c>
      <c r="H81" t="e">
        <f t="shared" si="7"/>
        <v>#REF!</v>
      </c>
      <c r="I81" s="140" t="e">
        <f t="shared" si="8"/>
        <v>#REF!</v>
      </c>
      <c r="J81" t="e">
        <f t="shared" si="9"/>
        <v>#REF!</v>
      </c>
      <c r="K81" s="140" t="e">
        <f t="shared" si="10"/>
        <v>#REF!</v>
      </c>
    </row>
    <row r="82" spans="1:11" hidden="1" x14ac:dyDescent="0.25">
      <c r="A82" t="e">
        <f>#REF!</f>
        <v>#REF!</v>
      </c>
      <c r="B82" t="e">
        <f>#REF!</f>
        <v>#REF!</v>
      </c>
      <c r="C82" t="e">
        <f>#REF!</f>
        <v>#REF!</v>
      </c>
      <c r="D82" t="e">
        <f>#REF!</f>
        <v>#REF!</v>
      </c>
      <c r="E82" t="e">
        <f>#REF!</f>
        <v>#REF!</v>
      </c>
      <c r="G82" t="e">
        <f t="shared" si="6"/>
        <v>#REF!</v>
      </c>
      <c r="H82" t="e">
        <f t="shared" si="7"/>
        <v>#REF!</v>
      </c>
      <c r="I82" s="140" t="e">
        <f t="shared" si="8"/>
        <v>#REF!</v>
      </c>
      <c r="J82" t="e">
        <f t="shared" si="9"/>
        <v>#REF!</v>
      </c>
      <c r="K82" s="140" t="e">
        <f t="shared" si="10"/>
        <v>#REF!</v>
      </c>
    </row>
    <row r="83" spans="1:11" hidden="1" x14ac:dyDescent="0.25">
      <c r="A83" t="e">
        <f>#REF!</f>
        <v>#REF!</v>
      </c>
      <c r="B83" t="e">
        <f>#REF!</f>
        <v>#REF!</v>
      </c>
      <c r="C83" t="e">
        <f>#REF!</f>
        <v>#REF!</v>
      </c>
      <c r="D83" t="e">
        <f>#REF!</f>
        <v>#REF!</v>
      </c>
      <c r="E83" t="e">
        <f>#REF!</f>
        <v>#REF!</v>
      </c>
      <c r="G83" t="e">
        <f t="shared" si="6"/>
        <v>#REF!</v>
      </c>
      <c r="H83" t="e">
        <f t="shared" si="7"/>
        <v>#REF!</v>
      </c>
      <c r="I83" s="140" t="e">
        <f t="shared" si="8"/>
        <v>#REF!</v>
      </c>
      <c r="J83" t="e">
        <f t="shared" si="9"/>
        <v>#REF!</v>
      </c>
      <c r="K83" s="140" t="e">
        <f t="shared" si="10"/>
        <v>#REF!</v>
      </c>
    </row>
    <row r="84" spans="1:11" hidden="1" x14ac:dyDescent="0.25">
      <c r="A84" t="e">
        <f>#REF!</f>
        <v>#REF!</v>
      </c>
      <c r="B84" t="e">
        <f>#REF!</f>
        <v>#REF!</v>
      </c>
      <c r="C84" t="e">
        <f>#REF!</f>
        <v>#REF!</v>
      </c>
      <c r="D84" t="e">
        <f>#REF!</f>
        <v>#REF!</v>
      </c>
      <c r="E84" t="e">
        <f>#REF!</f>
        <v>#REF!</v>
      </c>
      <c r="G84" t="e">
        <f t="shared" si="6"/>
        <v>#REF!</v>
      </c>
      <c r="H84" t="e">
        <f t="shared" si="7"/>
        <v>#REF!</v>
      </c>
      <c r="I84" s="140" t="e">
        <f t="shared" si="8"/>
        <v>#REF!</v>
      </c>
      <c r="J84" t="e">
        <f t="shared" si="9"/>
        <v>#REF!</v>
      </c>
      <c r="K84" s="140" t="e">
        <f t="shared" si="10"/>
        <v>#REF!</v>
      </c>
    </row>
    <row r="85" spans="1:11" hidden="1" x14ac:dyDescent="0.25">
      <c r="A85" t="e">
        <f>#REF!</f>
        <v>#REF!</v>
      </c>
      <c r="B85" t="e">
        <f>#REF!</f>
        <v>#REF!</v>
      </c>
      <c r="C85" t="e">
        <f>#REF!</f>
        <v>#REF!</v>
      </c>
      <c r="D85" t="e">
        <f>#REF!</f>
        <v>#REF!</v>
      </c>
      <c r="E85" t="e">
        <f>#REF!</f>
        <v>#REF!</v>
      </c>
      <c r="G85" t="e">
        <f t="shared" si="6"/>
        <v>#REF!</v>
      </c>
      <c r="H85" t="e">
        <f t="shared" si="7"/>
        <v>#REF!</v>
      </c>
      <c r="I85" s="140" t="e">
        <f t="shared" si="8"/>
        <v>#REF!</v>
      </c>
      <c r="J85" t="e">
        <f t="shared" si="9"/>
        <v>#REF!</v>
      </c>
      <c r="K85" s="140" t="e">
        <f t="shared" si="10"/>
        <v>#REF!</v>
      </c>
    </row>
    <row r="86" spans="1:11" hidden="1" x14ac:dyDescent="0.25">
      <c r="A86" t="e">
        <f>#REF!</f>
        <v>#REF!</v>
      </c>
      <c r="B86" t="e">
        <f>#REF!</f>
        <v>#REF!</v>
      </c>
      <c r="C86" t="e">
        <f>#REF!</f>
        <v>#REF!</v>
      </c>
      <c r="D86" t="e">
        <f>#REF!</f>
        <v>#REF!</v>
      </c>
      <c r="E86" t="e">
        <f>#REF!</f>
        <v>#REF!</v>
      </c>
      <c r="G86" t="e">
        <f t="shared" si="6"/>
        <v>#REF!</v>
      </c>
      <c r="H86" t="e">
        <f t="shared" si="7"/>
        <v>#REF!</v>
      </c>
      <c r="I86" s="140" t="e">
        <f t="shared" si="8"/>
        <v>#REF!</v>
      </c>
      <c r="J86" t="e">
        <f t="shared" si="9"/>
        <v>#REF!</v>
      </c>
      <c r="K86" s="140" t="e">
        <f t="shared" si="10"/>
        <v>#REF!</v>
      </c>
    </row>
    <row r="87" spans="1:11" hidden="1" x14ac:dyDescent="0.25">
      <c r="A87" t="e">
        <f>#REF!</f>
        <v>#REF!</v>
      </c>
      <c r="B87" t="e">
        <f>#REF!</f>
        <v>#REF!</v>
      </c>
      <c r="C87" t="e">
        <f>#REF!</f>
        <v>#REF!</v>
      </c>
      <c r="D87" t="e">
        <f>#REF!</f>
        <v>#REF!</v>
      </c>
      <c r="E87" t="e">
        <f>#REF!</f>
        <v>#REF!</v>
      </c>
      <c r="G87" t="e">
        <f t="shared" si="6"/>
        <v>#REF!</v>
      </c>
      <c r="H87" t="e">
        <f t="shared" si="7"/>
        <v>#REF!</v>
      </c>
      <c r="I87" s="140" t="e">
        <f t="shared" si="8"/>
        <v>#REF!</v>
      </c>
      <c r="J87" t="e">
        <f t="shared" si="9"/>
        <v>#REF!</v>
      </c>
      <c r="K87" s="140" t="e">
        <f t="shared" si="10"/>
        <v>#REF!</v>
      </c>
    </row>
    <row r="88" spans="1:11" hidden="1" x14ac:dyDescent="0.25">
      <c r="A88" t="e">
        <f>#REF!</f>
        <v>#REF!</v>
      </c>
      <c r="B88" t="e">
        <f>#REF!</f>
        <v>#REF!</v>
      </c>
      <c r="C88" t="e">
        <f>#REF!</f>
        <v>#REF!</v>
      </c>
      <c r="D88" t="e">
        <f>#REF!</f>
        <v>#REF!</v>
      </c>
      <c r="E88" t="e">
        <f>#REF!</f>
        <v>#REF!</v>
      </c>
      <c r="G88" t="e">
        <f t="shared" si="6"/>
        <v>#REF!</v>
      </c>
      <c r="H88" t="e">
        <f t="shared" si="7"/>
        <v>#REF!</v>
      </c>
      <c r="I88" s="140" t="e">
        <f t="shared" si="8"/>
        <v>#REF!</v>
      </c>
      <c r="J88" t="e">
        <f t="shared" si="9"/>
        <v>#REF!</v>
      </c>
      <c r="K88" s="140" t="e">
        <f t="shared" si="10"/>
        <v>#REF!</v>
      </c>
    </row>
    <row r="89" spans="1:11" hidden="1" x14ac:dyDescent="0.25">
      <c r="A89" t="e">
        <f>#REF!</f>
        <v>#REF!</v>
      </c>
      <c r="B89" t="e">
        <f>#REF!</f>
        <v>#REF!</v>
      </c>
      <c r="C89" t="e">
        <f>#REF!</f>
        <v>#REF!</v>
      </c>
      <c r="D89" t="e">
        <f>#REF!</f>
        <v>#REF!</v>
      </c>
      <c r="E89" t="e">
        <f>#REF!</f>
        <v>#REF!</v>
      </c>
      <c r="G89" t="e">
        <f t="shared" si="6"/>
        <v>#REF!</v>
      </c>
      <c r="H89" t="e">
        <f t="shared" si="7"/>
        <v>#REF!</v>
      </c>
      <c r="I89" s="140" t="e">
        <f t="shared" si="8"/>
        <v>#REF!</v>
      </c>
      <c r="J89" t="e">
        <f t="shared" si="9"/>
        <v>#REF!</v>
      </c>
      <c r="K89" s="140" t="e">
        <f t="shared" si="10"/>
        <v>#REF!</v>
      </c>
    </row>
    <row r="90" spans="1:11" hidden="1" x14ac:dyDescent="0.25">
      <c r="A90" t="e">
        <f>#REF!</f>
        <v>#REF!</v>
      </c>
      <c r="B90" t="e">
        <f>#REF!</f>
        <v>#REF!</v>
      </c>
      <c r="C90" t="e">
        <f>#REF!</f>
        <v>#REF!</v>
      </c>
      <c r="D90" t="e">
        <f>#REF!</f>
        <v>#REF!</v>
      </c>
      <c r="E90" t="e">
        <f>#REF!</f>
        <v>#REF!</v>
      </c>
      <c r="G90" t="e">
        <f t="shared" si="6"/>
        <v>#REF!</v>
      </c>
      <c r="H90" t="e">
        <f t="shared" si="7"/>
        <v>#REF!</v>
      </c>
      <c r="I90" s="140" t="e">
        <f t="shared" si="8"/>
        <v>#REF!</v>
      </c>
      <c r="J90" t="e">
        <f t="shared" si="9"/>
        <v>#REF!</v>
      </c>
      <c r="K90" s="140" t="e">
        <f t="shared" si="10"/>
        <v>#REF!</v>
      </c>
    </row>
    <row r="91" spans="1:11" x14ac:dyDescent="0.25">
      <c r="A91" t="e">
        <f>#REF!</f>
        <v>#REF!</v>
      </c>
      <c r="B91" t="e">
        <f>#REF!</f>
        <v>#REF!</v>
      </c>
      <c r="C91" t="e">
        <f>#REF!</f>
        <v>#REF!</v>
      </c>
      <c r="D91" t="e">
        <f>#REF!</f>
        <v>#REF!</v>
      </c>
      <c r="E91" t="e">
        <f>#REF!</f>
        <v>#REF!</v>
      </c>
      <c r="G91" t="e">
        <f t="shared" si="6"/>
        <v>#REF!</v>
      </c>
      <c r="H91" t="e">
        <f t="shared" si="7"/>
        <v>#REF!</v>
      </c>
      <c r="I91" t="e">
        <f t="shared" si="8"/>
        <v>#REF!</v>
      </c>
      <c r="J91" t="e">
        <f t="shared" si="9"/>
        <v>#REF!</v>
      </c>
      <c r="K91" t="e">
        <f t="shared" si="10"/>
        <v>#REF!</v>
      </c>
    </row>
    <row r="92" spans="1:11" hidden="1" x14ac:dyDescent="0.25">
      <c r="A92" t="e">
        <f>#REF!</f>
        <v>#REF!</v>
      </c>
      <c r="B92" t="e">
        <f>#REF!</f>
        <v>#REF!</v>
      </c>
      <c r="C92" t="e">
        <f>#REF!</f>
        <v>#REF!</v>
      </c>
      <c r="D92" t="e">
        <f>#REF!</f>
        <v>#REF!</v>
      </c>
      <c r="E92" t="e">
        <f>#REF!</f>
        <v>#REF!</v>
      </c>
      <c r="G92" t="e">
        <f t="shared" si="6"/>
        <v>#REF!</v>
      </c>
      <c r="H92" t="e">
        <f t="shared" si="7"/>
        <v>#REF!</v>
      </c>
      <c r="I92" s="141" t="e">
        <f t="shared" si="8"/>
        <v>#REF!</v>
      </c>
      <c r="J92" t="e">
        <f t="shared" si="9"/>
        <v>#REF!</v>
      </c>
      <c r="K92" s="141" t="e">
        <f t="shared" si="10"/>
        <v>#REF!</v>
      </c>
    </row>
    <row r="93" spans="1:11" hidden="1" x14ac:dyDescent="0.25">
      <c r="A93" t="e">
        <f>#REF!</f>
        <v>#REF!</v>
      </c>
      <c r="B93" t="e">
        <f>#REF!</f>
        <v>#REF!</v>
      </c>
      <c r="C93" t="e">
        <f>#REF!</f>
        <v>#REF!</v>
      </c>
      <c r="D93" t="e">
        <f>#REF!</f>
        <v>#REF!</v>
      </c>
      <c r="E93" t="e">
        <f>#REF!</f>
        <v>#REF!</v>
      </c>
      <c r="G93" t="e">
        <f t="shared" si="6"/>
        <v>#REF!</v>
      </c>
      <c r="H93" t="e">
        <f t="shared" si="7"/>
        <v>#REF!</v>
      </c>
      <c r="I93" s="141" t="e">
        <f t="shared" si="8"/>
        <v>#REF!</v>
      </c>
      <c r="J93" t="e">
        <f t="shared" si="9"/>
        <v>#REF!</v>
      </c>
      <c r="K93" s="141" t="e">
        <f t="shared" si="10"/>
        <v>#REF!</v>
      </c>
    </row>
    <row r="94" spans="1:11" hidden="1" x14ac:dyDescent="0.25">
      <c r="A94" t="e">
        <f>#REF!</f>
        <v>#REF!</v>
      </c>
      <c r="B94" t="e">
        <f>#REF!</f>
        <v>#REF!</v>
      </c>
      <c r="C94" t="e">
        <f>#REF!</f>
        <v>#REF!</v>
      </c>
      <c r="D94" t="e">
        <f>#REF!</f>
        <v>#REF!</v>
      </c>
      <c r="E94" t="e">
        <f>#REF!</f>
        <v>#REF!</v>
      </c>
      <c r="G94" t="e">
        <f t="shared" si="6"/>
        <v>#REF!</v>
      </c>
      <c r="H94" t="e">
        <f t="shared" si="7"/>
        <v>#REF!</v>
      </c>
      <c r="I94" s="141" t="e">
        <f t="shared" si="8"/>
        <v>#REF!</v>
      </c>
      <c r="J94" t="e">
        <f t="shared" si="9"/>
        <v>#REF!</v>
      </c>
      <c r="K94" s="141" t="e">
        <f t="shared" si="10"/>
        <v>#REF!</v>
      </c>
    </row>
    <row r="95" spans="1:11" hidden="1" x14ac:dyDescent="0.25">
      <c r="A95" t="e">
        <f>#REF!</f>
        <v>#REF!</v>
      </c>
      <c r="B95" t="e">
        <f>#REF!</f>
        <v>#REF!</v>
      </c>
      <c r="C95" t="e">
        <f>#REF!</f>
        <v>#REF!</v>
      </c>
      <c r="D95" t="e">
        <f>#REF!</f>
        <v>#REF!</v>
      </c>
      <c r="E95" t="e">
        <f>#REF!</f>
        <v>#REF!</v>
      </c>
      <c r="G95" t="e">
        <f t="shared" si="6"/>
        <v>#REF!</v>
      </c>
      <c r="H95" t="e">
        <f t="shared" si="7"/>
        <v>#REF!</v>
      </c>
      <c r="I95" s="141" t="e">
        <f t="shared" si="8"/>
        <v>#REF!</v>
      </c>
      <c r="J95" t="e">
        <f t="shared" si="9"/>
        <v>#REF!</v>
      </c>
      <c r="K95" s="141" t="e">
        <f t="shared" si="10"/>
        <v>#REF!</v>
      </c>
    </row>
    <row r="96" spans="1:11" hidden="1" x14ac:dyDescent="0.25">
      <c r="A96" t="e">
        <f>#REF!</f>
        <v>#REF!</v>
      </c>
      <c r="B96" t="e">
        <f>#REF!</f>
        <v>#REF!</v>
      </c>
      <c r="C96" t="e">
        <f>#REF!</f>
        <v>#REF!</v>
      </c>
      <c r="D96" t="e">
        <f>#REF!</f>
        <v>#REF!</v>
      </c>
      <c r="E96" t="e">
        <f>#REF!</f>
        <v>#REF!</v>
      </c>
      <c r="G96" t="e">
        <f t="shared" si="6"/>
        <v>#REF!</v>
      </c>
      <c r="H96" t="e">
        <f t="shared" si="7"/>
        <v>#REF!</v>
      </c>
      <c r="I96" s="141" t="e">
        <f t="shared" si="8"/>
        <v>#REF!</v>
      </c>
      <c r="J96" t="e">
        <f t="shared" si="9"/>
        <v>#REF!</v>
      </c>
      <c r="K96" s="141" t="e">
        <f t="shared" si="10"/>
        <v>#REF!</v>
      </c>
    </row>
    <row r="97" spans="1:11" hidden="1" x14ac:dyDescent="0.25">
      <c r="A97" t="e">
        <f>#REF!</f>
        <v>#REF!</v>
      </c>
      <c r="B97" t="e">
        <f>#REF!</f>
        <v>#REF!</v>
      </c>
      <c r="C97" t="e">
        <f>#REF!</f>
        <v>#REF!</v>
      </c>
      <c r="D97" t="e">
        <f>#REF!</f>
        <v>#REF!</v>
      </c>
      <c r="E97" t="e">
        <f>#REF!</f>
        <v>#REF!</v>
      </c>
      <c r="G97" t="e">
        <f t="shared" si="6"/>
        <v>#REF!</v>
      </c>
      <c r="H97" t="e">
        <f t="shared" si="7"/>
        <v>#REF!</v>
      </c>
      <c r="I97" s="141" t="e">
        <f t="shared" si="8"/>
        <v>#REF!</v>
      </c>
      <c r="J97" t="e">
        <f t="shared" si="9"/>
        <v>#REF!</v>
      </c>
      <c r="K97" s="141" t="e">
        <f t="shared" si="10"/>
        <v>#REF!</v>
      </c>
    </row>
    <row r="98" spans="1:11" hidden="1" x14ac:dyDescent="0.25">
      <c r="A98" t="e">
        <f>#REF!</f>
        <v>#REF!</v>
      </c>
      <c r="B98" t="e">
        <f>#REF!</f>
        <v>#REF!</v>
      </c>
      <c r="C98" t="e">
        <f>#REF!</f>
        <v>#REF!</v>
      </c>
      <c r="D98" t="e">
        <f>#REF!</f>
        <v>#REF!</v>
      </c>
      <c r="E98" t="e">
        <f>#REF!</f>
        <v>#REF!</v>
      </c>
      <c r="G98" t="e">
        <f t="shared" si="6"/>
        <v>#REF!</v>
      </c>
      <c r="H98" t="e">
        <f t="shared" si="7"/>
        <v>#REF!</v>
      </c>
      <c r="I98" s="141" t="e">
        <f t="shared" si="8"/>
        <v>#REF!</v>
      </c>
      <c r="J98" t="e">
        <f t="shared" si="9"/>
        <v>#REF!</v>
      </c>
      <c r="K98" s="141" t="e">
        <f t="shared" si="10"/>
        <v>#REF!</v>
      </c>
    </row>
    <row r="99" spans="1:11" hidden="1" x14ac:dyDescent="0.25">
      <c r="A99" t="e">
        <f>#REF!</f>
        <v>#REF!</v>
      </c>
      <c r="B99" t="e">
        <f>#REF!</f>
        <v>#REF!</v>
      </c>
      <c r="C99" t="e">
        <f>#REF!</f>
        <v>#REF!</v>
      </c>
      <c r="D99" t="e">
        <f>#REF!</f>
        <v>#REF!</v>
      </c>
      <c r="E99" t="e">
        <f>#REF!</f>
        <v>#REF!</v>
      </c>
      <c r="G99" t="e">
        <f t="shared" si="6"/>
        <v>#REF!</v>
      </c>
      <c r="H99" t="e">
        <f t="shared" si="7"/>
        <v>#REF!</v>
      </c>
      <c r="I99" s="141" t="e">
        <f t="shared" si="8"/>
        <v>#REF!</v>
      </c>
      <c r="J99" t="e">
        <f t="shared" si="9"/>
        <v>#REF!</v>
      </c>
      <c r="K99" s="141" t="e">
        <f t="shared" si="10"/>
        <v>#REF!</v>
      </c>
    </row>
    <row r="100" spans="1:11" hidden="1" x14ac:dyDescent="0.25">
      <c r="A100" t="e">
        <f>#REF!</f>
        <v>#REF!</v>
      </c>
      <c r="B100" t="e">
        <f>#REF!</f>
        <v>#REF!</v>
      </c>
      <c r="C100" t="e">
        <f>#REF!</f>
        <v>#REF!</v>
      </c>
      <c r="D100" t="e">
        <f>#REF!</f>
        <v>#REF!</v>
      </c>
      <c r="E100" t="e">
        <f>#REF!</f>
        <v>#REF!</v>
      </c>
      <c r="G100" t="e">
        <f t="shared" si="6"/>
        <v>#REF!</v>
      </c>
      <c r="H100" t="e">
        <f t="shared" si="7"/>
        <v>#REF!</v>
      </c>
      <c r="I100" s="141" t="e">
        <f t="shared" si="8"/>
        <v>#REF!</v>
      </c>
      <c r="J100" t="e">
        <f t="shared" si="9"/>
        <v>#REF!</v>
      </c>
      <c r="K100" s="141" t="e">
        <f t="shared" si="10"/>
        <v>#REF!</v>
      </c>
    </row>
    <row r="101" spans="1:11" hidden="1" x14ac:dyDescent="0.25">
      <c r="A101" t="e">
        <f>#REF!</f>
        <v>#REF!</v>
      </c>
      <c r="B101" t="e">
        <f>#REF!</f>
        <v>#REF!</v>
      </c>
      <c r="C101" t="e">
        <f>#REF!</f>
        <v>#REF!</v>
      </c>
      <c r="D101" t="e">
        <f>#REF!</f>
        <v>#REF!</v>
      </c>
      <c r="E101" t="e">
        <f>#REF!</f>
        <v>#REF!</v>
      </c>
      <c r="G101" t="e">
        <f t="shared" si="6"/>
        <v>#REF!</v>
      </c>
      <c r="H101" t="e">
        <f t="shared" si="7"/>
        <v>#REF!</v>
      </c>
      <c r="I101" s="141" t="e">
        <f t="shared" si="8"/>
        <v>#REF!</v>
      </c>
      <c r="J101" t="e">
        <f t="shared" si="9"/>
        <v>#REF!</v>
      </c>
      <c r="K101" s="141" t="e">
        <f t="shared" si="10"/>
        <v>#REF!</v>
      </c>
    </row>
    <row r="102" spans="1:11" hidden="1" x14ac:dyDescent="0.25">
      <c r="A102" t="e">
        <f>#REF!</f>
        <v>#REF!</v>
      </c>
      <c r="B102" t="e">
        <f>#REF!</f>
        <v>#REF!</v>
      </c>
      <c r="C102" t="e">
        <f>#REF!</f>
        <v>#REF!</v>
      </c>
      <c r="D102" t="e">
        <f>#REF!</f>
        <v>#REF!</v>
      </c>
      <c r="E102" t="e">
        <f>#REF!</f>
        <v>#REF!</v>
      </c>
      <c r="G102" t="e">
        <f t="shared" si="6"/>
        <v>#REF!</v>
      </c>
      <c r="H102" t="e">
        <f t="shared" si="7"/>
        <v>#REF!</v>
      </c>
      <c r="I102" s="141" t="e">
        <f t="shared" si="8"/>
        <v>#REF!</v>
      </c>
      <c r="J102" t="e">
        <f t="shared" si="9"/>
        <v>#REF!</v>
      </c>
      <c r="K102" s="141" t="e">
        <f t="shared" si="10"/>
        <v>#REF!</v>
      </c>
    </row>
    <row r="103" spans="1:11" hidden="1" x14ac:dyDescent="0.25">
      <c r="A103" t="e">
        <f>#REF!</f>
        <v>#REF!</v>
      </c>
      <c r="B103" t="e">
        <f>#REF!</f>
        <v>#REF!</v>
      </c>
      <c r="C103" t="e">
        <f>#REF!</f>
        <v>#REF!</v>
      </c>
      <c r="D103" t="e">
        <f>#REF!</f>
        <v>#REF!</v>
      </c>
      <c r="E103" t="e">
        <f>#REF!</f>
        <v>#REF!</v>
      </c>
      <c r="G103" t="e">
        <f t="shared" si="6"/>
        <v>#REF!</v>
      </c>
      <c r="H103" t="e">
        <f t="shared" si="7"/>
        <v>#REF!</v>
      </c>
      <c r="I103" s="141" t="e">
        <f t="shared" si="8"/>
        <v>#REF!</v>
      </c>
      <c r="J103" t="e">
        <f t="shared" si="9"/>
        <v>#REF!</v>
      </c>
      <c r="K103" s="141" t="e">
        <f t="shared" si="10"/>
        <v>#REF!</v>
      </c>
    </row>
    <row r="104" spans="1:11" hidden="1" x14ac:dyDescent="0.25">
      <c r="A104" t="e">
        <f>#REF!</f>
        <v>#REF!</v>
      </c>
      <c r="B104" t="e">
        <f>#REF!</f>
        <v>#REF!</v>
      </c>
      <c r="C104" t="e">
        <f>#REF!</f>
        <v>#REF!</v>
      </c>
      <c r="D104" t="e">
        <f>#REF!</f>
        <v>#REF!</v>
      </c>
      <c r="E104" t="e">
        <f>#REF!</f>
        <v>#REF!</v>
      </c>
      <c r="G104" t="e">
        <f t="shared" si="6"/>
        <v>#REF!</v>
      </c>
      <c r="H104" t="e">
        <f t="shared" si="7"/>
        <v>#REF!</v>
      </c>
      <c r="I104" s="141" t="e">
        <f t="shared" si="8"/>
        <v>#REF!</v>
      </c>
      <c r="J104" t="e">
        <f t="shared" si="9"/>
        <v>#REF!</v>
      </c>
      <c r="K104" s="141" t="e">
        <f t="shared" si="10"/>
        <v>#REF!</v>
      </c>
    </row>
    <row r="105" spans="1:11" hidden="1" x14ac:dyDescent="0.25">
      <c r="A105" t="e">
        <f>#REF!</f>
        <v>#REF!</v>
      </c>
      <c r="B105" t="e">
        <f>#REF!</f>
        <v>#REF!</v>
      </c>
      <c r="C105" t="e">
        <f>#REF!</f>
        <v>#REF!</v>
      </c>
      <c r="D105" t="e">
        <f>#REF!</f>
        <v>#REF!</v>
      </c>
      <c r="E105" t="e">
        <f>#REF!</f>
        <v>#REF!</v>
      </c>
      <c r="G105" t="e">
        <f t="shared" si="6"/>
        <v>#REF!</v>
      </c>
      <c r="H105" t="e">
        <f t="shared" si="7"/>
        <v>#REF!</v>
      </c>
      <c r="I105" s="141" t="e">
        <f t="shared" si="8"/>
        <v>#REF!</v>
      </c>
      <c r="J105" t="e">
        <f t="shared" si="9"/>
        <v>#REF!</v>
      </c>
      <c r="K105" s="141" t="e">
        <f t="shared" si="10"/>
        <v>#REF!</v>
      </c>
    </row>
    <row r="106" spans="1:11" hidden="1" x14ac:dyDescent="0.25">
      <c r="A106" t="e">
        <f>#REF!</f>
        <v>#REF!</v>
      </c>
      <c r="B106" t="e">
        <f>#REF!</f>
        <v>#REF!</v>
      </c>
      <c r="C106" t="e">
        <f>#REF!</f>
        <v>#REF!</v>
      </c>
      <c r="D106" t="e">
        <f>#REF!</f>
        <v>#REF!</v>
      </c>
      <c r="E106" t="e">
        <f>#REF!</f>
        <v>#REF!</v>
      </c>
      <c r="G106" t="e">
        <f t="shared" si="6"/>
        <v>#REF!</v>
      </c>
      <c r="H106" t="e">
        <f t="shared" si="7"/>
        <v>#REF!</v>
      </c>
      <c r="I106" s="141" t="e">
        <f t="shared" si="8"/>
        <v>#REF!</v>
      </c>
      <c r="J106" t="e">
        <f t="shared" si="9"/>
        <v>#REF!</v>
      </c>
      <c r="K106" s="141" t="e">
        <f t="shared" si="10"/>
        <v>#REF!</v>
      </c>
    </row>
    <row r="107" spans="1:11" hidden="1" x14ac:dyDescent="0.25">
      <c r="A107" t="e">
        <f>#REF!</f>
        <v>#REF!</v>
      </c>
      <c r="B107" t="e">
        <f>#REF!</f>
        <v>#REF!</v>
      </c>
      <c r="C107" t="e">
        <f>#REF!</f>
        <v>#REF!</v>
      </c>
      <c r="D107" t="e">
        <f>#REF!</f>
        <v>#REF!</v>
      </c>
      <c r="E107" t="e">
        <f>#REF!</f>
        <v>#REF!</v>
      </c>
      <c r="G107" t="e">
        <f t="shared" si="6"/>
        <v>#REF!</v>
      </c>
      <c r="H107" t="e">
        <f t="shared" si="7"/>
        <v>#REF!</v>
      </c>
      <c r="I107" s="141" t="e">
        <f t="shared" si="8"/>
        <v>#REF!</v>
      </c>
      <c r="J107" t="e">
        <f t="shared" si="9"/>
        <v>#REF!</v>
      </c>
      <c r="K107" s="141" t="e">
        <f t="shared" si="10"/>
        <v>#REF!</v>
      </c>
    </row>
    <row r="108" spans="1:11" hidden="1" x14ac:dyDescent="0.25">
      <c r="A108" t="e">
        <f>#REF!</f>
        <v>#REF!</v>
      </c>
      <c r="B108" t="e">
        <f>#REF!</f>
        <v>#REF!</v>
      </c>
      <c r="C108" t="e">
        <f>#REF!</f>
        <v>#REF!</v>
      </c>
      <c r="D108" t="e">
        <f>#REF!</f>
        <v>#REF!</v>
      </c>
      <c r="E108" t="e">
        <f>#REF!</f>
        <v>#REF!</v>
      </c>
      <c r="G108" t="e">
        <f t="shared" si="6"/>
        <v>#REF!</v>
      </c>
      <c r="H108" t="e">
        <f t="shared" si="7"/>
        <v>#REF!</v>
      </c>
      <c r="I108" s="141" t="e">
        <f t="shared" si="8"/>
        <v>#REF!</v>
      </c>
      <c r="J108" t="e">
        <f t="shared" si="9"/>
        <v>#REF!</v>
      </c>
      <c r="K108" s="141" t="e">
        <f t="shared" si="10"/>
        <v>#REF!</v>
      </c>
    </row>
    <row r="109" spans="1:11" hidden="1" x14ac:dyDescent="0.25">
      <c r="A109" t="e">
        <f>#REF!</f>
        <v>#REF!</v>
      </c>
      <c r="B109" t="e">
        <f>#REF!</f>
        <v>#REF!</v>
      </c>
      <c r="C109" t="e">
        <f>#REF!</f>
        <v>#REF!</v>
      </c>
      <c r="D109" t="e">
        <f>#REF!</f>
        <v>#REF!</v>
      </c>
      <c r="E109" t="e">
        <f>#REF!</f>
        <v>#REF!</v>
      </c>
      <c r="G109" t="e">
        <f t="shared" si="6"/>
        <v>#REF!</v>
      </c>
      <c r="H109" t="e">
        <f t="shared" si="7"/>
        <v>#REF!</v>
      </c>
      <c r="I109" s="141" t="e">
        <f t="shared" si="8"/>
        <v>#REF!</v>
      </c>
      <c r="J109" t="e">
        <f t="shared" si="9"/>
        <v>#REF!</v>
      </c>
      <c r="K109" s="141" t="e">
        <f t="shared" si="10"/>
        <v>#REF!</v>
      </c>
    </row>
    <row r="110" spans="1:11" hidden="1" x14ac:dyDescent="0.25">
      <c r="A110" t="e">
        <f>#REF!</f>
        <v>#REF!</v>
      </c>
      <c r="B110" t="e">
        <f>#REF!</f>
        <v>#REF!</v>
      </c>
      <c r="C110" t="e">
        <f>#REF!</f>
        <v>#REF!</v>
      </c>
      <c r="D110" t="e">
        <f>#REF!</f>
        <v>#REF!</v>
      </c>
      <c r="E110" t="e">
        <f>#REF!</f>
        <v>#REF!</v>
      </c>
      <c r="G110" t="e">
        <f t="shared" si="6"/>
        <v>#REF!</v>
      </c>
      <c r="H110" t="e">
        <f t="shared" si="7"/>
        <v>#REF!</v>
      </c>
      <c r="I110" s="141" t="e">
        <f t="shared" si="8"/>
        <v>#REF!</v>
      </c>
      <c r="J110" t="e">
        <f t="shared" si="9"/>
        <v>#REF!</v>
      </c>
      <c r="K110" s="141" t="e">
        <f t="shared" si="10"/>
        <v>#REF!</v>
      </c>
    </row>
    <row r="111" spans="1:11" hidden="1" x14ac:dyDescent="0.25">
      <c r="A111" t="e">
        <f>#REF!</f>
        <v>#REF!</v>
      </c>
      <c r="B111" t="e">
        <f>#REF!</f>
        <v>#REF!</v>
      </c>
      <c r="C111" t="e">
        <f>#REF!</f>
        <v>#REF!</v>
      </c>
      <c r="D111" t="e">
        <f>#REF!</f>
        <v>#REF!</v>
      </c>
      <c r="E111" t="e">
        <f>#REF!</f>
        <v>#REF!</v>
      </c>
      <c r="G111" t="e">
        <f t="shared" si="6"/>
        <v>#REF!</v>
      </c>
      <c r="H111" t="e">
        <f t="shared" si="7"/>
        <v>#REF!</v>
      </c>
      <c r="I111" s="141" t="e">
        <f t="shared" si="8"/>
        <v>#REF!</v>
      </c>
      <c r="J111" t="e">
        <f t="shared" si="9"/>
        <v>#REF!</v>
      </c>
      <c r="K111" s="141" t="e">
        <f t="shared" si="10"/>
        <v>#REF!</v>
      </c>
    </row>
    <row r="112" spans="1:11" hidden="1" x14ac:dyDescent="0.25">
      <c r="A112" t="e">
        <f>#REF!</f>
        <v>#REF!</v>
      </c>
      <c r="B112" t="e">
        <f>#REF!</f>
        <v>#REF!</v>
      </c>
      <c r="C112" t="e">
        <f>#REF!</f>
        <v>#REF!</v>
      </c>
      <c r="D112" t="e">
        <f>#REF!</f>
        <v>#REF!</v>
      </c>
      <c r="E112" t="e">
        <f>#REF!</f>
        <v>#REF!</v>
      </c>
      <c r="G112" t="e">
        <f t="shared" si="6"/>
        <v>#REF!</v>
      </c>
      <c r="H112" t="e">
        <f t="shared" si="7"/>
        <v>#REF!</v>
      </c>
      <c r="I112" s="141" t="e">
        <f t="shared" si="8"/>
        <v>#REF!</v>
      </c>
      <c r="J112" t="e">
        <f t="shared" si="9"/>
        <v>#REF!</v>
      </c>
      <c r="K112" s="141" t="e">
        <f t="shared" si="10"/>
        <v>#REF!</v>
      </c>
    </row>
    <row r="113" spans="1:11" hidden="1" x14ac:dyDescent="0.25">
      <c r="A113" t="e">
        <f>#REF!</f>
        <v>#REF!</v>
      </c>
      <c r="B113" t="e">
        <f>#REF!</f>
        <v>#REF!</v>
      </c>
      <c r="C113" t="e">
        <f>#REF!</f>
        <v>#REF!</v>
      </c>
      <c r="D113" t="e">
        <f>#REF!</f>
        <v>#REF!</v>
      </c>
      <c r="E113" t="e">
        <f>#REF!</f>
        <v>#REF!</v>
      </c>
      <c r="G113" t="e">
        <f t="shared" si="6"/>
        <v>#REF!</v>
      </c>
      <c r="H113" t="e">
        <f t="shared" si="7"/>
        <v>#REF!</v>
      </c>
      <c r="I113" s="141" t="e">
        <f t="shared" si="8"/>
        <v>#REF!</v>
      </c>
      <c r="J113" t="e">
        <f t="shared" si="9"/>
        <v>#REF!</v>
      </c>
      <c r="K113" s="141" t="e">
        <f t="shared" si="10"/>
        <v>#REF!</v>
      </c>
    </row>
    <row r="114" spans="1:11" hidden="1" x14ac:dyDescent="0.25">
      <c r="A114" t="e">
        <f>#REF!</f>
        <v>#REF!</v>
      </c>
      <c r="B114" t="e">
        <f>#REF!</f>
        <v>#REF!</v>
      </c>
      <c r="C114" t="e">
        <f>#REF!</f>
        <v>#REF!</v>
      </c>
      <c r="D114" t="e">
        <f>#REF!</f>
        <v>#REF!</v>
      </c>
      <c r="E114" t="e">
        <f>#REF!</f>
        <v>#REF!</v>
      </c>
      <c r="G114" t="e">
        <f t="shared" si="6"/>
        <v>#REF!</v>
      </c>
      <c r="H114" t="e">
        <f t="shared" si="7"/>
        <v>#REF!</v>
      </c>
      <c r="I114" s="141" t="e">
        <f t="shared" si="8"/>
        <v>#REF!</v>
      </c>
      <c r="J114" t="e">
        <f t="shared" si="9"/>
        <v>#REF!</v>
      </c>
      <c r="K114" s="141" t="e">
        <f t="shared" si="10"/>
        <v>#REF!</v>
      </c>
    </row>
    <row r="115" spans="1:11" hidden="1" x14ac:dyDescent="0.25">
      <c r="A115" t="e">
        <f>#REF!</f>
        <v>#REF!</v>
      </c>
      <c r="B115" t="e">
        <f>#REF!</f>
        <v>#REF!</v>
      </c>
      <c r="C115" t="e">
        <f>#REF!</f>
        <v>#REF!</v>
      </c>
      <c r="D115" t="e">
        <f>#REF!</f>
        <v>#REF!</v>
      </c>
      <c r="E115" t="e">
        <f>#REF!</f>
        <v>#REF!</v>
      </c>
      <c r="G115" t="e">
        <f t="shared" si="6"/>
        <v>#REF!</v>
      </c>
      <c r="H115" t="e">
        <f t="shared" si="7"/>
        <v>#REF!</v>
      </c>
      <c r="I115" s="141" t="e">
        <f t="shared" si="8"/>
        <v>#REF!</v>
      </c>
      <c r="J115" t="e">
        <f t="shared" si="9"/>
        <v>#REF!</v>
      </c>
      <c r="K115" s="141" t="e">
        <f t="shared" si="10"/>
        <v>#REF!</v>
      </c>
    </row>
    <row r="116" spans="1:11" hidden="1" x14ac:dyDescent="0.25">
      <c r="A116" t="e">
        <f>#REF!</f>
        <v>#REF!</v>
      </c>
      <c r="B116" t="e">
        <f>#REF!</f>
        <v>#REF!</v>
      </c>
      <c r="C116" t="e">
        <f>#REF!</f>
        <v>#REF!</v>
      </c>
      <c r="D116" t="e">
        <f>#REF!</f>
        <v>#REF!</v>
      </c>
      <c r="E116" t="e">
        <f>#REF!</f>
        <v>#REF!</v>
      </c>
      <c r="G116" t="e">
        <f t="shared" si="6"/>
        <v>#REF!</v>
      </c>
      <c r="H116" t="e">
        <f t="shared" si="7"/>
        <v>#REF!</v>
      </c>
      <c r="I116" s="141" t="e">
        <f t="shared" si="8"/>
        <v>#REF!</v>
      </c>
      <c r="J116" t="e">
        <f t="shared" si="9"/>
        <v>#REF!</v>
      </c>
      <c r="K116" s="141" t="e">
        <f t="shared" si="10"/>
        <v>#REF!</v>
      </c>
    </row>
    <row r="117" spans="1:11" hidden="1" x14ac:dyDescent="0.25">
      <c r="A117" t="e">
        <f>#REF!</f>
        <v>#REF!</v>
      </c>
      <c r="B117" t="e">
        <f>#REF!</f>
        <v>#REF!</v>
      </c>
      <c r="C117" t="e">
        <f>#REF!</f>
        <v>#REF!</v>
      </c>
      <c r="D117" t="e">
        <f>#REF!</f>
        <v>#REF!</v>
      </c>
      <c r="E117" t="e">
        <f>#REF!</f>
        <v>#REF!</v>
      </c>
      <c r="G117" t="e">
        <f t="shared" si="6"/>
        <v>#REF!</v>
      </c>
      <c r="H117" t="e">
        <f t="shared" si="7"/>
        <v>#REF!</v>
      </c>
      <c r="I117" s="141" t="e">
        <f t="shared" si="8"/>
        <v>#REF!</v>
      </c>
      <c r="J117" t="e">
        <f t="shared" si="9"/>
        <v>#REF!</v>
      </c>
      <c r="K117" s="141" t="e">
        <f t="shared" si="10"/>
        <v>#REF!</v>
      </c>
    </row>
    <row r="118" spans="1:11" hidden="1" x14ac:dyDescent="0.25">
      <c r="A118" t="e">
        <f>#REF!</f>
        <v>#REF!</v>
      </c>
      <c r="B118" t="e">
        <f>#REF!</f>
        <v>#REF!</v>
      </c>
      <c r="C118" t="e">
        <f>#REF!</f>
        <v>#REF!</v>
      </c>
      <c r="D118" t="e">
        <f>#REF!</f>
        <v>#REF!</v>
      </c>
      <c r="E118" t="e">
        <f>#REF!</f>
        <v>#REF!</v>
      </c>
      <c r="G118" t="e">
        <f t="shared" si="6"/>
        <v>#REF!</v>
      </c>
      <c r="H118" t="e">
        <f t="shared" si="7"/>
        <v>#REF!</v>
      </c>
      <c r="I118" s="141" t="e">
        <f t="shared" si="8"/>
        <v>#REF!</v>
      </c>
      <c r="J118" t="e">
        <f t="shared" si="9"/>
        <v>#REF!</v>
      </c>
      <c r="K118" s="141" t="e">
        <f t="shared" si="10"/>
        <v>#REF!</v>
      </c>
    </row>
    <row r="119" spans="1:11" hidden="1" x14ac:dyDescent="0.25">
      <c r="A119" t="e">
        <f>#REF!</f>
        <v>#REF!</v>
      </c>
      <c r="B119" t="e">
        <f>#REF!</f>
        <v>#REF!</v>
      </c>
      <c r="C119" t="e">
        <f>#REF!</f>
        <v>#REF!</v>
      </c>
      <c r="D119" t="e">
        <f>#REF!</f>
        <v>#REF!</v>
      </c>
      <c r="E119" t="e">
        <f>#REF!</f>
        <v>#REF!</v>
      </c>
      <c r="G119" t="e">
        <f t="shared" si="6"/>
        <v>#REF!</v>
      </c>
      <c r="H119" t="e">
        <f t="shared" si="7"/>
        <v>#REF!</v>
      </c>
      <c r="I119" s="141" t="e">
        <f t="shared" si="8"/>
        <v>#REF!</v>
      </c>
      <c r="J119" t="e">
        <f t="shared" si="9"/>
        <v>#REF!</v>
      </c>
      <c r="K119" s="141" t="e">
        <f t="shared" si="10"/>
        <v>#REF!</v>
      </c>
    </row>
    <row r="120" spans="1:11" hidden="1" x14ac:dyDescent="0.25">
      <c r="A120" t="e">
        <f>#REF!</f>
        <v>#REF!</v>
      </c>
      <c r="B120" t="e">
        <f>#REF!</f>
        <v>#REF!</v>
      </c>
      <c r="C120" t="e">
        <f>#REF!</f>
        <v>#REF!</v>
      </c>
      <c r="D120" t="e">
        <f>#REF!</f>
        <v>#REF!</v>
      </c>
      <c r="E120" t="e">
        <f>#REF!</f>
        <v>#REF!</v>
      </c>
      <c r="G120" t="e">
        <f t="shared" si="6"/>
        <v>#REF!</v>
      </c>
      <c r="H120" t="e">
        <f t="shared" si="7"/>
        <v>#REF!</v>
      </c>
      <c r="I120" s="141" t="e">
        <f t="shared" si="8"/>
        <v>#REF!</v>
      </c>
      <c r="J120" t="e">
        <f t="shared" si="9"/>
        <v>#REF!</v>
      </c>
      <c r="K120" s="141" t="e">
        <f t="shared" si="10"/>
        <v>#REF!</v>
      </c>
    </row>
    <row r="121" spans="1:11" hidden="1" x14ac:dyDescent="0.25">
      <c r="A121" t="e">
        <f>#REF!</f>
        <v>#REF!</v>
      </c>
      <c r="B121" t="e">
        <f>#REF!</f>
        <v>#REF!</v>
      </c>
      <c r="C121" t="e">
        <f>#REF!</f>
        <v>#REF!</v>
      </c>
      <c r="D121" t="e">
        <f>#REF!</f>
        <v>#REF!</v>
      </c>
      <c r="E121" t="e">
        <f>#REF!</f>
        <v>#REF!</v>
      </c>
      <c r="G121" t="e">
        <f t="shared" si="6"/>
        <v>#REF!</v>
      </c>
      <c r="H121" t="e">
        <f t="shared" si="7"/>
        <v>#REF!</v>
      </c>
      <c r="I121" s="141" t="e">
        <f t="shared" si="8"/>
        <v>#REF!</v>
      </c>
      <c r="J121" t="e">
        <f t="shared" si="9"/>
        <v>#REF!</v>
      </c>
      <c r="K121" s="141" t="e">
        <f t="shared" si="10"/>
        <v>#REF!</v>
      </c>
    </row>
    <row r="122" spans="1:11" hidden="1" x14ac:dyDescent="0.25">
      <c r="A122" t="e">
        <f>#REF!</f>
        <v>#REF!</v>
      </c>
      <c r="B122" t="e">
        <f>#REF!</f>
        <v>#REF!</v>
      </c>
      <c r="C122" t="e">
        <f>#REF!</f>
        <v>#REF!</v>
      </c>
      <c r="D122" t="e">
        <f>#REF!</f>
        <v>#REF!</v>
      </c>
      <c r="E122" t="e">
        <f>#REF!</f>
        <v>#REF!</v>
      </c>
      <c r="G122" t="e">
        <f t="shared" si="6"/>
        <v>#REF!</v>
      </c>
      <c r="H122" t="e">
        <f t="shared" si="7"/>
        <v>#REF!</v>
      </c>
      <c r="I122" s="141" t="e">
        <f t="shared" si="8"/>
        <v>#REF!</v>
      </c>
      <c r="J122" t="e">
        <f t="shared" si="9"/>
        <v>#REF!</v>
      </c>
      <c r="K122" s="141" t="e">
        <f t="shared" si="10"/>
        <v>#REF!</v>
      </c>
    </row>
    <row r="123" spans="1:11" hidden="1" x14ac:dyDescent="0.25">
      <c r="A123" t="e">
        <f>#REF!</f>
        <v>#REF!</v>
      </c>
      <c r="B123" t="e">
        <f>#REF!</f>
        <v>#REF!</v>
      </c>
      <c r="C123" t="e">
        <f>#REF!</f>
        <v>#REF!</v>
      </c>
      <c r="D123" t="e">
        <f>#REF!</f>
        <v>#REF!</v>
      </c>
      <c r="E123" t="e">
        <f>#REF!</f>
        <v>#REF!</v>
      </c>
      <c r="G123" t="e">
        <f t="shared" si="6"/>
        <v>#REF!</v>
      </c>
      <c r="H123" t="e">
        <f t="shared" si="7"/>
        <v>#REF!</v>
      </c>
      <c r="I123" s="141" t="e">
        <f t="shared" si="8"/>
        <v>#REF!</v>
      </c>
      <c r="J123" t="e">
        <f t="shared" si="9"/>
        <v>#REF!</v>
      </c>
      <c r="K123" s="141" t="e">
        <f t="shared" si="10"/>
        <v>#REF!</v>
      </c>
    </row>
    <row r="124" spans="1:11" hidden="1" x14ac:dyDescent="0.25">
      <c r="A124" t="e">
        <f>#REF!</f>
        <v>#REF!</v>
      </c>
      <c r="B124" t="e">
        <f>#REF!</f>
        <v>#REF!</v>
      </c>
      <c r="C124" t="e">
        <f>#REF!</f>
        <v>#REF!</v>
      </c>
      <c r="D124" t="e">
        <f>#REF!</f>
        <v>#REF!</v>
      </c>
      <c r="E124" t="e">
        <f>#REF!</f>
        <v>#REF!</v>
      </c>
      <c r="G124" t="e">
        <f t="shared" si="6"/>
        <v>#REF!</v>
      </c>
      <c r="H124" t="e">
        <f t="shared" si="7"/>
        <v>#REF!</v>
      </c>
      <c r="I124" s="141" t="e">
        <f t="shared" si="8"/>
        <v>#REF!</v>
      </c>
      <c r="J124" t="e">
        <f t="shared" si="9"/>
        <v>#REF!</v>
      </c>
      <c r="K124" s="141" t="e">
        <f t="shared" si="10"/>
        <v>#REF!</v>
      </c>
    </row>
    <row r="125" spans="1:11" hidden="1" x14ac:dyDescent="0.25">
      <c r="A125" t="e">
        <f>#REF!</f>
        <v>#REF!</v>
      </c>
      <c r="B125" t="e">
        <f>#REF!</f>
        <v>#REF!</v>
      </c>
      <c r="C125" t="e">
        <f>#REF!</f>
        <v>#REF!</v>
      </c>
      <c r="D125" t="e">
        <f>#REF!</f>
        <v>#REF!</v>
      </c>
      <c r="E125" t="e">
        <f>#REF!</f>
        <v>#REF!</v>
      </c>
      <c r="G125" t="e">
        <f t="shared" si="6"/>
        <v>#REF!</v>
      </c>
      <c r="H125" t="e">
        <f t="shared" si="7"/>
        <v>#REF!</v>
      </c>
      <c r="I125" s="141" t="e">
        <f t="shared" si="8"/>
        <v>#REF!</v>
      </c>
      <c r="J125" t="e">
        <f t="shared" si="9"/>
        <v>#REF!</v>
      </c>
      <c r="K125" s="141" t="e">
        <f t="shared" si="10"/>
        <v>#REF!</v>
      </c>
    </row>
    <row r="126" spans="1:11" hidden="1" x14ac:dyDescent="0.25">
      <c r="A126" t="e">
        <f>#REF!</f>
        <v>#REF!</v>
      </c>
      <c r="B126" t="e">
        <f>#REF!</f>
        <v>#REF!</v>
      </c>
      <c r="C126" t="e">
        <f>#REF!</f>
        <v>#REF!</v>
      </c>
      <c r="D126" t="e">
        <f>#REF!</f>
        <v>#REF!</v>
      </c>
      <c r="E126" t="e">
        <f>#REF!</f>
        <v>#REF!</v>
      </c>
      <c r="G126" t="e">
        <f t="shared" si="6"/>
        <v>#REF!</v>
      </c>
      <c r="H126" t="e">
        <f t="shared" si="7"/>
        <v>#REF!</v>
      </c>
      <c r="I126" s="141" t="e">
        <f t="shared" si="8"/>
        <v>#REF!</v>
      </c>
      <c r="J126" t="e">
        <f t="shared" si="9"/>
        <v>#REF!</v>
      </c>
      <c r="K126" s="141" t="e">
        <f t="shared" si="10"/>
        <v>#REF!</v>
      </c>
    </row>
    <row r="127" spans="1:11" hidden="1" x14ac:dyDescent="0.25">
      <c r="A127" t="e">
        <f>#REF!</f>
        <v>#REF!</v>
      </c>
      <c r="B127" t="e">
        <f>#REF!</f>
        <v>#REF!</v>
      </c>
      <c r="C127" t="e">
        <f>#REF!</f>
        <v>#REF!</v>
      </c>
      <c r="D127" t="e">
        <f>#REF!</f>
        <v>#REF!</v>
      </c>
      <c r="E127" t="e">
        <f>#REF!</f>
        <v>#REF!</v>
      </c>
      <c r="G127" t="e">
        <f t="shared" si="6"/>
        <v>#REF!</v>
      </c>
      <c r="H127" t="e">
        <f t="shared" si="7"/>
        <v>#REF!</v>
      </c>
      <c r="I127" s="141" t="e">
        <f t="shared" si="8"/>
        <v>#REF!</v>
      </c>
      <c r="J127" t="e">
        <f t="shared" si="9"/>
        <v>#REF!</v>
      </c>
      <c r="K127" s="141" t="e">
        <f t="shared" si="10"/>
        <v>#REF!</v>
      </c>
    </row>
    <row r="128" spans="1:11" hidden="1" x14ac:dyDescent="0.25">
      <c r="A128" t="e">
        <f>#REF!</f>
        <v>#REF!</v>
      </c>
      <c r="B128" t="e">
        <f>#REF!</f>
        <v>#REF!</v>
      </c>
      <c r="C128" t="e">
        <f>#REF!</f>
        <v>#REF!</v>
      </c>
      <c r="D128" t="e">
        <f>#REF!</f>
        <v>#REF!</v>
      </c>
      <c r="E128" t="e">
        <f>#REF!</f>
        <v>#REF!</v>
      </c>
      <c r="G128" t="e">
        <f t="shared" si="6"/>
        <v>#REF!</v>
      </c>
      <c r="H128" t="e">
        <f t="shared" si="7"/>
        <v>#REF!</v>
      </c>
      <c r="I128" s="141" t="e">
        <f t="shared" si="8"/>
        <v>#REF!</v>
      </c>
      <c r="J128" t="e">
        <f t="shared" si="9"/>
        <v>#REF!</v>
      </c>
      <c r="K128" s="141" t="e">
        <f t="shared" si="10"/>
        <v>#REF!</v>
      </c>
    </row>
    <row r="129" spans="1:11" hidden="1" x14ac:dyDescent="0.25">
      <c r="A129" t="e">
        <f>#REF!</f>
        <v>#REF!</v>
      </c>
      <c r="B129" t="e">
        <f>#REF!</f>
        <v>#REF!</v>
      </c>
      <c r="C129" t="e">
        <f>#REF!</f>
        <v>#REF!</v>
      </c>
      <c r="D129" t="e">
        <f>#REF!</f>
        <v>#REF!</v>
      </c>
      <c r="E129" t="e">
        <f>#REF!</f>
        <v>#REF!</v>
      </c>
      <c r="G129" t="e">
        <f t="shared" si="6"/>
        <v>#REF!</v>
      </c>
      <c r="H129" t="e">
        <f t="shared" si="7"/>
        <v>#REF!</v>
      </c>
      <c r="I129" s="141" t="e">
        <f t="shared" si="8"/>
        <v>#REF!</v>
      </c>
      <c r="J129" t="e">
        <f t="shared" si="9"/>
        <v>#REF!</v>
      </c>
      <c r="K129" s="141" t="e">
        <f t="shared" si="10"/>
        <v>#REF!</v>
      </c>
    </row>
    <row r="130" spans="1:11" hidden="1" x14ac:dyDescent="0.25">
      <c r="A130" t="e">
        <f>#REF!</f>
        <v>#REF!</v>
      </c>
      <c r="B130" t="e">
        <f>#REF!</f>
        <v>#REF!</v>
      </c>
      <c r="C130" t="e">
        <f>#REF!</f>
        <v>#REF!</v>
      </c>
      <c r="D130" t="e">
        <f>#REF!</f>
        <v>#REF!</v>
      </c>
      <c r="E130" t="e">
        <f>#REF!</f>
        <v>#REF!</v>
      </c>
      <c r="G130" t="e">
        <f t="shared" ref="G130:G193" si="11">A130</f>
        <v>#REF!</v>
      </c>
      <c r="H130" t="e">
        <f t="shared" ref="H130:H193" si="12">B130</f>
        <v>#REF!</v>
      </c>
      <c r="I130" s="141" t="e">
        <f t="shared" ref="I130:I193" si="13">C130</f>
        <v>#REF!</v>
      </c>
      <c r="J130" t="e">
        <f t="shared" ref="J130:J193" si="14">D130</f>
        <v>#REF!</v>
      </c>
      <c r="K130" s="141" t="e">
        <f t="shared" ref="K130:K193" si="15">E130</f>
        <v>#REF!</v>
      </c>
    </row>
    <row r="131" spans="1:11" hidden="1" x14ac:dyDescent="0.25">
      <c r="A131" t="e">
        <f>#REF!</f>
        <v>#REF!</v>
      </c>
      <c r="B131" t="e">
        <f>#REF!</f>
        <v>#REF!</v>
      </c>
      <c r="C131" t="e">
        <f>#REF!</f>
        <v>#REF!</v>
      </c>
      <c r="D131" t="e">
        <f>#REF!</f>
        <v>#REF!</v>
      </c>
      <c r="E131" t="e">
        <f>#REF!</f>
        <v>#REF!</v>
      </c>
      <c r="G131" t="e">
        <f t="shared" si="11"/>
        <v>#REF!</v>
      </c>
      <c r="H131" t="e">
        <f t="shared" si="12"/>
        <v>#REF!</v>
      </c>
      <c r="I131" s="141" t="e">
        <f t="shared" si="13"/>
        <v>#REF!</v>
      </c>
      <c r="J131" t="e">
        <f t="shared" si="14"/>
        <v>#REF!</v>
      </c>
      <c r="K131" s="141" t="e">
        <f t="shared" si="15"/>
        <v>#REF!</v>
      </c>
    </row>
    <row r="132" spans="1:11" hidden="1" x14ac:dyDescent="0.25">
      <c r="A132" t="e">
        <f>#REF!</f>
        <v>#REF!</v>
      </c>
      <c r="B132" t="e">
        <f>#REF!</f>
        <v>#REF!</v>
      </c>
      <c r="C132" t="e">
        <f>#REF!</f>
        <v>#REF!</v>
      </c>
      <c r="D132" t="e">
        <f>#REF!</f>
        <v>#REF!</v>
      </c>
      <c r="E132" t="e">
        <f>#REF!</f>
        <v>#REF!</v>
      </c>
      <c r="G132" t="e">
        <f t="shared" si="11"/>
        <v>#REF!</v>
      </c>
      <c r="H132" t="e">
        <f t="shared" si="12"/>
        <v>#REF!</v>
      </c>
      <c r="I132" s="141" t="e">
        <f t="shared" si="13"/>
        <v>#REF!</v>
      </c>
      <c r="J132" t="e">
        <f t="shared" si="14"/>
        <v>#REF!</v>
      </c>
      <c r="K132" s="141" t="e">
        <f t="shared" si="15"/>
        <v>#REF!</v>
      </c>
    </row>
    <row r="133" spans="1:11" hidden="1" x14ac:dyDescent="0.25">
      <c r="A133" t="e">
        <f>#REF!</f>
        <v>#REF!</v>
      </c>
      <c r="B133" t="e">
        <f>#REF!</f>
        <v>#REF!</v>
      </c>
      <c r="C133" t="e">
        <f>#REF!</f>
        <v>#REF!</v>
      </c>
      <c r="D133" t="e">
        <f>#REF!</f>
        <v>#REF!</v>
      </c>
      <c r="E133" t="e">
        <f>#REF!</f>
        <v>#REF!</v>
      </c>
      <c r="G133" t="e">
        <f t="shared" si="11"/>
        <v>#REF!</v>
      </c>
      <c r="H133" t="e">
        <f t="shared" si="12"/>
        <v>#REF!</v>
      </c>
      <c r="I133" s="141" t="e">
        <f t="shared" si="13"/>
        <v>#REF!</v>
      </c>
      <c r="J133" t="e">
        <f t="shared" si="14"/>
        <v>#REF!</v>
      </c>
      <c r="K133" s="141" t="e">
        <f t="shared" si="15"/>
        <v>#REF!</v>
      </c>
    </row>
    <row r="134" spans="1:11" hidden="1" x14ac:dyDescent="0.25">
      <c r="A134" t="e">
        <f>#REF!</f>
        <v>#REF!</v>
      </c>
      <c r="B134" t="e">
        <f>#REF!</f>
        <v>#REF!</v>
      </c>
      <c r="C134" t="e">
        <f>#REF!</f>
        <v>#REF!</v>
      </c>
      <c r="D134" t="e">
        <f>#REF!</f>
        <v>#REF!</v>
      </c>
      <c r="E134" t="e">
        <f>#REF!</f>
        <v>#REF!</v>
      </c>
      <c r="G134" t="e">
        <f t="shared" si="11"/>
        <v>#REF!</v>
      </c>
      <c r="H134" t="e">
        <f t="shared" si="12"/>
        <v>#REF!</v>
      </c>
      <c r="I134" s="141" t="e">
        <f t="shared" si="13"/>
        <v>#REF!</v>
      </c>
      <c r="J134" t="e">
        <f t="shared" si="14"/>
        <v>#REF!</v>
      </c>
      <c r="K134" s="141" t="e">
        <f t="shared" si="15"/>
        <v>#REF!</v>
      </c>
    </row>
    <row r="135" spans="1:11" hidden="1" x14ac:dyDescent="0.25">
      <c r="A135" t="e">
        <f>#REF!</f>
        <v>#REF!</v>
      </c>
      <c r="B135" t="e">
        <f>#REF!</f>
        <v>#REF!</v>
      </c>
      <c r="C135" t="e">
        <f>#REF!</f>
        <v>#REF!</v>
      </c>
      <c r="D135" t="e">
        <f>#REF!</f>
        <v>#REF!</v>
      </c>
      <c r="E135" t="e">
        <f>#REF!</f>
        <v>#REF!</v>
      </c>
      <c r="G135" t="e">
        <f t="shared" si="11"/>
        <v>#REF!</v>
      </c>
      <c r="H135" t="e">
        <f t="shared" si="12"/>
        <v>#REF!</v>
      </c>
      <c r="I135" s="141" t="e">
        <f t="shared" si="13"/>
        <v>#REF!</v>
      </c>
      <c r="J135" t="e">
        <f t="shared" si="14"/>
        <v>#REF!</v>
      </c>
      <c r="K135" s="141" t="e">
        <f t="shared" si="15"/>
        <v>#REF!</v>
      </c>
    </row>
    <row r="136" spans="1:11" hidden="1" x14ac:dyDescent="0.25">
      <c r="A136" t="e">
        <f>#REF!</f>
        <v>#REF!</v>
      </c>
      <c r="B136" t="e">
        <f>#REF!</f>
        <v>#REF!</v>
      </c>
      <c r="C136" t="e">
        <f>#REF!</f>
        <v>#REF!</v>
      </c>
      <c r="D136" t="e">
        <f>#REF!</f>
        <v>#REF!</v>
      </c>
      <c r="E136" t="e">
        <f>#REF!</f>
        <v>#REF!</v>
      </c>
      <c r="G136" t="e">
        <f t="shared" si="11"/>
        <v>#REF!</v>
      </c>
      <c r="H136" t="e">
        <f t="shared" si="12"/>
        <v>#REF!</v>
      </c>
      <c r="I136" s="141" t="e">
        <f t="shared" si="13"/>
        <v>#REF!</v>
      </c>
      <c r="J136" t="e">
        <f t="shared" si="14"/>
        <v>#REF!</v>
      </c>
      <c r="K136" s="141" t="e">
        <f t="shared" si="15"/>
        <v>#REF!</v>
      </c>
    </row>
    <row r="137" spans="1:11" hidden="1" x14ac:dyDescent="0.25">
      <c r="A137" t="e">
        <f>#REF!</f>
        <v>#REF!</v>
      </c>
      <c r="B137" t="e">
        <f>#REF!</f>
        <v>#REF!</v>
      </c>
      <c r="C137" t="e">
        <f>#REF!</f>
        <v>#REF!</v>
      </c>
      <c r="D137" t="e">
        <f>#REF!</f>
        <v>#REF!</v>
      </c>
      <c r="E137" t="e">
        <f>#REF!</f>
        <v>#REF!</v>
      </c>
      <c r="G137" t="e">
        <f t="shared" si="11"/>
        <v>#REF!</v>
      </c>
      <c r="H137" t="e">
        <f t="shared" si="12"/>
        <v>#REF!</v>
      </c>
      <c r="I137" s="141" t="e">
        <f t="shared" si="13"/>
        <v>#REF!</v>
      </c>
      <c r="J137" t="e">
        <f t="shared" si="14"/>
        <v>#REF!</v>
      </c>
      <c r="K137" s="141" t="e">
        <f t="shared" si="15"/>
        <v>#REF!</v>
      </c>
    </row>
    <row r="138" spans="1:11" hidden="1" x14ac:dyDescent="0.25">
      <c r="A138" t="e">
        <f>#REF!</f>
        <v>#REF!</v>
      </c>
      <c r="B138" t="e">
        <f>#REF!</f>
        <v>#REF!</v>
      </c>
      <c r="C138" t="e">
        <f>#REF!</f>
        <v>#REF!</v>
      </c>
      <c r="D138" t="e">
        <f>#REF!</f>
        <v>#REF!</v>
      </c>
      <c r="E138" t="e">
        <f>#REF!</f>
        <v>#REF!</v>
      </c>
      <c r="G138" t="e">
        <f t="shared" si="11"/>
        <v>#REF!</v>
      </c>
      <c r="H138" t="e">
        <f t="shared" si="12"/>
        <v>#REF!</v>
      </c>
      <c r="I138" s="141" t="e">
        <f t="shared" si="13"/>
        <v>#REF!</v>
      </c>
      <c r="J138" t="e">
        <f t="shared" si="14"/>
        <v>#REF!</v>
      </c>
      <c r="K138" s="141" t="e">
        <f t="shared" si="15"/>
        <v>#REF!</v>
      </c>
    </row>
    <row r="139" spans="1:11" hidden="1" x14ac:dyDescent="0.25">
      <c r="A139" t="e">
        <f>#REF!</f>
        <v>#REF!</v>
      </c>
      <c r="B139" t="e">
        <f>#REF!</f>
        <v>#REF!</v>
      </c>
      <c r="C139" t="e">
        <f>#REF!</f>
        <v>#REF!</v>
      </c>
      <c r="D139" t="e">
        <f>#REF!</f>
        <v>#REF!</v>
      </c>
      <c r="E139" t="e">
        <f>#REF!</f>
        <v>#REF!</v>
      </c>
      <c r="G139" t="e">
        <f t="shared" si="11"/>
        <v>#REF!</v>
      </c>
      <c r="H139" t="e">
        <f t="shared" si="12"/>
        <v>#REF!</v>
      </c>
      <c r="I139" s="141" t="e">
        <f t="shared" si="13"/>
        <v>#REF!</v>
      </c>
      <c r="J139" t="e">
        <f t="shared" si="14"/>
        <v>#REF!</v>
      </c>
      <c r="K139" s="141" t="e">
        <f t="shared" si="15"/>
        <v>#REF!</v>
      </c>
    </row>
    <row r="140" spans="1:11" hidden="1" x14ac:dyDescent="0.25">
      <c r="A140" t="e">
        <f>#REF!</f>
        <v>#REF!</v>
      </c>
      <c r="B140" t="e">
        <f>#REF!</f>
        <v>#REF!</v>
      </c>
      <c r="C140" t="e">
        <f>#REF!</f>
        <v>#REF!</v>
      </c>
      <c r="D140" t="e">
        <f>#REF!</f>
        <v>#REF!</v>
      </c>
      <c r="E140" t="e">
        <f>#REF!</f>
        <v>#REF!</v>
      </c>
      <c r="G140" t="e">
        <f t="shared" si="11"/>
        <v>#REF!</v>
      </c>
      <c r="H140" t="e">
        <f t="shared" si="12"/>
        <v>#REF!</v>
      </c>
      <c r="I140" s="141" t="e">
        <f t="shared" si="13"/>
        <v>#REF!</v>
      </c>
      <c r="J140" t="e">
        <f t="shared" si="14"/>
        <v>#REF!</v>
      </c>
      <c r="K140" s="141" t="e">
        <f t="shared" si="15"/>
        <v>#REF!</v>
      </c>
    </row>
    <row r="141" spans="1:11" hidden="1" x14ac:dyDescent="0.25">
      <c r="A141" t="e">
        <f>#REF!</f>
        <v>#REF!</v>
      </c>
      <c r="B141" t="e">
        <f>#REF!</f>
        <v>#REF!</v>
      </c>
      <c r="C141" t="e">
        <f>#REF!</f>
        <v>#REF!</v>
      </c>
      <c r="D141" t="e">
        <f>#REF!</f>
        <v>#REF!</v>
      </c>
      <c r="E141" t="e">
        <f>#REF!</f>
        <v>#REF!</v>
      </c>
      <c r="G141" t="e">
        <f t="shared" si="11"/>
        <v>#REF!</v>
      </c>
      <c r="H141" t="e">
        <f t="shared" si="12"/>
        <v>#REF!</v>
      </c>
      <c r="I141" s="141" t="e">
        <f t="shared" si="13"/>
        <v>#REF!</v>
      </c>
      <c r="J141" t="e">
        <f t="shared" si="14"/>
        <v>#REF!</v>
      </c>
      <c r="K141" s="141" t="e">
        <f t="shared" si="15"/>
        <v>#REF!</v>
      </c>
    </row>
    <row r="142" spans="1:11" hidden="1" x14ac:dyDescent="0.25">
      <c r="A142" t="e">
        <f>#REF!</f>
        <v>#REF!</v>
      </c>
      <c r="B142" t="e">
        <f>#REF!</f>
        <v>#REF!</v>
      </c>
      <c r="C142" t="e">
        <f>#REF!</f>
        <v>#REF!</v>
      </c>
      <c r="D142" t="e">
        <f>#REF!</f>
        <v>#REF!</v>
      </c>
      <c r="E142" t="e">
        <f>#REF!</f>
        <v>#REF!</v>
      </c>
      <c r="G142" t="e">
        <f t="shared" si="11"/>
        <v>#REF!</v>
      </c>
      <c r="H142" t="e">
        <f t="shared" si="12"/>
        <v>#REF!</v>
      </c>
      <c r="I142" s="141" t="e">
        <f t="shared" si="13"/>
        <v>#REF!</v>
      </c>
      <c r="J142" t="e">
        <f t="shared" si="14"/>
        <v>#REF!</v>
      </c>
      <c r="K142" s="141" t="e">
        <f t="shared" si="15"/>
        <v>#REF!</v>
      </c>
    </row>
    <row r="143" spans="1:11" hidden="1" x14ac:dyDescent="0.25">
      <c r="A143" t="e">
        <f>#REF!</f>
        <v>#REF!</v>
      </c>
      <c r="B143" t="e">
        <f>#REF!</f>
        <v>#REF!</v>
      </c>
      <c r="C143" t="e">
        <f>#REF!</f>
        <v>#REF!</v>
      </c>
      <c r="D143" t="e">
        <f>#REF!</f>
        <v>#REF!</v>
      </c>
      <c r="E143" t="e">
        <f>#REF!</f>
        <v>#REF!</v>
      </c>
      <c r="G143" t="e">
        <f t="shared" si="11"/>
        <v>#REF!</v>
      </c>
      <c r="H143" t="e">
        <f t="shared" si="12"/>
        <v>#REF!</v>
      </c>
      <c r="I143" s="141" t="e">
        <f t="shared" si="13"/>
        <v>#REF!</v>
      </c>
      <c r="J143" t="e">
        <f t="shared" si="14"/>
        <v>#REF!</v>
      </c>
      <c r="K143" s="141" t="e">
        <f t="shared" si="15"/>
        <v>#REF!</v>
      </c>
    </row>
    <row r="144" spans="1:11" hidden="1" x14ac:dyDescent="0.25">
      <c r="A144" t="e">
        <f>#REF!</f>
        <v>#REF!</v>
      </c>
      <c r="B144" t="e">
        <f>#REF!</f>
        <v>#REF!</v>
      </c>
      <c r="C144" t="e">
        <f>#REF!</f>
        <v>#REF!</v>
      </c>
      <c r="D144" t="e">
        <f>#REF!</f>
        <v>#REF!</v>
      </c>
      <c r="E144" t="e">
        <f>#REF!</f>
        <v>#REF!</v>
      </c>
      <c r="G144" t="e">
        <f t="shared" si="11"/>
        <v>#REF!</v>
      </c>
      <c r="H144" t="e">
        <f t="shared" si="12"/>
        <v>#REF!</v>
      </c>
      <c r="I144" s="141" t="e">
        <f t="shared" si="13"/>
        <v>#REF!</v>
      </c>
      <c r="J144" t="e">
        <f t="shared" si="14"/>
        <v>#REF!</v>
      </c>
      <c r="K144" s="141" t="e">
        <f t="shared" si="15"/>
        <v>#REF!</v>
      </c>
    </row>
    <row r="145" spans="1:11" hidden="1" x14ac:dyDescent="0.25">
      <c r="A145" t="e">
        <f>#REF!</f>
        <v>#REF!</v>
      </c>
      <c r="B145" t="e">
        <f>#REF!</f>
        <v>#REF!</v>
      </c>
      <c r="C145" t="e">
        <f>#REF!</f>
        <v>#REF!</v>
      </c>
      <c r="D145" t="e">
        <f>#REF!</f>
        <v>#REF!</v>
      </c>
      <c r="E145" t="e">
        <f>#REF!</f>
        <v>#REF!</v>
      </c>
      <c r="G145" t="e">
        <f t="shared" si="11"/>
        <v>#REF!</v>
      </c>
      <c r="H145" t="e">
        <f t="shared" si="12"/>
        <v>#REF!</v>
      </c>
      <c r="I145" s="141" t="e">
        <f t="shared" si="13"/>
        <v>#REF!</v>
      </c>
      <c r="J145" t="e">
        <f t="shared" si="14"/>
        <v>#REF!</v>
      </c>
      <c r="K145" s="141" t="e">
        <f t="shared" si="15"/>
        <v>#REF!</v>
      </c>
    </row>
    <row r="146" spans="1:11" hidden="1" x14ac:dyDescent="0.25">
      <c r="A146" t="e">
        <f>#REF!</f>
        <v>#REF!</v>
      </c>
      <c r="B146" t="e">
        <f>#REF!</f>
        <v>#REF!</v>
      </c>
      <c r="C146" t="e">
        <f>#REF!</f>
        <v>#REF!</v>
      </c>
      <c r="D146" t="e">
        <f>#REF!</f>
        <v>#REF!</v>
      </c>
      <c r="E146" t="e">
        <f>#REF!</f>
        <v>#REF!</v>
      </c>
      <c r="G146" t="e">
        <f t="shared" si="11"/>
        <v>#REF!</v>
      </c>
      <c r="H146" t="e">
        <f t="shared" si="12"/>
        <v>#REF!</v>
      </c>
      <c r="I146" s="141" t="e">
        <f t="shared" si="13"/>
        <v>#REF!</v>
      </c>
      <c r="J146" t="e">
        <f t="shared" si="14"/>
        <v>#REF!</v>
      </c>
      <c r="K146" s="141" t="e">
        <f t="shared" si="15"/>
        <v>#REF!</v>
      </c>
    </row>
    <row r="147" spans="1:11" hidden="1" x14ac:dyDescent="0.25">
      <c r="A147" t="e">
        <f>#REF!</f>
        <v>#REF!</v>
      </c>
      <c r="B147" t="e">
        <f>#REF!</f>
        <v>#REF!</v>
      </c>
      <c r="C147" t="e">
        <f>#REF!</f>
        <v>#REF!</v>
      </c>
      <c r="D147" t="e">
        <f>#REF!</f>
        <v>#REF!</v>
      </c>
      <c r="E147" t="e">
        <f>#REF!</f>
        <v>#REF!</v>
      </c>
      <c r="G147" t="e">
        <f t="shared" si="11"/>
        <v>#REF!</v>
      </c>
      <c r="H147" t="e">
        <f t="shared" si="12"/>
        <v>#REF!</v>
      </c>
      <c r="I147" s="141" t="e">
        <f t="shared" si="13"/>
        <v>#REF!</v>
      </c>
      <c r="J147" t="e">
        <f t="shared" si="14"/>
        <v>#REF!</v>
      </c>
      <c r="K147" s="141" t="e">
        <f t="shared" si="15"/>
        <v>#REF!</v>
      </c>
    </row>
    <row r="148" spans="1:11" hidden="1" x14ac:dyDescent="0.25">
      <c r="A148" t="e">
        <f>#REF!</f>
        <v>#REF!</v>
      </c>
      <c r="B148" t="e">
        <f>#REF!</f>
        <v>#REF!</v>
      </c>
      <c r="C148" t="e">
        <f>#REF!</f>
        <v>#REF!</v>
      </c>
      <c r="D148" t="e">
        <f>#REF!</f>
        <v>#REF!</v>
      </c>
      <c r="E148" t="e">
        <f>#REF!</f>
        <v>#REF!</v>
      </c>
      <c r="G148" t="e">
        <f t="shared" si="11"/>
        <v>#REF!</v>
      </c>
      <c r="H148" t="e">
        <f t="shared" si="12"/>
        <v>#REF!</v>
      </c>
      <c r="I148" s="141" t="e">
        <f t="shared" si="13"/>
        <v>#REF!</v>
      </c>
      <c r="J148" t="e">
        <f t="shared" si="14"/>
        <v>#REF!</v>
      </c>
      <c r="K148" s="141" t="e">
        <f t="shared" si="15"/>
        <v>#REF!</v>
      </c>
    </row>
    <row r="149" spans="1:11" hidden="1" x14ac:dyDescent="0.25">
      <c r="A149" t="e">
        <f>#REF!</f>
        <v>#REF!</v>
      </c>
      <c r="B149" t="e">
        <f>#REF!</f>
        <v>#REF!</v>
      </c>
      <c r="C149" t="e">
        <f>#REF!</f>
        <v>#REF!</v>
      </c>
      <c r="D149" t="e">
        <f>#REF!</f>
        <v>#REF!</v>
      </c>
      <c r="E149" t="e">
        <f>#REF!</f>
        <v>#REF!</v>
      </c>
      <c r="G149" t="e">
        <f t="shared" si="11"/>
        <v>#REF!</v>
      </c>
      <c r="H149" t="e">
        <f t="shared" si="12"/>
        <v>#REF!</v>
      </c>
      <c r="I149" s="141" t="e">
        <f t="shared" si="13"/>
        <v>#REF!</v>
      </c>
      <c r="J149" t="e">
        <f t="shared" si="14"/>
        <v>#REF!</v>
      </c>
      <c r="K149" s="141" t="e">
        <f t="shared" si="15"/>
        <v>#REF!</v>
      </c>
    </row>
    <row r="150" spans="1:11" hidden="1" x14ac:dyDescent="0.25">
      <c r="A150" t="e">
        <f>#REF!</f>
        <v>#REF!</v>
      </c>
      <c r="B150" t="e">
        <f>#REF!</f>
        <v>#REF!</v>
      </c>
      <c r="C150" t="e">
        <f>#REF!</f>
        <v>#REF!</v>
      </c>
      <c r="D150" t="e">
        <f>#REF!</f>
        <v>#REF!</v>
      </c>
      <c r="E150" t="e">
        <f>#REF!</f>
        <v>#REF!</v>
      </c>
      <c r="G150" t="e">
        <f t="shared" si="11"/>
        <v>#REF!</v>
      </c>
      <c r="H150" t="e">
        <f t="shared" si="12"/>
        <v>#REF!</v>
      </c>
      <c r="I150" s="141" t="e">
        <f t="shared" si="13"/>
        <v>#REF!</v>
      </c>
      <c r="J150" t="e">
        <f t="shared" si="14"/>
        <v>#REF!</v>
      </c>
      <c r="K150" s="141" t="e">
        <f t="shared" si="15"/>
        <v>#REF!</v>
      </c>
    </row>
    <row r="151" spans="1:11" hidden="1" x14ac:dyDescent="0.25">
      <c r="A151" t="e">
        <f>#REF!</f>
        <v>#REF!</v>
      </c>
      <c r="B151" t="e">
        <f>#REF!</f>
        <v>#REF!</v>
      </c>
      <c r="C151" t="e">
        <f>#REF!</f>
        <v>#REF!</v>
      </c>
      <c r="D151" t="e">
        <f>#REF!</f>
        <v>#REF!</v>
      </c>
      <c r="E151" t="e">
        <f>#REF!</f>
        <v>#REF!</v>
      </c>
      <c r="G151" t="e">
        <f t="shared" si="11"/>
        <v>#REF!</v>
      </c>
      <c r="H151" t="e">
        <f t="shared" si="12"/>
        <v>#REF!</v>
      </c>
      <c r="I151" s="141" t="e">
        <f t="shared" si="13"/>
        <v>#REF!</v>
      </c>
      <c r="J151" t="e">
        <f t="shared" si="14"/>
        <v>#REF!</v>
      </c>
      <c r="K151" s="141" t="e">
        <f t="shared" si="15"/>
        <v>#REF!</v>
      </c>
    </row>
    <row r="152" spans="1:11" hidden="1" x14ac:dyDescent="0.25">
      <c r="A152" t="e">
        <f>#REF!</f>
        <v>#REF!</v>
      </c>
      <c r="B152" t="e">
        <f>#REF!</f>
        <v>#REF!</v>
      </c>
      <c r="C152" t="e">
        <f>#REF!</f>
        <v>#REF!</v>
      </c>
      <c r="D152" t="e">
        <f>#REF!</f>
        <v>#REF!</v>
      </c>
      <c r="E152" t="e">
        <f>#REF!</f>
        <v>#REF!</v>
      </c>
      <c r="G152" t="e">
        <f t="shared" si="11"/>
        <v>#REF!</v>
      </c>
      <c r="H152" t="e">
        <f t="shared" si="12"/>
        <v>#REF!</v>
      </c>
      <c r="I152" s="141" t="e">
        <f t="shared" si="13"/>
        <v>#REF!</v>
      </c>
      <c r="J152" t="e">
        <f t="shared" si="14"/>
        <v>#REF!</v>
      </c>
      <c r="K152" s="141" t="e">
        <f t="shared" si="15"/>
        <v>#REF!</v>
      </c>
    </row>
    <row r="153" spans="1:11" hidden="1" x14ac:dyDescent="0.25">
      <c r="A153" t="e">
        <f>#REF!</f>
        <v>#REF!</v>
      </c>
      <c r="B153" t="e">
        <f>#REF!</f>
        <v>#REF!</v>
      </c>
      <c r="C153" t="e">
        <f>#REF!</f>
        <v>#REF!</v>
      </c>
      <c r="D153" t="e">
        <f>#REF!</f>
        <v>#REF!</v>
      </c>
      <c r="E153" t="e">
        <f>#REF!</f>
        <v>#REF!</v>
      </c>
      <c r="G153" t="e">
        <f t="shared" si="11"/>
        <v>#REF!</v>
      </c>
      <c r="H153" t="e">
        <f t="shared" si="12"/>
        <v>#REF!</v>
      </c>
      <c r="I153" s="141" t="e">
        <f t="shared" si="13"/>
        <v>#REF!</v>
      </c>
      <c r="J153" t="e">
        <f t="shared" si="14"/>
        <v>#REF!</v>
      </c>
      <c r="K153" s="141" t="e">
        <f t="shared" si="15"/>
        <v>#REF!</v>
      </c>
    </row>
    <row r="154" spans="1:11" hidden="1" x14ac:dyDescent="0.25">
      <c r="A154" t="e">
        <f>#REF!</f>
        <v>#REF!</v>
      </c>
      <c r="B154" t="e">
        <f>#REF!</f>
        <v>#REF!</v>
      </c>
      <c r="C154" t="e">
        <f>#REF!</f>
        <v>#REF!</v>
      </c>
      <c r="D154" t="e">
        <f>#REF!</f>
        <v>#REF!</v>
      </c>
      <c r="E154" t="e">
        <f>#REF!</f>
        <v>#REF!</v>
      </c>
      <c r="G154" t="e">
        <f t="shared" si="11"/>
        <v>#REF!</v>
      </c>
      <c r="H154" t="e">
        <f t="shared" si="12"/>
        <v>#REF!</v>
      </c>
      <c r="I154" s="141" t="e">
        <f t="shared" si="13"/>
        <v>#REF!</v>
      </c>
      <c r="J154" t="e">
        <f t="shared" si="14"/>
        <v>#REF!</v>
      </c>
      <c r="K154" s="141" t="e">
        <f t="shared" si="15"/>
        <v>#REF!</v>
      </c>
    </row>
    <row r="155" spans="1:11" hidden="1" x14ac:dyDescent="0.25">
      <c r="A155" t="e">
        <f>#REF!</f>
        <v>#REF!</v>
      </c>
      <c r="B155" t="e">
        <f>#REF!</f>
        <v>#REF!</v>
      </c>
      <c r="C155" t="e">
        <f>#REF!</f>
        <v>#REF!</v>
      </c>
      <c r="D155" t="e">
        <f>#REF!</f>
        <v>#REF!</v>
      </c>
      <c r="E155" t="e">
        <f>#REF!</f>
        <v>#REF!</v>
      </c>
      <c r="G155" t="e">
        <f t="shared" si="11"/>
        <v>#REF!</v>
      </c>
      <c r="H155" t="e">
        <f t="shared" si="12"/>
        <v>#REF!</v>
      </c>
      <c r="I155" s="141" t="e">
        <f t="shared" si="13"/>
        <v>#REF!</v>
      </c>
      <c r="J155" t="e">
        <f t="shared" si="14"/>
        <v>#REF!</v>
      </c>
      <c r="K155" s="141" t="e">
        <f t="shared" si="15"/>
        <v>#REF!</v>
      </c>
    </row>
    <row r="156" spans="1:11" hidden="1" x14ac:dyDescent="0.25">
      <c r="A156" t="e">
        <f>#REF!</f>
        <v>#REF!</v>
      </c>
      <c r="B156" t="e">
        <f>#REF!</f>
        <v>#REF!</v>
      </c>
      <c r="C156" t="e">
        <f>#REF!</f>
        <v>#REF!</v>
      </c>
      <c r="D156" t="e">
        <f>#REF!</f>
        <v>#REF!</v>
      </c>
      <c r="E156" t="e">
        <f>#REF!</f>
        <v>#REF!</v>
      </c>
      <c r="G156" t="e">
        <f t="shared" si="11"/>
        <v>#REF!</v>
      </c>
      <c r="H156" t="e">
        <f t="shared" si="12"/>
        <v>#REF!</v>
      </c>
      <c r="I156" s="141" t="e">
        <f t="shared" si="13"/>
        <v>#REF!</v>
      </c>
      <c r="J156" t="e">
        <f t="shared" si="14"/>
        <v>#REF!</v>
      </c>
      <c r="K156" s="141" t="e">
        <f t="shared" si="15"/>
        <v>#REF!</v>
      </c>
    </row>
    <row r="157" spans="1:11" hidden="1" x14ac:dyDescent="0.25">
      <c r="A157" t="e">
        <f>#REF!</f>
        <v>#REF!</v>
      </c>
      <c r="B157" t="e">
        <f>#REF!</f>
        <v>#REF!</v>
      </c>
      <c r="C157" t="e">
        <f>#REF!</f>
        <v>#REF!</v>
      </c>
      <c r="D157" t="e">
        <f>#REF!</f>
        <v>#REF!</v>
      </c>
      <c r="E157" t="e">
        <f>#REF!</f>
        <v>#REF!</v>
      </c>
      <c r="G157" t="e">
        <f t="shared" si="11"/>
        <v>#REF!</v>
      </c>
      <c r="H157" t="e">
        <f t="shared" si="12"/>
        <v>#REF!</v>
      </c>
      <c r="I157" s="141" t="e">
        <f t="shared" si="13"/>
        <v>#REF!</v>
      </c>
      <c r="J157" t="e">
        <f t="shared" si="14"/>
        <v>#REF!</v>
      </c>
      <c r="K157" s="141" t="e">
        <f t="shared" si="15"/>
        <v>#REF!</v>
      </c>
    </row>
    <row r="158" spans="1:11" hidden="1" x14ac:dyDescent="0.25">
      <c r="A158" t="e">
        <f>#REF!</f>
        <v>#REF!</v>
      </c>
      <c r="B158" t="e">
        <f>#REF!</f>
        <v>#REF!</v>
      </c>
      <c r="C158" t="e">
        <f>#REF!</f>
        <v>#REF!</v>
      </c>
      <c r="D158" t="e">
        <f>#REF!</f>
        <v>#REF!</v>
      </c>
      <c r="E158" t="e">
        <f>#REF!</f>
        <v>#REF!</v>
      </c>
      <c r="G158" t="e">
        <f t="shared" si="11"/>
        <v>#REF!</v>
      </c>
      <c r="H158" t="e">
        <f t="shared" si="12"/>
        <v>#REF!</v>
      </c>
      <c r="I158" s="141" t="e">
        <f t="shared" si="13"/>
        <v>#REF!</v>
      </c>
      <c r="J158" t="e">
        <f t="shared" si="14"/>
        <v>#REF!</v>
      </c>
      <c r="K158" s="141" t="e">
        <f t="shared" si="15"/>
        <v>#REF!</v>
      </c>
    </row>
    <row r="159" spans="1:11" hidden="1" x14ac:dyDescent="0.25">
      <c r="A159" t="e">
        <f>#REF!</f>
        <v>#REF!</v>
      </c>
      <c r="B159" t="e">
        <f>#REF!</f>
        <v>#REF!</v>
      </c>
      <c r="C159" t="e">
        <f>#REF!</f>
        <v>#REF!</v>
      </c>
      <c r="D159" t="e">
        <f>#REF!</f>
        <v>#REF!</v>
      </c>
      <c r="E159" t="e">
        <f>#REF!</f>
        <v>#REF!</v>
      </c>
      <c r="G159" t="e">
        <f t="shared" si="11"/>
        <v>#REF!</v>
      </c>
      <c r="H159" t="e">
        <f t="shared" si="12"/>
        <v>#REF!</v>
      </c>
      <c r="I159" s="141" t="e">
        <f t="shared" si="13"/>
        <v>#REF!</v>
      </c>
      <c r="J159" t="e">
        <f t="shared" si="14"/>
        <v>#REF!</v>
      </c>
      <c r="K159" s="141" t="e">
        <f t="shared" si="15"/>
        <v>#REF!</v>
      </c>
    </row>
    <row r="160" spans="1:11" hidden="1" x14ac:dyDescent="0.25">
      <c r="A160" t="e">
        <f>#REF!</f>
        <v>#REF!</v>
      </c>
      <c r="B160" t="e">
        <f>#REF!</f>
        <v>#REF!</v>
      </c>
      <c r="C160" t="e">
        <f>#REF!</f>
        <v>#REF!</v>
      </c>
      <c r="D160" t="e">
        <f>#REF!</f>
        <v>#REF!</v>
      </c>
      <c r="E160" t="e">
        <f>#REF!</f>
        <v>#REF!</v>
      </c>
      <c r="G160" t="e">
        <f t="shared" si="11"/>
        <v>#REF!</v>
      </c>
      <c r="H160" t="e">
        <f t="shared" si="12"/>
        <v>#REF!</v>
      </c>
      <c r="I160" s="141" t="e">
        <f t="shared" si="13"/>
        <v>#REF!</v>
      </c>
      <c r="J160" t="e">
        <f t="shared" si="14"/>
        <v>#REF!</v>
      </c>
      <c r="K160" s="141" t="e">
        <f t="shared" si="15"/>
        <v>#REF!</v>
      </c>
    </row>
    <row r="161" spans="1:11" hidden="1" x14ac:dyDescent="0.25">
      <c r="A161" t="e">
        <f>#REF!</f>
        <v>#REF!</v>
      </c>
      <c r="B161" t="e">
        <f>#REF!</f>
        <v>#REF!</v>
      </c>
      <c r="C161" t="e">
        <f>#REF!</f>
        <v>#REF!</v>
      </c>
      <c r="D161" t="e">
        <f>#REF!</f>
        <v>#REF!</v>
      </c>
      <c r="E161" t="e">
        <f>#REF!</f>
        <v>#REF!</v>
      </c>
      <c r="G161" t="e">
        <f t="shared" si="11"/>
        <v>#REF!</v>
      </c>
      <c r="H161" t="e">
        <f t="shared" si="12"/>
        <v>#REF!</v>
      </c>
      <c r="I161" s="141" t="e">
        <f t="shared" si="13"/>
        <v>#REF!</v>
      </c>
      <c r="J161" t="e">
        <f t="shared" si="14"/>
        <v>#REF!</v>
      </c>
      <c r="K161" s="141" t="e">
        <f t="shared" si="15"/>
        <v>#REF!</v>
      </c>
    </row>
    <row r="162" spans="1:11" hidden="1" x14ac:dyDescent="0.25">
      <c r="A162" t="e">
        <f>#REF!</f>
        <v>#REF!</v>
      </c>
      <c r="B162" t="e">
        <f>#REF!</f>
        <v>#REF!</v>
      </c>
      <c r="C162" t="e">
        <f>#REF!</f>
        <v>#REF!</v>
      </c>
      <c r="D162" t="e">
        <f>#REF!</f>
        <v>#REF!</v>
      </c>
      <c r="E162" t="e">
        <f>#REF!</f>
        <v>#REF!</v>
      </c>
      <c r="G162" t="e">
        <f t="shared" si="11"/>
        <v>#REF!</v>
      </c>
      <c r="H162" t="e">
        <f t="shared" si="12"/>
        <v>#REF!</v>
      </c>
      <c r="I162" s="141" t="e">
        <f t="shared" si="13"/>
        <v>#REF!</v>
      </c>
      <c r="J162" t="e">
        <f t="shared" si="14"/>
        <v>#REF!</v>
      </c>
      <c r="K162" s="141" t="e">
        <f t="shared" si="15"/>
        <v>#REF!</v>
      </c>
    </row>
    <row r="163" spans="1:11" hidden="1" x14ac:dyDescent="0.25">
      <c r="A163" t="e">
        <f>#REF!</f>
        <v>#REF!</v>
      </c>
      <c r="B163" t="e">
        <f>#REF!</f>
        <v>#REF!</v>
      </c>
      <c r="C163" t="e">
        <f>#REF!</f>
        <v>#REF!</v>
      </c>
      <c r="D163" t="e">
        <f>#REF!</f>
        <v>#REF!</v>
      </c>
      <c r="E163" t="e">
        <f>#REF!</f>
        <v>#REF!</v>
      </c>
      <c r="G163" t="e">
        <f t="shared" si="11"/>
        <v>#REF!</v>
      </c>
      <c r="H163" t="e">
        <f t="shared" si="12"/>
        <v>#REF!</v>
      </c>
      <c r="I163" s="141" t="e">
        <f t="shared" si="13"/>
        <v>#REF!</v>
      </c>
      <c r="J163" t="e">
        <f t="shared" si="14"/>
        <v>#REF!</v>
      </c>
      <c r="K163" s="141" t="e">
        <f t="shared" si="15"/>
        <v>#REF!</v>
      </c>
    </row>
    <row r="164" spans="1:11" hidden="1" x14ac:dyDescent="0.25">
      <c r="A164" t="e">
        <f>#REF!</f>
        <v>#REF!</v>
      </c>
      <c r="B164" t="e">
        <f>#REF!</f>
        <v>#REF!</v>
      </c>
      <c r="C164" t="e">
        <f>#REF!</f>
        <v>#REF!</v>
      </c>
      <c r="D164" t="e">
        <f>#REF!</f>
        <v>#REF!</v>
      </c>
      <c r="E164" t="e">
        <f>#REF!</f>
        <v>#REF!</v>
      </c>
      <c r="G164" t="e">
        <f t="shared" si="11"/>
        <v>#REF!</v>
      </c>
      <c r="H164" t="e">
        <f t="shared" si="12"/>
        <v>#REF!</v>
      </c>
      <c r="I164" s="141" t="e">
        <f t="shared" si="13"/>
        <v>#REF!</v>
      </c>
      <c r="J164" t="e">
        <f t="shared" si="14"/>
        <v>#REF!</v>
      </c>
      <c r="K164" s="141" t="e">
        <f t="shared" si="15"/>
        <v>#REF!</v>
      </c>
    </row>
    <row r="165" spans="1:11" hidden="1" x14ac:dyDescent="0.25">
      <c r="A165" t="e">
        <f>#REF!</f>
        <v>#REF!</v>
      </c>
      <c r="B165" t="e">
        <f>#REF!</f>
        <v>#REF!</v>
      </c>
      <c r="C165" t="e">
        <f>#REF!</f>
        <v>#REF!</v>
      </c>
      <c r="D165" t="e">
        <f>#REF!</f>
        <v>#REF!</v>
      </c>
      <c r="E165" t="e">
        <f>#REF!</f>
        <v>#REF!</v>
      </c>
      <c r="G165" t="e">
        <f t="shared" si="11"/>
        <v>#REF!</v>
      </c>
      <c r="H165" t="e">
        <f t="shared" si="12"/>
        <v>#REF!</v>
      </c>
      <c r="I165" s="141" t="e">
        <f t="shared" si="13"/>
        <v>#REF!</v>
      </c>
      <c r="J165" t="e">
        <f t="shared" si="14"/>
        <v>#REF!</v>
      </c>
      <c r="K165" s="141" t="e">
        <f t="shared" si="15"/>
        <v>#REF!</v>
      </c>
    </row>
    <row r="166" spans="1:11" hidden="1" x14ac:dyDescent="0.25">
      <c r="A166" t="e">
        <f>#REF!</f>
        <v>#REF!</v>
      </c>
      <c r="B166" t="e">
        <f>#REF!</f>
        <v>#REF!</v>
      </c>
      <c r="C166" t="e">
        <f>#REF!</f>
        <v>#REF!</v>
      </c>
      <c r="D166" t="e">
        <f>#REF!</f>
        <v>#REF!</v>
      </c>
      <c r="E166" t="e">
        <f>#REF!</f>
        <v>#REF!</v>
      </c>
      <c r="G166" t="e">
        <f t="shared" si="11"/>
        <v>#REF!</v>
      </c>
      <c r="H166" t="e">
        <f t="shared" si="12"/>
        <v>#REF!</v>
      </c>
      <c r="I166" s="141" t="e">
        <f t="shared" si="13"/>
        <v>#REF!</v>
      </c>
      <c r="J166" t="e">
        <f t="shared" si="14"/>
        <v>#REF!</v>
      </c>
      <c r="K166" s="141" t="e">
        <f t="shared" si="15"/>
        <v>#REF!</v>
      </c>
    </row>
    <row r="167" spans="1:11" hidden="1" x14ac:dyDescent="0.25">
      <c r="A167" t="e">
        <f>#REF!</f>
        <v>#REF!</v>
      </c>
      <c r="B167" t="e">
        <f>#REF!</f>
        <v>#REF!</v>
      </c>
      <c r="C167" t="e">
        <f>#REF!</f>
        <v>#REF!</v>
      </c>
      <c r="D167" t="e">
        <f>#REF!</f>
        <v>#REF!</v>
      </c>
      <c r="E167" t="e">
        <f>#REF!</f>
        <v>#REF!</v>
      </c>
      <c r="G167" t="e">
        <f t="shared" si="11"/>
        <v>#REF!</v>
      </c>
      <c r="H167" t="e">
        <f t="shared" si="12"/>
        <v>#REF!</v>
      </c>
      <c r="I167" s="141" t="e">
        <f t="shared" si="13"/>
        <v>#REF!</v>
      </c>
      <c r="J167" t="e">
        <f t="shared" si="14"/>
        <v>#REF!</v>
      </c>
      <c r="K167" s="141" t="e">
        <f t="shared" si="15"/>
        <v>#REF!</v>
      </c>
    </row>
    <row r="168" spans="1:11" hidden="1" x14ac:dyDescent="0.25">
      <c r="A168" t="e">
        <f>#REF!</f>
        <v>#REF!</v>
      </c>
      <c r="B168" t="e">
        <f>#REF!</f>
        <v>#REF!</v>
      </c>
      <c r="C168" t="e">
        <f>#REF!</f>
        <v>#REF!</v>
      </c>
      <c r="D168" t="e">
        <f>#REF!</f>
        <v>#REF!</v>
      </c>
      <c r="E168" t="e">
        <f>#REF!</f>
        <v>#REF!</v>
      </c>
      <c r="G168" t="e">
        <f t="shared" si="11"/>
        <v>#REF!</v>
      </c>
      <c r="H168" t="e">
        <f t="shared" si="12"/>
        <v>#REF!</v>
      </c>
      <c r="I168" s="141" t="e">
        <f t="shared" si="13"/>
        <v>#REF!</v>
      </c>
      <c r="J168" t="e">
        <f t="shared" si="14"/>
        <v>#REF!</v>
      </c>
      <c r="K168" s="141" t="e">
        <f t="shared" si="15"/>
        <v>#REF!</v>
      </c>
    </row>
    <row r="169" spans="1:11" hidden="1" x14ac:dyDescent="0.25">
      <c r="A169" t="e">
        <f>#REF!</f>
        <v>#REF!</v>
      </c>
      <c r="B169" t="e">
        <f>#REF!</f>
        <v>#REF!</v>
      </c>
      <c r="C169" t="e">
        <f>#REF!</f>
        <v>#REF!</v>
      </c>
      <c r="D169" t="e">
        <f>#REF!</f>
        <v>#REF!</v>
      </c>
      <c r="E169" t="e">
        <f>#REF!</f>
        <v>#REF!</v>
      </c>
      <c r="G169" t="e">
        <f t="shared" si="11"/>
        <v>#REF!</v>
      </c>
      <c r="H169" t="e">
        <f t="shared" si="12"/>
        <v>#REF!</v>
      </c>
      <c r="I169" s="141" t="e">
        <f t="shared" si="13"/>
        <v>#REF!</v>
      </c>
      <c r="J169" t="e">
        <f t="shared" si="14"/>
        <v>#REF!</v>
      </c>
      <c r="K169" s="141" t="e">
        <f t="shared" si="15"/>
        <v>#REF!</v>
      </c>
    </row>
    <row r="170" spans="1:11" hidden="1" x14ac:dyDescent="0.25">
      <c r="A170" t="e">
        <f>#REF!</f>
        <v>#REF!</v>
      </c>
      <c r="B170" t="e">
        <f>#REF!</f>
        <v>#REF!</v>
      </c>
      <c r="C170" t="e">
        <f>#REF!</f>
        <v>#REF!</v>
      </c>
      <c r="D170" t="e">
        <f>#REF!</f>
        <v>#REF!</v>
      </c>
      <c r="E170" t="e">
        <f>#REF!</f>
        <v>#REF!</v>
      </c>
      <c r="G170" t="e">
        <f t="shared" si="11"/>
        <v>#REF!</v>
      </c>
      <c r="H170" t="e">
        <f t="shared" si="12"/>
        <v>#REF!</v>
      </c>
      <c r="I170" s="141" t="e">
        <f t="shared" si="13"/>
        <v>#REF!</v>
      </c>
      <c r="J170" t="e">
        <f t="shared" si="14"/>
        <v>#REF!</v>
      </c>
      <c r="K170" s="141" t="e">
        <f t="shared" si="15"/>
        <v>#REF!</v>
      </c>
    </row>
    <row r="171" spans="1:11" hidden="1" x14ac:dyDescent="0.25">
      <c r="A171" t="e">
        <f>#REF!</f>
        <v>#REF!</v>
      </c>
      <c r="B171" t="e">
        <f>#REF!</f>
        <v>#REF!</v>
      </c>
      <c r="C171" t="e">
        <f>#REF!</f>
        <v>#REF!</v>
      </c>
      <c r="D171" t="e">
        <f>#REF!</f>
        <v>#REF!</v>
      </c>
      <c r="E171" t="e">
        <f>#REF!</f>
        <v>#REF!</v>
      </c>
      <c r="G171" t="e">
        <f t="shared" si="11"/>
        <v>#REF!</v>
      </c>
      <c r="H171" t="e">
        <f t="shared" si="12"/>
        <v>#REF!</v>
      </c>
      <c r="I171" s="141" t="e">
        <f t="shared" si="13"/>
        <v>#REF!</v>
      </c>
      <c r="J171" t="e">
        <f t="shared" si="14"/>
        <v>#REF!</v>
      </c>
      <c r="K171" s="141" t="e">
        <f t="shared" si="15"/>
        <v>#REF!</v>
      </c>
    </row>
    <row r="172" spans="1:11" hidden="1" x14ac:dyDescent="0.25">
      <c r="A172" t="e">
        <f>#REF!</f>
        <v>#REF!</v>
      </c>
      <c r="B172" t="e">
        <f>#REF!</f>
        <v>#REF!</v>
      </c>
      <c r="C172" t="e">
        <f>#REF!</f>
        <v>#REF!</v>
      </c>
      <c r="D172" t="e">
        <f>#REF!</f>
        <v>#REF!</v>
      </c>
      <c r="E172" t="e">
        <f>#REF!</f>
        <v>#REF!</v>
      </c>
      <c r="G172" t="e">
        <f t="shared" si="11"/>
        <v>#REF!</v>
      </c>
      <c r="H172" t="e">
        <f t="shared" si="12"/>
        <v>#REF!</v>
      </c>
      <c r="I172" s="141" t="e">
        <f t="shared" si="13"/>
        <v>#REF!</v>
      </c>
      <c r="J172" t="e">
        <f t="shared" si="14"/>
        <v>#REF!</v>
      </c>
      <c r="K172" s="141" t="e">
        <f t="shared" si="15"/>
        <v>#REF!</v>
      </c>
    </row>
    <row r="173" spans="1:11" hidden="1" x14ac:dyDescent="0.25">
      <c r="A173" t="e">
        <f>#REF!</f>
        <v>#REF!</v>
      </c>
      <c r="B173" t="e">
        <f>#REF!</f>
        <v>#REF!</v>
      </c>
      <c r="C173" t="e">
        <f>#REF!</f>
        <v>#REF!</v>
      </c>
      <c r="D173" t="e">
        <f>#REF!</f>
        <v>#REF!</v>
      </c>
      <c r="E173" t="e">
        <f>#REF!</f>
        <v>#REF!</v>
      </c>
      <c r="G173" t="e">
        <f t="shared" si="11"/>
        <v>#REF!</v>
      </c>
      <c r="H173" t="e">
        <f t="shared" si="12"/>
        <v>#REF!</v>
      </c>
      <c r="I173" s="141" t="e">
        <f t="shared" si="13"/>
        <v>#REF!</v>
      </c>
      <c r="J173" t="e">
        <f t="shared" si="14"/>
        <v>#REF!</v>
      </c>
      <c r="K173" s="141" t="e">
        <f t="shared" si="15"/>
        <v>#REF!</v>
      </c>
    </row>
    <row r="174" spans="1:11" hidden="1" x14ac:dyDescent="0.25">
      <c r="A174" t="e">
        <f>#REF!</f>
        <v>#REF!</v>
      </c>
      <c r="B174" t="e">
        <f>#REF!</f>
        <v>#REF!</v>
      </c>
      <c r="C174" t="e">
        <f>#REF!</f>
        <v>#REF!</v>
      </c>
      <c r="D174" t="e">
        <f>#REF!</f>
        <v>#REF!</v>
      </c>
      <c r="E174" t="e">
        <f>#REF!</f>
        <v>#REF!</v>
      </c>
      <c r="G174" t="e">
        <f t="shared" si="11"/>
        <v>#REF!</v>
      </c>
      <c r="H174" t="e">
        <f t="shared" si="12"/>
        <v>#REF!</v>
      </c>
      <c r="I174" s="141" t="e">
        <f t="shared" si="13"/>
        <v>#REF!</v>
      </c>
      <c r="J174" t="e">
        <f t="shared" si="14"/>
        <v>#REF!</v>
      </c>
      <c r="K174" s="141" t="e">
        <f t="shared" si="15"/>
        <v>#REF!</v>
      </c>
    </row>
    <row r="175" spans="1:11" hidden="1" x14ac:dyDescent="0.25">
      <c r="A175" t="e">
        <f>#REF!</f>
        <v>#REF!</v>
      </c>
      <c r="B175" t="e">
        <f>#REF!</f>
        <v>#REF!</v>
      </c>
      <c r="C175" t="e">
        <f>#REF!</f>
        <v>#REF!</v>
      </c>
      <c r="D175" t="e">
        <f>#REF!</f>
        <v>#REF!</v>
      </c>
      <c r="E175" t="e">
        <f>#REF!</f>
        <v>#REF!</v>
      </c>
      <c r="G175" t="e">
        <f t="shared" si="11"/>
        <v>#REF!</v>
      </c>
      <c r="H175" t="e">
        <f t="shared" si="12"/>
        <v>#REF!</v>
      </c>
      <c r="I175" s="141" t="e">
        <f t="shared" si="13"/>
        <v>#REF!</v>
      </c>
      <c r="J175" t="e">
        <f t="shared" si="14"/>
        <v>#REF!</v>
      </c>
      <c r="K175" s="141" t="e">
        <f t="shared" si="15"/>
        <v>#REF!</v>
      </c>
    </row>
    <row r="176" spans="1:11" hidden="1" x14ac:dyDescent="0.25">
      <c r="A176" t="e">
        <f>#REF!</f>
        <v>#REF!</v>
      </c>
      <c r="B176" t="e">
        <f>#REF!</f>
        <v>#REF!</v>
      </c>
      <c r="C176" t="e">
        <f>#REF!</f>
        <v>#REF!</v>
      </c>
      <c r="D176" t="e">
        <f>#REF!</f>
        <v>#REF!</v>
      </c>
      <c r="E176" t="e">
        <f>#REF!</f>
        <v>#REF!</v>
      </c>
      <c r="G176" t="e">
        <f t="shared" si="11"/>
        <v>#REF!</v>
      </c>
      <c r="H176" t="e">
        <f t="shared" si="12"/>
        <v>#REF!</v>
      </c>
      <c r="I176" s="141" t="e">
        <f t="shared" si="13"/>
        <v>#REF!</v>
      </c>
      <c r="J176" t="e">
        <f t="shared" si="14"/>
        <v>#REF!</v>
      </c>
      <c r="K176" s="141" t="e">
        <f t="shared" si="15"/>
        <v>#REF!</v>
      </c>
    </row>
    <row r="177" spans="1:11" hidden="1" x14ac:dyDescent="0.25">
      <c r="A177" t="e">
        <f>#REF!</f>
        <v>#REF!</v>
      </c>
      <c r="B177" t="e">
        <f>#REF!</f>
        <v>#REF!</v>
      </c>
      <c r="C177" t="e">
        <f>#REF!</f>
        <v>#REF!</v>
      </c>
      <c r="D177" t="e">
        <f>#REF!</f>
        <v>#REF!</v>
      </c>
      <c r="E177" t="e">
        <f>#REF!</f>
        <v>#REF!</v>
      </c>
      <c r="G177" t="e">
        <f t="shared" si="11"/>
        <v>#REF!</v>
      </c>
      <c r="H177" t="e">
        <f t="shared" si="12"/>
        <v>#REF!</v>
      </c>
      <c r="I177" s="141" t="e">
        <f t="shared" si="13"/>
        <v>#REF!</v>
      </c>
      <c r="J177" t="e">
        <f t="shared" si="14"/>
        <v>#REF!</v>
      </c>
      <c r="K177" s="141" t="e">
        <f t="shared" si="15"/>
        <v>#REF!</v>
      </c>
    </row>
    <row r="178" spans="1:11" hidden="1" x14ac:dyDescent="0.25">
      <c r="A178" t="e">
        <f>#REF!</f>
        <v>#REF!</v>
      </c>
      <c r="B178" t="e">
        <f>#REF!</f>
        <v>#REF!</v>
      </c>
      <c r="C178" t="e">
        <f>#REF!</f>
        <v>#REF!</v>
      </c>
      <c r="D178" t="e">
        <f>#REF!</f>
        <v>#REF!</v>
      </c>
      <c r="E178" t="e">
        <f>#REF!</f>
        <v>#REF!</v>
      </c>
      <c r="G178" t="e">
        <f t="shared" si="11"/>
        <v>#REF!</v>
      </c>
      <c r="H178" t="e">
        <f t="shared" si="12"/>
        <v>#REF!</v>
      </c>
      <c r="I178" s="141" t="e">
        <f t="shared" si="13"/>
        <v>#REF!</v>
      </c>
      <c r="J178" t="e">
        <f t="shared" si="14"/>
        <v>#REF!</v>
      </c>
      <c r="K178" s="141" t="e">
        <f t="shared" si="15"/>
        <v>#REF!</v>
      </c>
    </row>
    <row r="179" spans="1:11" hidden="1" x14ac:dyDescent="0.25">
      <c r="A179" t="e">
        <f>#REF!</f>
        <v>#REF!</v>
      </c>
      <c r="B179" t="e">
        <f>#REF!</f>
        <v>#REF!</v>
      </c>
      <c r="C179" t="e">
        <f>#REF!</f>
        <v>#REF!</v>
      </c>
      <c r="D179" t="e">
        <f>#REF!</f>
        <v>#REF!</v>
      </c>
      <c r="E179" t="e">
        <f>#REF!</f>
        <v>#REF!</v>
      </c>
      <c r="G179" t="e">
        <f t="shared" si="11"/>
        <v>#REF!</v>
      </c>
      <c r="H179" t="e">
        <f t="shared" si="12"/>
        <v>#REF!</v>
      </c>
      <c r="I179" s="141" t="e">
        <f t="shared" si="13"/>
        <v>#REF!</v>
      </c>
      <c r="J179" t="e">
        <f t="shared" si="14"/>
        <v>#REF!</v>
      </c>
      <c r="K179" s="141" t="e">
        <f t="shared" si="15"/>
        <v>#REF!</v>
      </c>
    </row>
    <row r="180" spans="1:11" hidden="1" x14ac:dyDescent="0.25">
      <c r="A180" t="e">
        <f>#REF!</f>
        <v>#REF!</v>
      </c>
      <c r="B180" t="e">
        <f>#REF!</f>
        <v>#REF!</v>
      </c>
      <c r="C180" t="e">
        <f>#REF!</f>
        <v>#REF!</v>
      </c>
      <c r="D180" t="e">
        <f>#REF!</f>
        <v>#REF!</v>
      </c>
      <c r="E180" t="e">
        <f>#REF!</f>
        <v>#REF!</v>
      </c>
      <c r="G180" t="e">
        <f t="shared" si="11"/>
        <v>#REF!</v>
      </c>
      <c r="H180" t="e">
        <f t="shared" si="12"/>
        <v>#REF!</v>
      </c>
      <c r="I180" s="141" t="e">
        <f t="shared" si="13"/>
        <v>#REF!</v>
      </c>
      <c r="J180" t="e">
        <f t="shared" si="14"/>
        <v>#REF!</v>
      </c>
      <c r="K180" s="141" t="e">
        <f t="shared" si="15"/>
        <v>#REF!</v>
      </c>
    </row>
    <row r="181" spans="1:11" hidden="1" x14ac:dyDescent="0.25">
      <c r="A181" t="e">
        <f>#REF!</f>
        <v>#REF!</v>
      </c>
      <c r="B181" t="e">
        <f>#REF!</f>
        <v>#REF!</v>
      </c>
      <c r="C181" t="e">
        <f>#REF!</f>
        <v>#REF!</v>
      </c>
      <c r="D181" t="e">
        <f>#REF!</f>
        <v>#REF!</v>
      </c>
      <c r="E181" t="e">
        <f>#REF!</f>
        <v>#REF!</v>
      </c>
      <c r="G181" t="e">
        <f t="shared" si="11"/>
        <v>#REF!</v>
      </c>
      <c r="H181" t="e">
        <f t="shared" si="12"/>
        <v>#REF!</v>
      </c>
      <c r="I181" s="141" t="e">
        <f t="shared" si="13"/>
        <v>#REF!</v>
      </c>
      <c r="J181" t="e">
        <f t="shared" si="14"/>
        <v>#REF!</v>
      </c>
      <c r="K181" s="141" t="e">
        <f t="shared" si="15"/>
        <v>#REF!</v>
      </c>
    </row>
    <row r="182" spans="1:11" hidden="1" x14ac:dyDescent="0.25">
      <c r="A182" t="e">
        <f>#REF!</f>
        <v>#REF!</v>
      </c>
      <c r="B182" t="e">
        <f>#REF!</f>
        <v>#REF!</v>
      </c>
      <c r="C182" t="e">
        <f>#REF!</f>
        <v>#REF!</v>
      </c>
      <c r="D182" t="e">
        <f>#REF!</f>
        <v>#REF!</v>
      </c>
      <c r="E182" t="e">
        <f>#REF!</f>
        <v>#REF!</v>
      </c>
      <c r="G182" t="e">
        <f t="shared" si="11"/>
        <v>#REF!</v>
      </c>
      <c r="H182" t="e">
        <f t="shared" si="12"/>
        <v>#REF!</v>
      </c>
      <c r="I182" s="141" t="e">
        <f t="shared" si="13"/>
        <v>#REF!</v>
      </c>
      <c r="J182" t="e">
        <f t="shared" si="14"/>
        <v>#REF!</v>
      </c>
      <c r="K182" s="141" t="e">
        <f t="shared" si="15"/>
        <v>#REF!</v>
      </c>
    </row>
    <row r="183" spans="1:11" hidden="1" x14ac:dyDescent="0.25">
      <c r="A183" t="e">
        <f>#REF!</f>
        <v>#REF!</v>
      </c>
      <c r="B183" t="e">
        <f>#REF!</f>
        <v>#REF!</v>
      </c>
      <c r="C183" t="e">
        <f>#REF!</f>
        <v>#REF!</v>
      </c>
      <c r="D183" t="e">
        <f>#REF!</f>
        <v>#REF!</v>
      </c>
      <c r="E183" t="e">
        <f>#REF!</f>
        <v>#REF!</v>
      </c>
      <c r="G183" t="e">
        <f t="shared" si="11"/>
        <v>#REF!</v>
      </c>
      <c r="H183" t="e">
        <f t="shared" si="12"/>
        <v>#REF!</v>
      </c>
      <c r="I183" s="141" t="e">
        <f t="shared" si="13"/>
        <v>#REF!</v>
      </c>
      <c r="J183" t="e">
        <f t="shared" si="14"/>
        <v>#REF!</v>
      </c>
      <c r="K183" s="141" t="e">
        <f t="shared" si="15"/>
        <v>#REF!</v>
      </c>
    </row>
    <row r="184" spans="1:11" hidden="1" x14ac:dyDescent="0.25">
      <c r="A184" t="e">
        <f>#REF!</f>
        <v>#REF!</v>
      </c>
      <c r="B184" t="e">
        <f>#REF!</f>
        <v>#REF!</v>
      </c>
      <c r="C184" t="e">
        <f>#REF!</f>
        <v>#REF!</v>
      </c>
      <c r="D184" t="e">
        <f>#REF!</f>
        <v>#REF!</v>
      </c>
      <c r="E184" t="e">
        <f>#REF!</f>
        <v>#REF!</v>
      </c>
      <c r="G184" t="e">
        <f t="shared" si="11"/>
        <v>#REF!</v>
      </c>
      <c r="H184" t="e">
        <f t="shared" si="12"/>
        <v>#REF!</v>
      </c>
      <c r="I184" s="141" t="e">
        <f t="shared" si="13"/>
        <v>#REF!</v>
      </c>
      <c r="J184" t="e">
        <f t="shared" si="14"/>
        <v>#REF!</v>
      </c>
      <c r="K184" s="141" t="e">
        <f t="shared" si="15"/>
        <v>#REF!</v>
      </c>
    </row>
    <row r="185" spans="1:11" hidden="1" x14ac:dyDescent="0.25">
      <c r="A185" t="e">
        <f>#REF!</f>
        <v>#REF!</v>
      </c>
      <c r="B185" t="e">
        <f>#REF!</f>
        <v>#REF!</v>
      </c>
      <c r="C185" t="e">
        <f>#REF!</f>
        <v>#REF!</v>
      </c>
      <c r="D185" t="e">
        <f>#REF!</f>
        <v>#REF!</v>
      </c>
      <c r="E185" t="e">
        <f>#REF!</f>
        <v>#REF!</v>
      </c>
      <c r="G185" t="e">
        <f t="shared" si="11"/>
        <v>#REF!</v>
      </c>
      <c r="H185" t="e">
        <f t="shared" si="12"/>
        <v>#REF!</v>
      </c>
      <c r="I185" s="141" t="e">
        <f t="shared" si="13"/>
        <v>#REF!</v>
      </c>
      <c r="J185" t="e">
        <f t="shared" si="14"/>
        <v>#REF!</v>
      </c>
      <c r="K185" s="141" t="e">
        <f t="shared" si="15"/>
        <v>#REF!</v>
      </c>
    </row>
    <row r="186" spans="1:11" hidden="1" x14ac:dyDescent="0.25">
      <c r="A186" t="e">
        <f>#REF!</f>
        <v>#REF!</v>
      </c>
      <c r="B186" t="e">
        <f>#REF!</f>
        <v>#REF!</v>
      </c>
      <c r="C186" t="e">
        <f>#REF!</f>
        <v>#REF!</v>
      </c>
      <c r="D186" t="e">
        <f>#REF!</f>
        <v>#REF!</v>
      </c>
      <c r="E186" t="e">
        <f>#REF!</f>
        <v>#REF!</v>
      </c>
      <c r="G186" t="e">
        <f t="shared" si="11"/>
        <v>#REF!</v>
      </c>
      <c r="H186" t="e">
        <f t="shared" si="12"/>
        <v>#REF!</v>
      </c>
      <c r="I186" s="141" t="e">
        <f t="shared" si="13"/>
        <v>#REF!</v>
      </c>
      <c r="J186" t="e">
        <f t="shared" si="14"/>
        <v>#REF!</v>
      </c>
      <c r="K186" s="141" t="e">
        <f t="shared" si="15"/>
        <v>#REF!</v>
      </c>
    </row>
    <row r="187" spans="1:11" hidden="1" x14ac:dyDescent="0.25">
      <c r="A187" t="e">
        <f>#REF!</f>
        <v>#REF!</v>
      </c>
      <c r="B187" t="e">
        <f>#REF!</f>
        <v>#REF!</v>
      </c>
      <c r="C187" t="e">
        <f>#REF!</f>
        <v>#REF!</v>
      </c>
      <c r="D187" t="e">
        <f>#REF!</f>
        <v>#REF!</v>
      </c>
      <c r="E187" t="e">
        <f>#REF!</f>
        <v>#REF!</v>
      </c>
      <c r="G187" t="e">
        <f t="shared" si="11"/>
        <v>#REF!</v>
      </c>
      <c r="H187" t="e">
        <f t="shared" si="12"/>
        <v>#REF!</v>
      </c>
      <c r="I187" s="141" t="e">
        <f t="shared" si="13"/>
        <v>#REF!</v>
      </c>
      <c r="J187" t="e">
        <f t="shared" si="14"/>
        <v>#REF!</v>
      </c>
      <c r="K187" s="141" t="e">
        <f t="shared" si="15"/>
        <v>#REF!</v>
      </c>
    </row>
    <row r="188" spans="1:11" hidden="1" x14ac:dyDescent="0.25">
      <c r="A188" t="e">
        <f>#REF!</f>
        <v>#REF!</v>
      </c>
      <c r="B188" t="e">
        <f>#REF!</f>
        <v>#REF!</v>
      </c>
      <c r="C188" t="e">
        <f>#REF!</f>
        <v>#REF!</v>
      </c>
      <c r="D188" t="e">
        <f>#REF!</f>
        <v>#REF!</v>
      </c>
      <c r="E188" t="e">
        <f>#REF!</f>
        <v>#REF!</v>
      </c>
      <c r="G188" t="e">
        <f t="shared" si="11"/>
        <v>#REF!</v>
      </c>
      <c r="H188" t="e">
        <f t="shared" si="12"/>
        <v>#REF!</v>
      </c>
      <c r="I188" s="141" t="e">
        <f t="shared" si="13"/>
        <v>#REF!</v>
      </c>
      <c r="J188" t="e">
        <f t="shared" si="14"/>
        <v>#REF!</v>
      </c>
      <c r="K188" s="141" t="e">
        <f t="shared" si="15"/>
        <v>#REF!</v>
      </c>
    </row>
    <row r="189" spans="1:11" hidden="1" x14ac:dyDescent="0.25">
      <c r="A189" t="e">
        <f>#REF!</f>
        <v>#REF!</v>
      </c>
      <c r="B189" t="e">
        <f>#REF!</f>
        <v>#REF!</v>
      </c>
      <c r="C189" t="e">
        <f>#REF!</f>
        <v>#REF!</v>
      </c>
      <c r="D189" t="e">
        <f>#REF!</f>
        <v>#REF!</v>
      </c>
      <c r="E189" t="e">
        <f>#REF!</f>
        <v>#REF!</v>
      </c>
      <c r="G189" t="e">
        <f t="shared" si="11"/>
        <v>#REF!</v>
      </c>
      <c r="H189" t="e">
        <f t="shared" si="12"/>
        <v>#REF!</v>
      </c>
      <c r="I189" s="141" t="e">
        <f t="shared" si="13"/>
        <v>#REF!</v>
      </c>
      <c r="J189" t="e">
        <f t="shared" si="14"/>
        <v>#REF!</v>
      </c>
      <c r="K189" s="141" t="e">
        <f t="shared" si="15"/>
        <v>#REF!</v>
      </c>
    </row>
    <row r="190" spans="1:11" hidden="1" x14ac:dyDescent="0.25">
      <c r="A190" t="e">
        <f>#REF!</f>
        <v>#REF!</v>
      </c>
      <c r="B190" t="e">
        <f>#REF!</f>
        <v>#REF!</v>
      </c>
      <c r="C190" t="e">
        <f>#REF!</f>
        <v>#REF!</v>
      </c>
      <c r="D190" t="e">
        <f>#REF!</f>
        <v>#REF!</v>
      </c>
      <c r="E190" t="e">
        <f>#REF!</f>
        <v>#REF!</v>
      </c>
      <c r="G190" t="e">
        <f t="shared" si="11"/>
        <v>#REF!</v>
      </c>
      <c r="H190" t="e">
        <f t="shared" si="12"/>
        <v>#REF!</v>
      </c>
      <c r="I190" s="141" t="e">
        <f t="shared" si="13"/>
        <v>#REF!</v>
      </c>
      <c r="J190" t="e">
        <f t="shared" si="14"/>
        <v>#REF!</v>
      </c>
      <c r="K190" s="141" t="e">
        <f t="shared" si="15"/>
        <v>#REF!</v>
      </c>
    </row>
    <row r="191" spans="1:11" hidden="1" x14ac:dyDescent="0.25">
      <c r="A191" t="e">
        <f>#REF!</f>
        <v>#REF!</v>
      </c>
      <c r="B191" t="e">
        <f>#REF!</f>
        <v>#REF!</v>
      </c>
      <c r="C191" t="e">
        <f>#REF!</f>
        <v>#REF!</v>
      </c>
      <c r="D191" t="e">
        <f>#REF!</f>
        <v>#REF!</v>
      </c>
      <c r="E191" t="e">
        <f>#REF!</f>
        <v>#REF!</v>
      </c>
      <c r="G191" t="e">
        <f t="shared" si="11"/>
        <v>#REF!</v>
      </c>
      <c r="H191" t="e">
        <f t="shared" si="12"/>
        <v>#REF!</v>
      </c>
      <c r="I191" s="141" t="e">
        <f t="shared" si="13"/>
        <v>#REF!</v>
      </c>
      <c r="J191" t="e">
        <f t="shared" si="14"/>
        <v>#REF!</v>
      </c>
      <c r="K191" s="141" t="e">
        <f t="shared" si="15"/>
        <v>#REF!</v>
      </c>
    </row>
    <row r="192" spans="1:11" hidden="1" x14ac:dyDescent="0.25">
      <c r="A192" t="e">
        <f>#REF!</f>
        <v>#REF!</v>
      </c>
      <c r="B192" t="e">
        <f>#REF!</f>
        <v>#REF!</v>
      </c>
      <c r="C192" t="e">
        <f>#REF!</f>
        <v>#REF!</v>
      </c>
      <c r="D192" t="e">
        <f>#REF!</f>
        <v>#REF!</v>
      </c>
      <c r="E192" t="e">
        <f>#REF!</f>
        <v>#REF!</v>
      </c>
      <c r="G192" t="e">
        <f t="shared" si="11"/>
        <v>#REF!</v>
      </c>
      <c r="H192" t="e">
        <f t="shared" si="12"/>
        <v>#REF!</v>
      </c>
      <c r="I192" s="141" t="e">
        <f t="shared" si="13"/>
        <v>#REF!</v>
      </c>
      <c r="J192" t="e">
        <f t="shared" si="14"/>
        <v>#REF!</v>
      </c>
      <c r="K192" s="141" t="e">
        <f t="shared" si="15"/>
        <v>#REF!</v>
      </c>
    </row>
    <row r="193" spans="1:11" hidden="1" x14ac:dyDescent="0.25">
      <c r="A193" t="e">
        <f>#REF!</f>
        <v>#REF!</v>
      </c>
      <c r="B193" t="e">
        <f>#REF!</f>
        <v>#REF!</v>
      </c>
      <c r="C193" t="e">
        <f>#REF!</f>
        <v>#REF!</v>
      </c>
      <c r="D193" t="e">
        <f>#REF!</f>
        <v>#REF!</v>
      </c>
      <c r="E193" t="e">
        <f>#REF!</f>
        <v>#REF!</v>
      </c>
      <c r="G193" t="e">
        <f t="shared" si="11"/>
        <v>#REF!</v>
      </c>
      <c r="H193" t="e">
        <f t="shared" si="12"/>
        <v>#REF!</v>
      </c>
      <c r="I193" s="141" t="e">
        <f t="shared" si="13"/>
        <v>#REF!</v>
      </c>
      <c r="J193" t="e">
        <f t="shared" si="14"/>
        <v>#REF!</v>
      </c>
      <c r="K193" s="141" t="e">
        <f t="shared" si="15"/>
        <v>#REF!</v>
      </c>
    </row>
    <row r="194" spans="1:11" hidden="1" x14ac:dyDescent="0.25">
      <c r="A194" t="e">
        <f>#REF!</f>
        <v>#REF!</v>
      </c>
      <c r="B194" t="e">
        <f>#REF!</f>
        <v>#REF!</v>
      </c>
      <c r="C194" t="e">
        <f>#REF!</f>
        <v>#REF!</v>
      </c>
      <c r="D194" t="e">
        <f>#REF!</f>
        <v>#REF!</v>
      </c>
      <c r="E194" t="e">
        <f>#REF!</f>
        <v>#REF!</v>
      </c>
      <c r="G194" t="e">
        <f t="shared" ref="G194:G257" si="16">A194</f>
        <v>#REF!</v>
      </c>
      <c r="H194" t="e">
        <f t="shared" ref="H194:H257" si="17">B194</f>
        <v>#REF!</v>
      </c>
      <c r="I194" s="141" t="e">
        <f t="shared" ref="I194:I257" si="18">C194</f>
        <v>#REF!</v>
      </c>
      <c r="J194" t="e">
        <f t="shared" ref="J194:J257" si="19">D194</f>
        <v>#REF!</v>
      </c>
      <c r="K194" s="141" t="e">
        <f t="shared" ref="K194:K257" si="20">E194</f>
        <v>#REF!</v>
      </c>
    </row>
    <row r="195" spans="1:11" hidden="1" x14ac:dyDescent="0.25">
      <c r="A195" t="e">
        <f>#REF!</f>
        <v>#REF!</v>
      </c>
      <c r="B195" t="e">
        <f>#REF!</f>
        <v>#REF!</v>
      </c>
      <c r="C195" t="e">
        <f>#REF!</f>
        <v>#REF!</v>
      </c>
      <c r="D195" t="e">
        <f>#REF!</f>
        <v>#REF!</v>
      </c>
      <c r="E195" t="e">
        <f>#REF!</f>
        <v>#REF!</v>
      </c>
      <c r="G195" t="e">
        <f t="shared" si="16"/>
        <v>#REF!</v>
      </c>
      <c r="H195" t="e">
        <f t="shared" si="17"/>
        <v>#REF!</v>
      </c>
      <c r="I195" s="141" t="e">
        <f t="shared" si="18"/>
        <v>#REF!</v>
      </c>
      <c r="J195" t="e">
        <f t="shared" si="19"/>
        <v>#REF!</v>
      </c>
      <c r="K195" s="141" t="e">
        <f t="shared" si="20"/>
        <v>#REF!</v>
      </c>
    </row>
    <row r="196" spans="1:11" hidden="1" x14ac:dyDescent="0.25">
      <c r="A196" t="e">
        <f>#REF!</f>
        <v>#REF!</v>
      </c>
      <c r="B196" t="e">
        <f>#REF!</f>
        <v>#REF!</v>
      </c>
      <c r="C196" t="e">
        <f>#REF!</f>
        <v>#REF!</v>
      </c>
      <c r="D196" t="e">
        <f>#REF!</f>
        <v>#REF!</v>
      </c>
      <c r="E196" t="e">
        <f>#REF!</f>
        <v>#REF!</v>
      </c>
      <c r="G196" t="e">
        <f t="shared" si="16"/>
        <v>#REF!</v>
      </c>
      <c r="H196" t="e">
        <f t="shared" si="17"/>
        <v>#REF!</v>
      </c>
      <c r="I196" s="141" t="e">
        <f t="shared" si="18"/>
        <v>#REF!</v>
      </c>
      <c r="J196" t="e">
        <f t="shared" si="19"/>
        <v>#REF!</v>
      </c>
      <c r="K196" s="141" t="e">
        <f t="shared" si="20"/>
        <v>#REF!</v>
      </c>
    </row>
    <row r="197" spans="1:11" hidden="1" x14ac:dyDescent="0.25">
      <c r="A197" t="e">
        <f>#REF!</f>
        <v>#REF!</v>
      </c>
      <c r="B197" t="e">
        <f>#REF!</f>
        <v>#REF!</v>
      </c>
      <c r="C197" t="e">
        <f>#REF!</f>
        <v>#REF!</v>
      </c>
      <c r="D197" t="e">
        <f>#REF!</f>
        <v>#REF!</v>
      </c>
      <c r="E197" t="e">
        <f>#REF!</f>
        <v>#REF!</v>
      </c>
      <c r="G197" t="e">
        <f t="shared" si="16"/>
        <v>#REF!</v>
      </c>
      <c r="H197" t="e">
        <f t="shared" si="17"/>
        <v>#REF!</v>
      </c>
      <c r="I197" s="141" t="e">
        <f t="shared" si="18"/>
        <v>#REF!</v>
      </c>
      <c r="J197" t="e">
        <f t="shared" si="19"/>
        <v>#REF!</v>
      </c>
      <c r="K197" s="141" t="e">
        <f t="shared" si="20"/>
        <v>#REF!</v>
      </c>
    </row>
    <row r="198" spans="1:11" hidden="1" x14ac:dyDescent="0.25">
      <c r="A198" t="e">
        <f>#REF!</f>
        <v>#REF!</v>
      </c>
      <c r="B198" t="e">
        <f>#REF!</f>
        <v>#REF!</v>
      </c>
      <c r="C198" t="e">
        <f>#REF!</f>
        <v>#REF!</v>
      </c>
      <c r="D198" t="e">
        <f>#REF!</f>
        <v>#REF!</v>
      </c>
      <c r="E198" t="e">
        <f>#REF!</f>
        <v>#REF!</v>
      </c>
      <c r="G198" t="e">
        <f t="shared" si="16"/>
        <v>#REF!</v>
      </c>
      <c r="H198" t="e">
        <f t="shared" si="17"/>
        <v>#REF!</v>
      </c>
      <c r="I198" s="141" t="e">
        <f t="shared" si="18"/>
        <v>#REF!</v>
      </c>
      <c r="J198" t="e">
        <f t="shared" si="19"/>
        <v>#REF!</v>
      </c>
      <c r="K198" s="141" t="e">
        <f t="shared" si="20"/>
        <v>#REF!</v>
      </c>
    </row>
    <row r="199" spans="1:11" hidden="1" x14ac:dyDescent="0.25">
      <c r="A199" t="e">
        <f>#REF!</f>
        <v>#REF!</v>
      </c>
      <c r="B199" t="e">
        <f>#REF!</f>
        <v>#REF!</v>
      </c>
      <c r="C199" t="e">
        <f>#REF!</f>
        <v>#REF!</v>
      </c>
      <c r="D199" t="e">
        <f>#REF!</f>
        <v>#REF!</v>
      </c>
      <c r="E199" t="e">
        <f>#REF!</f>
        <v>#REF!</v>
      </c>
      <c r="G199" t="e">
        <f t="shared" si="16"/>
        <v>#REF!</v>
      </c>
      <c r="H199" t="e">
        <f t="shared" si="17"/>
        <v>#REF!</v>
      </c>
      <c r="I199" s="141" t="e">
        <f t="shared" si="18"/>
        <v>#REF!</v>
      </c>
      <c r="J199" t="e">
        <f t="shared" si="19"/>
        <v>#REF!</v>
      </c>
      <c r="K199" s="141" t="e">
        <f t="shared" si="20"/>
        <v>#REF!</v>
      </c>
    </row>
    <row r="200" spans="1:11" hidden="1" x14ac:dyDescent="0.25">
      <c r="A200" t="e">
        <f>#REF!</f>
        <v>#REF!</v>
      </c>
      <c r="B200" t="e">
        <f>#REF!</f>
        <v>#REF!</v>
      </c>
      <c r="C200" t="e">
        <f>#REF!</f>
        <v>#REF!</v>
      </c>
      <c r="D200" t="e">
        <f>#REF!</f>
        <v>#REF!</v>
      </c>
      <c r="E200" t="e">
        <f>#REF!</f>
        <v>#REF!</v>
      </c>
      <c r="G200" t="e">
        <f t="shared" si="16"/>
        <v>#REF!</v>
      </c>
      <c r="H200" t="e">
        <f t="shared" si="17"/>
        <v>#REF!</v>
      </c>
      <c r="I200" s="141" t="e">
        <f t="shared" si="18"/>
        <v>#REF!</v>
      </c>
      <c r="J200" t="e">
        <f t="shared" si="19"/>
        <v>#REF!</v>
      </c>
      <c r="K200" s="141" t="e">
        <f t="shared" si="20"/>
        <v>#REF!</v>
      </c>
    </row>
    <row r="201" spans="1:11" hidden="1" x14ac:dyDescent="0.25">
      <c r="A201" t="e">
        <f>#REF!</f>
        <v>#REF!</v>
      </c>
      <c r="B201" t="e">
        <f>#REF!</f>
        <v>#REF!</v>
      </c>
      <c r="C201" t="e">
        <f>#REF!</f>
        <v>#REF!</v>
      </c>
      <c r="D201" t="e">
        <f>#REF!</f>
        <v>#REF!</v>
      </c>
      <c r="E201" t="e">
        <f>#REF!</f>
        <v>#REF!</v>
      </c>
      <c r="G201" t="e">
        <f t="shared" si="16"/>
        <v>#REF!</v>
      </c>
      <c r="H201" t="e">
        <f t="shared" si="17"/>
        <v>#REF!</v>
      </c>
      <c r="I201" s="141" t="e">
        <f t="shared" si="18"/>
        <v>#REF!</v>
      </c>
      <c r="J201" t="e">
        <f t="shared" si="19"/>
        <v>#REF!</v>
      </c>
      <c r="K201" s="141" t="e">
        <f t="shared" si="20"/>
        <v>#REF!</v>
      </c>
    </row>
    <row r="202" spans="1:11" hidden="1" x14ac:dyDescent="0.25">
      <c r="A202" t="e">
        <f>#REF!</f>
        <v>#REF!</v>
      </c>
      <c r="B202" t="e">
        <f>#REF!</f>
        <v>#REF!</v>
      </c>
      <c r="C202" t="e">
        <f>#REF!</f>
        <v>#REF!</v>
      </c>
      <c r="D202" t="e">
        <f>#REF!</f>
        <v>#REF!</v>
      </c>
      <c r="E202" t="e">
        <f>#REF!</f>
        <v>#REF!</v>
      </c>
      <c r="G202" t="e">
        <f t="shared" si="16"/>
        <v>#REF!</v>
      </c>
      <c r="H202" t="e">
        <f t="shared" si="17"/>
        <v>#REF!</v>
      </c>
      <c r="I202" s="141" t="e">
        <f t="shared" si="18"/>
        <v>#REF!</v>
      </c>
      <c r="J202" t="e">
        <f t="shared" si="19"/>
        <v>#REF!</v>
      </c>
      <c r="K202" s="141" t="e">
        <f t="shared" si="20"/>
        <v>#REF!</v>
      </c>
    </row>
    <row r="203" spans="1:11" hidden="1" x14ac:dyDescent="0.25">
      <c r="A203" t="e">
        <f>#REF!</f>
        <v>#REF!</v>
      </c>
      <c r="B203" t="e">
        <f>#REF!</f>
        <v>#REF!</v>
      </c>
      <c r="C203" t="e">
        <f>#REF!</f>
        <v>#REF!</v>
      </c>
      <c r="D203" t="e">
        <f>#REF!</f>
        <v>#REF!</v>
      </c>
      <c r="E203" t="e">
        <f>#REF!</f>
        <v>#REF!</v>
      </c>
      <c r="G203" t="e">
        <f t="shared" si="16"/>
        <v>#REF!</v>
      </c>
      <c r="H203" t="e">
        <f t="shared" si="17"/>
        <v>#REF!</v>
      </c>
      <c r="I203" s="141" t="e">
        <f t="shared" si="18"/>
        <v>#REF!</v>
      </c>
      <c r="J203" t="e">
        <f t="shared" si="19"/>
        <v>#REF!</v>
      </c>
      <c r="K203" s="141" t="e">
        <f t="shared" si="20"/>
        <v>#REF!</v>
      </c>
    </row>
    <row r="204" spans="1:11" hidden="1" x14ac:dyDescent="0.25">
      <c r="A204" t="e">
        <f>#REF!</f>
        <v>#REF!</v>
      </c>
      <c r="B204" t="e">
        <f>#REF!</f>
        <v>#REF!</v>
      </c>
      <c r="C204" t="e">
        <f>#REF!</f>
        <v>#REF!</v>
      </c>
      <c r="D204" t="e">
        <f>#REF!</f>
        <v>#REF!</v>
      </c>
      <c r="E204" t="e">
        <f>#REF!</f>
        <v>#REF!</v>
      </c>
      <c r="G204" t="e">
        <f t="shared" si="16"/>
        <v>#REF!</v>
      </c>
      <c r="H204" t="e">
        <f t="shared" si="17"/>
        <v>#REF!</v>
      </c>
      <c r="I204" s="141" t="e">
        <f t="shared" si="18"/>
        <v>#REF!</v>
      </c>
      <c r="J204" t="e">
        <f t="shared" si="19"/>
        <v>#REF!</v>
      </c>
      <c r="K204" s="141" t="e">
        <f t="shared" si="20"/>
        <v>#REF!</v>
      </c>
    </row>
    <row r="205" spans="1:11" hidden="1" x14ac:dyDescent="0.25">
      <c r="A205" t="e">
        <f>#REF!</f>
        <v>#REF!</v>
      </c>
      <c r="B205" t="e">
        <f>#REF!</f>
        <v>#REF!</v>
      </c>
      <c r="C205" t="e">
        <f>#REF!</f>
        <v>#REF!</v>
      </c>
      <c r="D205" t="e">
        <f>#REF!</f>
        <v>#REF!</v>
      </c>
      <c r="E205" t="e">
        <f>#REF!</f>
        <v>#REF!</v>
      </c>
      <c r="G205" t="e">
        <f t="shared" si="16"/>
        <v>#REF!</v>
      </c>
      <c r="H205" t="e">
        <f t="shared" si="17"/>
        <v>#REF!</v>
      </c>
      <c r="I205" s="141" t="e">
        <f t="shared" si="18"/>
        <v>#REF!</v>
      </c>
      <c r="J205" t="e">
        <f t="shared" si="19"/>
        <v>#REF!</v>
      </c>
      <c r="K205" s="141" t="e">
        <f t="shared" si="20"/>
        <v>#REF!</v>
      </c>
    </row>
    <row r="206" spans="1:11" hidden="1" x14ac:dyDescent="0.25">
      <c r="A206" t="e">
        <f>#REF!</f>
        <v>#REF!</v>
      </c>
      <c r="B206" t="e">
        <f>#REF!</f>
        <v>#REF!</v>
      </c>
      <c r="C206" t="e">
        <f>#REF!</f>
        <v>#REF!</v>
      </c>
      <c r="D206" t="e">
        <f>#REF!</f>
        <v>#REF!</v>
      </c>
      <c r="E206" t="e">
        <f>#REF!</f>
        <v>#REF!</v>
      </c>
      <c r="G206" t="e">
        <f t="shared" si="16"/>
        <v>#REF!</v>
      </c>
      <c r="H206" t="e">
        <f t="shared" si="17"/>
        <v>#REF!</v>
      </c>
      <c r="I206" s="141" t="e">
        <f t="shared" si="18"/>
        <v>#REF!</v>
      </c>
      <c r="J206" t="e">
        <f t="shared" si="19"/>
        <v>#REF!</v>
      </c>
      <c r="K206" s="141" t="e">
        <f t="shared" si="20"/>
        <v>#REF!</v>
      </c>
    </row>
    <row r="207" spans="1:11" hidden="1" x14ac:dyDescent="0.25">
      <c r="A207" t="e">
        <f>#REF!</f>
        <v>#REF!</v>
      </c>
      <c r="B207" t="e">
        <f>#REF!</f>
        <v>#REF!</v>
      </c>
      <c r="C207" t="e">
        <f>#REF!</f>
        <v>#REF!</v>
      </c>
      <c r="D207" t="e">
        <f>#REF!</f>
        <v>#REF!</v>
      </c>
      <c r="E207" t="e">
        <f>#REF!</f>
        <v>#REF!</v>
      </c>
      <c r="G207" t="e">
        <f t="shared" si="16"/>
        <v>#REF!</v>
      </c>
      <c r="H207" t="e">
        <f t="shared" si="17"/>
        <v>#REF!</v>
      </c>
      <c r="I207" s="141" t="e">
        <f t="shared" si="18"/>
        <v>#REF!</v>
      </c>
      <c r="J207" t="e">
        <f t="shared" si="19"/>
        <v>#REF!</v>
      </c>
      <c r="K207" s="141" t="e">
        <f t="shared" si="20"/>
        <v>#REF!</v>
      </c>
    </row>
    <row r="208" spans="1:11" hidden="1" x14ac:dyDescent="0.25">
      <c r="A208" t="e">
        <f>#REF!</f>
        <v>#REF!</v>
      </c>
      <c r="B208" t="e">
        <f>#REF!</f>
        <v>#REF!</v>
      </c>
      <c r="C208" t="e">
        <f>#REF!</f>
        <v>#REF!</v>
      </c>
      <c r="D208" t="e">
        <f>#REF!</f>
        <v>#REF!</v>
      </c>
      <c r="E208" t="e">
        <f>#REF!</f>
        <v>#REF!</v>
      </c>
      <c r="G208" t="e">
        <f t="shared" si="16"/>
        <v>#REF!</v>
      </c>
      <c r="H208" t="e">
        <f t="shared" si="17"/>
        <v>#REF!</v>
      </c>
      <c r="I208" s="141" t="e">
        <f t="shared" si="18"/>
        <v>#REF!</v>
      </c>
      <c r="J208" t="e">
        <f t="shared" si="19"/>
        <v>#REF!</v>
      </c>
      <c r="K208" s="141" t="e">
        <f t="shared" si="20"/>
        <v>#REF!</v>
      </c>
    </row>
    <row r="209" spans="1:11" hidden="1" x14ac:dyDescent="0.25">
      <c r="A209" t="e">
        <f>#REF!</f>
        <v>#REF!</v>
      </c>
      <c r="B209" t="e">
        <f>#REF!</f>
        <v>#REF!</v>
      </c>
      <c r="C209" t="e">
        <f>#REF!</f>
        <v>#REF!</v>
      </c>
      <c r="D209" t="e">
        <f>#REF!</f>
        <v>#REF!</v>
      </c>
      <c r="E209" t="e">
        <f>#REF!</f>
        <v>#REF!</v>
      </c>
      <c r="G209" t="e">
        <f t="shared" si="16"/>
        <v>#REF!</v>
      </c>
      <c r="H209" t="e">
        <f t="shared" si="17"/>
        <v>#REF!</v>
      </c>
      <c r="I209" s="141" t="e">
        <f t="shared" si="18"/>
        <v>#REF!</v>
      </c>
      <c r="J209" t="e">
        <f t="shared" si="19"/>
        <v>#REF!</v>
      </c>
      <c r="K209" s="141" t="e">
        <f t="shared" si="20"/>
        <v>#REF!</v>
      </c>
    </row>
    <row r="210" spans="1:11" hidden="1" x14ac:dyDescent="0.25">
      <c r="A210" t="e">
        <f>#REF!</f>
        <v>#REF!</v>
      </c>
      <c r="B210" t="e">
        <f>#REF!</f>
        <v>#REF!</v>
      </c>
      <c r="C210" t="e">
        <f>#REF!</f>
        <v>#REF!</v>
      </c>
      <c r="D210" t="e">
        <f>#REF!</f>
        <v>#REF!</v>
      </c>
      <c r="E210" t="e">
        <f>#REF!</f>
        <v>#REF!</v>
      </c>
      <c r="G210" t="e">
        <f t="shared" si="16"/>
        <v>#REF!</v>
      </c>
      <c r="H210" t="e">
        <f t="shared" si="17"/>
        <v>#REF!</v>
      </c>
      <c r="I210" s="141" t="e">
        <f t="shared" si="18"/>
        <v>#REF!</v>
      </c>
      <c r="J210" t="e">
        <f t="shared" si="19"/>
        <v>#REF!</v>
      </c>
      <c r="K210" s="141" t="e">
        <f t="shared" si="20"/>
        <v>#REF!</v>
      </c>
    </row>
    <row r="211" spans="1:11" hidden="1" x14ac:dyDescent="0.25">
      <c r="A211" t="e">
        <f>#REF!</f>
        <v>#REF!</v>
      </c>
      <c r="B211" t="e">
        <f>#REF!</f>
        <v>#REF!</v>
      </c>
      <c r="C211" t="e">
        <f>#REF!</f>
        <v>#REF!</v>
      </c>
      <c r="D211" t="e">
        <f>#REF!</f>
        <v>#REF!</v>
      </c>
      <c r="E211" t="e">
        <f>#REF!</f>
        <v>#REF!</v>
      </c>
      <c r="G211" t="e">
        <f t="shared" si="16"/>
        <v>#REF!</v>
      </c>
      <c r="H211" t="e">
        <f t="shared" si="17"/>
        <v>#REF!</v>
      </c>
      <c r="I211" s="141" t="e">
        <f t="shared" si="18"/>
        <v>#REF!</v>
      </c>
      <c r="J211" t="e">
        <f t="shared" si="19"/>
        <v>#REF!</v>
      </c>
      <c r="K211" s="141" t="e">
        <f t="shared" si="20"/>
        <v>#REF!</v>
      </c>
    </row>
    <row r="212" spans="1:11" hidden="1" x14ac:dyDescent="0.25">
      <c r="A212" t="e">
        <f>#REF!</f>
        <v>#REF!</v>
      </c>
      <c r="B212" t="e">
        <f>#REF!</f>
        <v>#REF!</v>
      </c>
      <c r="C212" t="e">
        <f>#REF!</f>
        <v>#REF!</v>
      </c>
      <c r="D212" t="e">
        <f>#REF!</f>
        <v>#REF!</v>
      </c>
      <c r="E212" t="e">
        <f>#REF!</f>
        <v>#REF!</v>
      </c>
      <c r="G212" t="e">
        <f t="shared" si="16"/>
        <v>#REF!</v>
      </c>
      <c r="H212" t="e">
        <f t="shared" si="17"/>
        <v>#REF!</v>
      </c>
      <c r="I212" s="141" t="e">
        <f t="shared" si="18"/>
        <v>#REF!</v>
      </c>
      <c r="J212" t="e">
        <f t="shared" si="19"/>
        <v>#REF!</v>
      </c>
      <c r="K212" s="141" t="e">
        <f t="shared" si="20"/>
        <v>#REF!</v>
      </c>
    </row>
    <row r="213" spans="1:11" hidden="1" x14ac:dyDescent="0.25">
      <c r="A213" t="e">
        <f>#REF!</f>
        <v>#REF!</v>
      </c>
      <c r="B213" t="e">
        <f>#REF!</f>
        <v>#REF!</v>
      </c>
      <c r="C213" t="e">
        <f>#REF!</f>
        <v>#REF!</v>
      </c>
      <c r="D213" t="e">
        <f>#REF!</f>
        <v>#REF!</v>
      </c>
      <c r="E213" t="e">
        <f>#REF!</f>
        <v>#REF!</v>
      </c>
      <c r="G213" t="e">
        <f t="shared" si="16"/>
        <v>#REF!</v>
      </c>
      <c r="H213" t="e">
        <f t="shared" si="17"/>
        <v>#REF!</v>
      </c>
      <c r="I213" s="141" t="e">
        <f t="shared" si="18"/>
        <v>#REF!</v>
      </c>
      <c r="J213" t="e">
        <f t="shared" si="19"/>
        <v>#REF!</v>
      </c>
      <c r="K213" s="141" t="e">
        <f t="shared" si="20"/>
        <v>#REF!</v>
      </c>
    </row>
    <row r="214" spans="1:11" hidden="1" x14ac:dyDescent="0.25">
      <c r="A214" t="e">
        <f>#REF!</f>
        <v>#REF!</v>
      </c>
      <c r="B214" t="e">
        <f>#REF!</f>
        <v>#REF!</v>
      </c>
      <c r="C214" t="e">
        <f>#REF!</f>
        <v>#REF!</v>
      </c>
      <c r="D214" t="e">
        <f>#REF!</f>
        <v>#REF!</v>
      </c>
      <c r="E214" t="e">
        <f>#REF!</f>
        <v>#REF!</v>
      </c>
      <c r="G214" t="e">
        <f t="shared" si="16"/>
        <v>#REF!</v>
      </c>
      <c r="H214" t="e">
        <f t="shared" si="17"/>
        <v>#REF!</v>
      </c>
      <c r="I214" s="141" t="e">
        <f t="shared" si="18"/>
        <v>#REF!</v>
      </c>
      <c r="J214" t="e">
        <f t="shared" si="19"/>
        <v>#REF!</v>
      </c>
      <c r="K214" s="141" t="e">
        <f t="shared" si="20"/>
        <v>#REF!</v>
      </c>
    </row>
    <row r="215" spans="1:11" hidden="1" x14ac:dyDescent="0.25">
      <c r="A215" t="e">
        <f>#REF!</f>
        <v>#REF!</v>
      </c>
      <c r="B215" t="e">
        <f>#REF!</f>
        <v>#REF!</v>
      </c>
      <c r="C215" t="e">
        <f>#REF!</f>
        <v>#REF!</v>
      </c>
      <c r="D215" t="e">
        <f>#REF!</f>
        <v>#REF!</v>
      </c>
      <c r="E215" t="e">
        <f>#REF!</f>
        <v>#REF!</v>
      </c>
      <c r="G215" t="e">
        <f t="shared" si="16"/>
        <v>#REF!</v>
      </c>
      <c r="H215" t="e">
        <f t="shared" si="17"/>
        <v>#REF!</v>
      </c>
      <c r="I215" s="141" t="e">
        <f t="shared" si="18"/>
        <v>#REF!</v>
      </c>
      <c r="J215" t="e">
        <f t="shared" si="19"/>
        <v>#REF!</v>
      </c>
      <c r="K215" s="141" t="e">
        <f t="shared" si="20"/>
        <v>#REF!</v>
      </c>
    </row>
    <row r="216" spans="1:11" hidden="1" x14ac:dyDescent="0.25">
      <c r="A216" t="e">
        <f>#REF!</f>
        <v>#REF!</v>
      </c>
      <c r="B216" t="e">
        <f>#REF!</f>
        <v>#REF!</v>
      </c>
      <c r="C216" t="e">
        <f>#REF!</f>
        <v>#REF!</v>
      </c>
      <c r="D216" t="e">
        <f>#REF!</f>
        <v>#REF!</v>
      </c>
      <c r="E216" t="e">
        <f>#REF!</f>
        <v>#REF!</v>
      </c>
      <c r="G216" t="e">
        <f t="shared" si="16"/>
        <v>#REF!</v>
      </c>
      <c r="H216" t="e">
        <f t="shared" si="17"/>
        <v>#REF!</v>
      </c>
      <c r="I216" s="141" t="e">
        <f t="shared" si="18"/>
        <v>#REF!</v>
      </c>
      <c r="J216" t="e">
        <f t="shared" si="19"/>
        <v>#REF!</v>
      </c>
      <c r="K216" s="141" t="e">
        <f t="shared" si="20"/>
        <v>#REF!</v>
      </c>
    </row>
    <row r="217" spans="1:11" hidden="1" x14ac:dyDescent="0.25">
      <c r="A217" t="e">
        <f>#REF!</f>
        <v>#REF!</v>
      </c>
      <c r="B217" t="e">
        <f>#REF!</f>
        <v>#REF!</v>
      </c>
      <c r="C217" t="e">
        <f>#REF!</f>
        <v>#REF!</v>
      </c>
      <c r="D217" t="e">
        <f>#REF!</f>
        <v>#REF!</v>
      </c>
      <c r="E217" t="e">
        <f>#REF!</f>
        <v>#REF!</v>
      </c>
      <c r="G217" t="e">
        <f t="shared" si="16"/>
        <v>#REF!</v>
      </c>
      <c r="H217" t="e">
        <f t="shared" si="17"/>
        <v>#REF!</v>
      </c>
      <c r="I217" s="141" t="e">
        <f t="shared" si="18"/>
        <v>#REF!</v>
      </c>
      <c r="J217" t="e">
        <f t="shared" si="19"/>
        <v>#REF!</v>
      </c>
      <c r="K217" s="141" t="e">
        <f t="shared" si="20"/>
        <v>#REF!</v>
      </c>
    </row>
    <row r="218" spans="1:11" hidden="1" x14ac:dyDescent="0.25">
      <c r="A218" t="e">
        <f>#REF!</f>
        <v>#REF!</v>
      </c>
      <c r="B218" t="e">
        <f>#REF!</f>
        <v>#REF!</v>
      </c>
      <c r="C218" t="e">
        <f>#REF!</f>
        <v>#REF!</v>
      </c>
      <c r="D218" t="e">
        <f>#REF!</f>
        <v>#REF!</v>
      </c>
      <c r="E218" t="e">
        <f>#REF!</f>
        <v>#REF!</v>
      </c>
      <c r="G218" t="e">
        <f t="shared" si="16"/>
        <v>#REF!</v>
      </c>
      <c r="H218" t="e">
        <f t="shared" si="17"/>
        <v>#REF!</v>
      </c>
      <c r="I218" s="141" t="e">
        <f t="shared" si="18"/>
        <v>#REF!</v>
      </c>
      <c r="J218" t="e">
        <f t="shared" si="19"/>
        <v>#REF!</v>
      </c>
      <c r="K218" s="141" t="e">
        <f t="shared" si="20"/>
        <v>#REF!</v>
      </c>
    </row>
    <row r="219" spans="1:11" hidden="1" x14ac:dyDescent="0.25">
      <c r="A219" t="e">
        <f>#REF!</f>
        <v>#REF!</v>
      </c>
      <c r="B219" t="e">
        <f>#REF!</f>
        <v>#REF!</v>
      </c>
      <c r="C219" t="e">
        <f>#REF!</f>
        <v>#REF!</v>
      </c>
      <c r="D219" t="e">
        <f>#REF!</f>
        <v>#REF!</v>
      </c>
      <c r="E219" t="e">
        <f>#REF!</f>
        <v>#REF!</v>
      </c>
      <c r="G219" t="e">
        <f t="shared" si="16"/>
        <v>#REF!</v>
      </c>
      <c r="H219" t="e">
        <f t="shared" si="17"/>
        <v>#REF!</v>
      </c>
      <c r="I219" s="141" t="e">
        <f t="shared" si="18"/>
        <v>#REF!</v>
      </c>
      <c r="J219" t="e">
        <f t="shared" si="19"/>
        <v>#REF!</v>
      </c>
      <c r="K219" s="141" t="e">
        <f t="shared" si="20"/>
        <v>#REF!</v>
      </c>
    </row>
    <row r="220" spans="1:11" hidden="1" x14ac:dyDescent="0.25">
      <c r="A220" t="e">
        <f>#REF!</f>
        <v>#REF!</v>
      </c>
      <c r="B220" t="e">
        <f>#REF!</f>
        <v>#REF!</v>
      </c>
      <c r="C220" t="e">
        <f>#REF!</f>
        <v>#REF!</v>
      </c>
      <c r="D220" t="e">
        <f>#REF!</f>
        <v>#REF!</v>
      </c>
      <c r="E220" t="e">
        <f>#REF!</f>
        <v>#REF!</v>
      </c>
      <c r="G220" t="e">
        <f t="shared" si="16"/>
        <v>#REF!</v>
      </c>
      <c r="H220" t="e">
        <f t="shared" si="17"/>
        <v>#REF!</v>
      </c>
      <c r="I220" s="141" t="e">
        <f t="shared" si="18"/>
        <v>#REF!</v>
      </c>
      <c r="J220" t="e">
        <f t="shared" si="19"/>
        <v>#REF!</v>
      </c>
      <c r="K220" s="141" t="e">
        <f t="shared" si="20"/>
        <v>#REF!</v>
      </c>
    </row>
    <row r="221" spans="1:11" hidden="1" x14ac:dyDescent="0.25">
      <c r="A221" t="e">
        <f>#REF!</f>
        <v>#REF!</v>
      </c>
      <c r="B221" t="e">
        <f>#REF!</f>
        <v>#REF!</v>
      </c>
      <c r="C221" t="e">
        <f>#REF!</f>
        <v>#REF!</v>
      </c>
      <c r="D221" t="e">
        <f>#REF!</f>
        <v>#REF!</v>
      </c>
      <c r="E221" t="e">
        <f>#REF!</f>
        <v>#REF!</v>
      </c>
      <c r="G221" t="e">
        <f t="shared" si="16"/>
        <v>#REF!</v>
      </c>
      <c r="H221" t="e">
        <f t="shared" si="17"/>
        <v>#REF!</v>
      </c>
      <c r="I221" s="141" t="e">
        <f t="shared" si="18"/>
        <v>#REF!</v>
      </c>
      <c r="J221" t="e">
        <f t="shared" si="19"/>
        <v>#REF!</v>
      </c>
      <c r="K221" s="141" t="e">
        <f t="shared" si="20"/>
        <v>#REF!</v>
      </c>
    </row>
    <row r="222" spans="1:11" hidden="1" x14ac:dyDescent="0.25">
      <c r="A222" t="e">
        <f>#REF!</f>
        <v>#REF!</v>
      </c>
      <c r="B222" t="e">
        <f>#REF!</f>
        <v>#REF!</v>
      </c>
      <c r="C222" t="e">
        <f>#REF!</f>
        <v>#REF!</v>
      </c>
      <c r="D222" t="e">
        <f>#REF!</f>
        <v>#REF!</v>
      </c>
      <c r="E222" t="e">
        <f>#REF!</f>
        <v>#REF!</v>
      </c>
      <c r="G222" t="e">
        <f t="shared" si="16"/>
        <v>#REF!</v>
      </c>
      <c r="H222" t="e">
        <f t="shared" si="17"/>
        <v>#REF!</v>
      </c>
      <c r="I222" s="141" t="e">
        <f t="shared" si="18"/>
        <v>#REF!</v>
      </c>
      <c r="J222" t="e">
        <f t="shared" si="19"/>
        <v>#REF!</v>
      </c>
      <c r="K222" s="141" t="e">
        <f t="shared" si="20"/>
        <v>#REF!</v>
      </c>
    </row>
    <row r="223" spans="1:11" hidden="1" x14ac:dyDescent="0.25">
      <c r="A223" t="e">
        <f>#REF!</f>
        <v>#REF!</v>
      </c>
      <c r="B223" t="e">
        <f>#REF!</f>
        <v>#REF!</v>
      </c>
      <c r="C223" t="e">
        <f>#REF!</f>
        <v>#REF!</v>
      </c>
      <c r="D223" t="e">
        <f>#REF!</f>
        <v>#REF!</v>
      </c>
      <c r="E223" t="e">
        <f>#REF!</f>
        <v>#REF!</v>
      </c>
      <c r="G223" t="e">
        <f t="shared" si="16"/>
        <v>#REF!</v>
      </c>
      <c r="H223" t="e">
        <f t="shared" si="17"/>
        <v>#REF!</v>
      </c>
      <c r="I223" s="141" t="e">
        <f t="shared" si="18"/>
        <v>#REF!</v>
      </c>
      <c r="J223" t="e">
        <f t="shared" si="19"/>
        <v>#REF!</v>
      </c>
      <c r="K223" s="141" t="e">
        <f t="shared" si="20"/>
        <v>#REF!</v>
      </c>
    </row>
    <row r="224" spans="1:11" hidden="1" x14ac:dyDescent="0.25">
      <c r="A224" t="e">
        <f>#REF!</f>
        <v>#REF!</v>
      </c>
      <c r="B224" t="e">
        <f>#REF!</f>
        <v>#REF!</v>
      </c>
      <c r="C224" t="e">
        <f>#REF!</f>
        <v>#REF!</v>
      </c>
      <c r="D224" t="e">
        <f>#REF!</f>
        <v>#REF!</v>
      </c>
      <c r="E224" t="e">
        <f>#REF!</f>
        <v>#REF!</v>
      </c>
      <c r="G224" t="e">
        <f t="shared" si="16"/>
        <v>#REF!</v>
      </c>
      <c r="H224" t="e">
        <f t="shared" si="17"/>
        <v>#REF!</v>
      </c>
      <c r="I224" s="141" t="e">
        <f t="shared" si="18"/>
        <v>#REF!</v>
      </c>
      <c r="J224" t="e">
        <f t="shared" si="19"/>
        <v>#REF!</v>
      </c>
      <c r="K224" s="141" t="e">
        <f t="shared" si="20"/>
        <v>#REF!</v>
      </c>
    </row>
    <row r="225" spans="1:11" hidden="1" x14ac:dyDescent="0.25">
      <c r="A225" t="e">
        <f>#REF!</f>
        <v>#REF!</v>
      </c>
      <c r="B225" t="e">
        <f>#REF!</f>
        <v>#REF!</v>
      </c>
      <c r="C225" t="e">
        <f>#REF!</f>
        <v>#REF!</v>
      </c>
      <c r="D225" t="e">
        <f>#REF!</f>
        <v>#REF!</v>
      </c>
      <c r="E225" t="e">
        <f>#REF!</f>
        <v>#REF!</v>
      </c>
      <c r="G225" t="e">
        <f t="shared" si="16"/>
        <v>#REF!</v>
      </c>
      <c r="H225" t="e">
        <f t="shared" si="17"/>
        <v>#REF!</v>
      </c>
      <c r="I225" s="141" t="e">
        <f t="shared" si="18"/>
        <v>#REF!</v>
      </c>
      <c r="J225" t="e">
        <f t="shared" si="19"/>
        <v>#REF!</v>
      </c>
      <c r="K225" s="141" t="e">
        <f t="shared" si="20"/>
        <v>#REF!</v>
      </c>
    </row>
    <row r="226" spans="1:11" hidden="1" x14ac:dyDescent="0.25">
      <c r="A226" t="e">
        <f>#REF!</f>
        <v>#REF!</v>
      </c>
      <c r="B226" t="e">
        <f>#REF!</f>
        <v>#REF!</v>
      </c>
      <c r="C226" t="e">
        <f>#REF!</f>
        <v>#REF!</v>
      </c>
      <c r="D226" t="e">
        <f>#REF!</f>
        <v>#REF!</v>
      </c>
      <c r="E226" t="e">
        <f>#REF!</f>
        <v>#REF!</v>
      </c>
      <c r="G226" t="e">
        <f t="shared" si="16"/>
        <v>#REF!</v>
      </c>
      <c r="H226" t="e">
        <f t="shared" si="17"/>
        <v>#REF!</v>
      </c>
      <c r="I226" s="141" t="e">
        <f t="shared" si="18"/>
        <v>#REF!</v>
      </c>
      <c r="J226" t="e">
        <f t="shared" si="19"/>
        <v>#REF!</v>
      </c>
      <c r="K226" s="141" t="e">
        <f t="shared" si="20"/>
        <v>#REF!</v>
      </c>
    </row>
    <row r="227" spans="1:11" hidden="1" x14ac:dyDescent="0.25">
      <c r="A227" t="e">
        <f>#REF!</f>
        <v>#REF!</v>
      </c>
      <c r="B227" t="e">
        <f>#REF!</f>
        <v>#REF!</v>
      </c>
      <c r="C227" t="e">
        <f>#REF!</f>
        <v>#REF!</v>
      </c>
      <c r="D227" t="e">
        <f>#REF!</f>
        <v>#REF!</v>
      </c>
      <c r="E227" t="e">
        <f>#REF!</f>
        <v>#REF!</v>
      </c>
      <c r="G227" t="e">
        <f t="shared" si="16"/>
        <v>#REF!</v>
      </c>
      <c r="H227" t="e">
        <f t="shared" si="17"/>
        <v>#REF!</v>
      </c>
      <c r="I227" s="141" t="e">
        <f t="shared" si="18"/>
        <v>#REF!</v>
      </c>
      <c r="J227" t="e">
        <f t="shared" si="19"/>
        <v>#REF!</v>
      </c>
      <c r="K227" s="141" t="e">
        <f t="shared" si="20"/>
        <v>#REF!</v>
      </c>
    </row>
    <row r="228" spans="1:11" hidden="1" x14ac:dyDescent="0.25">
      <c r="A228" t="e">
        <f>#REF!</f>
        <v>#REF!</v>
      </c>
      <c r="B228" t="e">
        <f>#REF!</f>
        <v>#REF!</v>
      </c>
      <c r="C228" t="e">
        <f>#REF!</f>
        <v>#REF!</v>
      </c>
      <c r="D228" t="e">
        <f>#REF!</f>
        <v>#REF!</v>
      </c>
      <c r="E228" t="e">
        <f>#REF!</f>
        <v>#REF!</v>
      </c>
      <c r="G228" t="e">
        <f t="shared" si="16"/>
        <v>#REF!</v>
      </c>
      <c r="H228" t="e">
        <f t="shared" si="17"/>
        <v>#REF!</v>
      </c>
      <c r="I228" s="141" t="e">
        <f t="shared" si="18"/>
        <v>#REF!</v>
      </c>
      <c r="J228" t="e">
        <f t="shared" si="19"/>
        <v>#REF!</v>
      </c>
      <c r="K228" s="141" t="e">
        <f t="shared" si="20"/>
        <v>#REF!</v>
      </c>
    </row>
    <row r="229" spans="1:11" hidden="1" x14ac:dyDescent="0.25">
      <c r="A229" t="e">
        <f>#REF!</f>
        <v>#REF!</v>
      </c>
      <c r="B229" t="e">
        <f>#REF!</f>
        <v>#REF!</v>
      </c>
      <c r="C229" t="e">
        <f>#REF!</f>
        <v>#REF!</v>
      </c>
      <c r="D229" t="e">
        <f>#REF!</f>
        <v>#REF!</v>
      </c>
      <c r="E229" t="e">
        <f>#REF!</f>
        <v>#REF!</v>
      </c>
      <c r="G229" t="e">
        <f t="shared" si="16"/>
        <v>#REF!</v>
      </c>
      <c r="H229" t="e">
        <f t="shared" si="17"/>
        <v>#REF!</v>
      </c>
      <c r="I229" s="141" t="e">
        <f t="shared" si="18"/>
        <v>#REF!</v>
      </c>
      <c r="J229" t="e">
        <f t="shared" si="19"/>
        <v>#REF!</v>
      </c>
      <c r="K229" s="141" t="e">
        <f t="shared" si="20"/>
        <v>#REF!</v>
      </c>
    </row>
    <row r="230" spans="1:11" hidden="1" x14ac:dyDescent="0.25">
      <c r="A230" t="e">
        <f>#REF!</f>
        <v>#REF!</v>
      </c>
      <c r="B230" t="e">
        <f>#REF!</f>
        <v>#REF!</v>
      </c>
      <c r="C230" t="e">
        <f>#REF!</f>
        <v>#REF!</v>
      </c>
      <c r="D230" t="e">
        <f>#REF!</f>
        <v>#REF!</v>
      </c>
      <c r="E230" t="e">
        <f>#REF!</f>
        <v>#REF!</v>
      </c>
      <c r="G230" t="e">
        <f t="shared" si="16"/>
        <v>#REF!</v>
      </c>
      <c r="H230" t="e">
        <f t="shared" si="17"/>
        <v>#REF!</v>
      </c>
      <c r="I230" s="141" t="e">
        <f t="shared" si="18"/>
        <v>#REF!</v>
      </c>
      <c r="J230" t="e">
        <f t="shared" si="19"/>
        <v>#REF!</v>
      </c>
      <c r="K230" s="141" t="e">
        <f t="shared" si="20"/>
        <v>#REF!</v>
      </c>
    </row>
    <row r="231" spans="1:11" hidden="1" x14ac:dyDescent="0.25">
      <c r="A231" t="e">
        <f>#REF!</f>
        <v>#REF!</v>
      </c>
      <c r="B231" t="e">
        <f>#REF!</f>
        <v>#REF!</v>
      </c>
      <c r="C231" t="e">
        <f>#REF!</f>
        <v>#REF!</v>
      </c>
      <c r="D231" t="e">
        <f>#REF!</f>
        <v>#REF!</v>
      </c>
      <c r="E231" t="e">
        <f>#REF!</f>
        <v>#REF!</v>
      </c>
      <c r="G231" t="e">
        <f t="shared" si="16"/>
        <v>#REF!</v>
      </c>
      <c r="H231" t="e">
        <f t="shared" si="17"/>
        <v>#REF!</v>
      </c>
      <c r="I231" s="141" t="e">
        <f t="shared" si="18"/>
        <v>#REF!</v>
      </c>
      <c r="J231" t="e">
        <f t="shared" si="19"/>
        <v>#REF!</v>
      </c>
      <c r="K231" s="141" t="e">
        <f t="shared" si="20"/>
        <v>#REF!</v>
      </c>
    </row>
    <row r="232" spans="1:11" hidden="1" x14ac:dyDescent="0.25">
      <c r="A232" t="e">
        <f>#REF!</f>
        <v>#REF!</v>
      </c>
      <c r="B232" t="e">
        <f>#REF!</f>
        <v>#REF!</v>
      </c>
      <c r="C232" t="e">
        <f>#REF!</f>
        <v>#REF!</v>
      </c>
      <c r="D232" t="e">
        <f>#REF!</f>
        <v>#REF!</v>
      </c>
      <c r="E232" t="e">
        <f>#REF!</f>
        <v>#REF!</v>
      </c>
      <c r="G232" t="e">
        <f t="shared" si="16"/>
        <v>#REF!</v>
      </c>
      <c r="H232" t="e">
        <f t="shared" si="17"/>
        <v>#REF!</v>
      </c>
      <c r="I232" s="141" t="e">
        <f t="shared" si="18"/>
        <v>#REF!</v>
      </c>
      <c r="J232" t="e">
        <f t="shared" si="19"/>
        <v>#REF!</v>
      </c>
      <c r="K232" s="141" t="e">
        <f t="shared" si="20"/>
        <v>#REF!</v>
      </c>
    </row>
    <row r="233" spans="1:11" hidden="1" x14ac:dyDescent="0.25">
      <c r="A233" t="e">
        <f>#REF!</f>
        <v>#REF!</v>
      </c>
      <c r="B233" t="e">
        <f>#REF!</f>
        <v>#REF!</v>
      </c>
      <c r="C233" t="e">
        <f>#REF!</f>
        <v>#REF!</v>
      </c>
      <c r="D233" t="e">
        <f>#REF!</f>
        <v>#REF!</v>
      </c>
      <c r="E233" t="e">
        <f>#REF!</f>
        <v>#REF!</v>
      </c>
      <c r="G233" t="e">
        <f t="shared" si="16"/>
        <v>#REF!</v>
      </c>
      <c r="H233" t="e">
        <f t="shared" si="17"/>
        <v>#REF!</v>
      </c>
      <c r="I233" s="141" t="e">
        <f t="shared" si="18"/>
        <v>#REF!</v>
      </c>
      <c r="J233" t="e">
        <f t="shared" si="19"/>
        <v>#REF!</v>
      </c>
      <c r="K233" s="141" t="e">
        <f t="shared" si="20"/>
        <v>#REF!</v>
      </c>
    </row>
    <row r="234" spans="1:11" hidden="1" x14ac:dyDescent="0.25">
      <c r="A234" t="e">
        <f>#REF!</f>
        <v>#REF!</v>
      </c>
      <c r="B234" t="e">
        <f>#REF!</f>
        <v>#REF!</v>
      </c>
      <c r="C234" t="e">
        <f>#REF!</f>
        <v>#REF!</v>
      </c>
      <c r="D234" t="e">
        <f>#REF!</f>
        <v>#REF!</v>
      </c>
      <c r="E234" t="e">
        <f>#REF!</f>
        <v>#REF!</v>
      </c>
      <c r="G234" t="e">
        <f t="shared" si="16"/>
        <v>#REF!</v>
      </c>
      <c r="H234" t="e">
        <f t="shared" si="17"/>
        <v>#REF!</v>
      </c>
      <c r="I234" s="141" t="e">
        <f t="shared" si="18"/>
        <v>#REF!</v>
      </c>
      <c r="J234" t="e">
        <f t="shared" si="19"/>
        <v>#REF!</v>
      </c>
      <c r="K234" s="141" t="e">
        <f t="shared" si="20"/>
        <v>#REF!</v>
      </c>
    </row>
    <row r="235" spans="1:11" hidden="1" x14ac:dyDescent="0.25">
      <c r="A235" t="e">
        <f>#REF!</f>
        <v>#REF!</v>
      </c>
      <c r="B235" t="e">
        <f>#REF!</f>
        <v>#REF!</v>
      </c>
      <c r="C235" t="e">
        <f>#REF!</f>
        <v>#REF!</v>
      </c>
      <c r="D235" t="e">
        <f>#REF!</f>
        <v>#REF!</v>
      </c>
      <c r="E235" t="e">
        <f>#REF!</f>
        <v>#REF!</v>
      </c>
      <c r="G235" t="e">
        <f t="shared" si="16"/>
        <v>#REF!</v>
      </c>
      <c r="H235" t="e">
        <f t="shared" si="17"/>
        <v>#REF!</v>
      </c>
      <c r="I235" s="141" t="e">
        <f t="shared" si="18"/>
        <v>#REF!</v>
      </c>
      <c r="J235" t="e">
        <f t="shared" si="19"/>
        <v>#REF!</v>
      </c>
      <c r="K235" s="141" t="e">
        <f t="shared" si="20"/>
        <v>#REF!</v>
      </c>
    </row>
    <row r="236" spans="1:11" hidden="1" x14ac:dyDescent="0.25">
      <c r="A236" t="e">
        <f>#REF!</f>
        <v>#REF!</v>
      </c>
      <c r="B236" t="e">
        <f>#REF!</f>
        <v>#REF!</v>
      </c>
      <c r="C236" t="e">
        <f>#REF!</f>
        <v>#REF!</v>
      </c>
      <c r="D236" t="e">
        <f>#REF!</f>
        <v>#REF!</v>
      </c>
      <c r="E236" t="e">
        <f>#REF!</f>
        <v>#REF!</v>
      </c>
      <c r="G236" t="e">
        <f t="shared" si="16"/>
        <v>#REF!</v>
      </c>
      <c r="H236" t="e">
        <f t="shared" si="17"/>
        <v>#REF!</v>
      </c>
      <c r="I236" s="141" t="e">
        <f t="shared" si="18"/>
        <v>#REF!</v>
      </c>
      <c r="J236" t="e">
        <f t="shared" si="19"/>
        <v>#REF!</v>
      </c>
      <c r="K236" s="141" t="e">
        <f t="shared" si="20"/>
        <v>#REF!</v>
      </c>
    </row>
    <row r="237" spans="1:11" hidden="1" x14ac:dyDescent="0.25">
      <c r="A237" t="e">
        <f>#REF!</f>
        <v>#REF!</v>
      </c>
      <c r="B237" t="e">
        <f>#REF!</f>
        <v>#REF!</v>
      </c>
      <c r="C237" t="e">
        <f>#REF!</f>
        <v>#REF!</v>
      </c>
      <c r="D237" t="e">
        <f>#REF!</f>
        <v>#REF!</v>
      </c>
      <c r="E237" t="e">
        <f>#REF!</f>
        <v>#REF!</v>
      </c>
      <c r="G237" t="e">
        <f t="shared" si="16"/>
        <v>#REF!</v>
      </c>
      <c r="H237" t="e">
        <f t="shared" si="17"/>
        <v>#REF!</v>
      </c>
      <c r="I237" s="141" t="e">
        <f t="shared" si="18"/>
        <v>#REF!</v>
      </c>
      <c r="J237" t="e">
        <f t="shared" si="19"/>
        <v>#REF!</v>
      </c>
      <c r="K237" s="141" t="e">
        <f t="shared" si="20"/>
        <v>#REF!</v>
      </c>
    </row>
    <row r="238" spans="1:11" hidden="1" x14ac:dyDescent="0.25">
      <c r="A238" t="e">
        <f>#REF!</f>
        <v>#REF!</v>
      </c>
      <c r="B238" t="e">
        <f>#REF!</f>
        <v>#REF!</v>
      </c>
      <c r="C238" t="e">
        <f>#REF!</f>
        <v>#REF!</v>
      </c>
      <c r="D238" t="e">
        <f>#REF!</f>
        <v>#REF!</v>
      </c>
      <c r="E238" t="e">
        <f>#REF!</f>
        <v>#REF!</v>
      </c>
      <c r="G238" t="e">
        <f t="shared" si="16"/>
        <v>#REF!</v>
      </c>
      <c r="H238" t="e">
        <f t="shared" si="17"/>
        <v>#REF!</v>
      </c>
      <c r="I238" s="141" t="e">
        <f t="shared" si="18"/>
        <v>#REF!</v>
      </c>
      <c r="J238" t="e">
        <f t="shared" si="19"/>
        <v>#REF!</v>
      </c>
      <c r="K238" s="141" t="e">
        <f t="shared" si="20"/>
        <v>#REF!</v>
      </c>
    </row>
    <row r="239" spans="1:11" hidden="1" x14ac:dyDescent="0.25">
      <c r="A239" t="e">
        <f>#REF!</f>
        <v>#REF!</v>
      </c>
      <c r="B239" t="e">
        <f>#REF!</f>
        <v>#REF!</v>
      </c>
      <c r="C239" t="e">
        <f>#REF!</f>
        <v>#REF!</v>
      </c>
      <c r="D239" t="e">
        <f>#REF!</f>
        <v>#REF!</v>
      </c>
      <c r="E239" t="e">
        <f>#REF!</f>
        <v>#REF!</v>
      </c>
      <c r="G239" t="e">
        <f t="shared" si="16"/>
        <v>#REF!</v>
      </c>
      <c r="H239" t="e">
        <f t="shared" si="17"/>
        <v>#REF!</v>
      </c>
      <c r="I239" s="141" t="e">
        <f t="shared" si="18"/>
        <v>#REF!</v>
      </c>
      <c r="J239" t="e">
        <f t="shared" si="19"/>
        <v>#REF!</v>
      </c>
      <c r="K239" s="141" t="e">
        <f t="shared" si="20"/>
        <v>#REF!</v>
      </c>
    </row>
    <row r="240" spans="1:11" hidden="1" x14ac:dyDescent="0.25">
      <c r="A240" t="e">
        <f>#REF!</f>
        <v>#REF!</v>
      </c>
      <c r="B240" t="e">
        <f>#REF!</f>
        <v>#REF!</v>
      </c>
      <c r="C240" t="e">
        <f>#REF!</f>
        <v>#REF!</v>
      </c>
      <c r="D240" t="e">
        <f>#REF!</f>
        <v>#REF!</v>
      </c>
      <c r="E240" t="e">
        <f>#REF!</f>
        <v>#REF!</v>
      </c>
      <c r="G240" t="e">
        <f t="shared" si="16"/>
        <v>#REF!</v>
      </c>
      <c r="H240" t="e">
        <f t="shared" si="17"/>
        <v>#REF!</v>
      </c>
      <c r="I240" s="141" t="e">
        <f t="shared" si="18"/>
        <v>#REF!</v>
      </c>
      <c r="J240" t="e">
        <f t="shared" si="19"/>
        <v>#REF!</v>
      </c>
      <c r="K240" s="141" t="e">
        <f t="shared" si="20"/>
        <v>#REF!</v>
      </c>
    </row>
    <row r="241" spans="1:11" hidden="1" x14ac:dyDescent="0.25">
      <c r="A241" t="e">
        <f>#REF!</f>
        <v>#REF!</v>
      </c>
      <c r="B241" t="e">
        <f>#REF!</f>
        <v>#REF!</v>
      </c>
      <c r="C241" t="e">
        <f>#REF!</f>
        <v>#REF!</v>
      </c>
      <c r="D241" t="e">
        <f>#REF!</f>
        <v>#REF!</v>
      </c>
      <c r="E241" t="e">
        <f>#REF!</f>
        <v>#REF!</v>
      </c>
      <c r="G241" t="e">
        <f t="shared" si="16"/>
        <v>#REF!</v>
      </c>
      <c r="H241" t="e">
        <f t="shared" si="17"/>
        <v>#REF!</v>
      </c>
      <c r="I241" s="141" t="e">
        <f t="shared" si="18"/>
        <v>#REF!</v>
      </c>
      <c r="J241" t="e">
        <f t="shared" si="19"/>
        <v>#REF!</v>
      </c>
      <c r="K241" s="141" t="e">
        <f t="shared" si="20"/>
        <v>#REF!</v>
      </c>
    </row>
    <row r="242" spans="1:11" hidden="1" x14ac:dyDescent="0.25">
      <c r="A242" t="e">
        <f>#REF!</f>
        <v>#REF!</v>
      </c>
      <c r="B242" t="e">
        <f>#REF!</f>
        <v>#REF!</v>
      </c>
      <c r="C242" t="e">
        <f>#REF!</f>
        <v>#REF!</v>
      </c>
      <c r="D242" t="e">
        <f>#REF!</f>
        <v>#REF!</v>
      </c>
      <c r="E242" t="e">
        <f>#REF!</f>
        <v>#REF!</v>
      </c>
      <c r="G242" t="e">
        <f t="shared" si="16"/>
        <v>#REF!</v>
      </c>
      <c r="H242" t="e">
        <f t="shared" si="17"/>
        <v>#REF!</v>
      </c>
      <c r="I242" s="141" t="e">
        <f t="shared" si="18"/>
        <v>#REF!</v>
      </c>
      <c r="J242" t="e">
        <f t="shared" si="19"/>
        <v>#REF!</v>
      </c>
      <c r="K242" s="141" t="e">
        <f t="shared" si="20"/>
        <v>#REF!</v>
      </c>
    </row>
    <row r="243" spans="1:11" hidden="1" x14ac:dyDescent="0.25">
      <c r="A243" t="e">
        <f>#REF!</f>
        <v>#REF!</v>
      </c>
      <c r="B243" t="e">
        <f>#REF!</f>
        <v>#REF!</v>
      </c>
      <c r="C243" t="e">
        <f>#REF!</f>
        <v>#REF!</v>
      </c>
      <c r="D243" t="e">
        <f>#REF!</f>
        <v>#REF!</v>
      </c>
      <c r="E243" t="e">
        <f>#REF!</f>
        <v>#REF!</v>
      </c>
      <c r="G243" t="e">
        <f t="shared" si="16"/>
        <v>#REF!</v>
      </c>
      <c r="H243" t="e">
        <f t="shared" si="17"/>
        <v>#REF!</v>
      </c>
      <c r="I243" s="141" t="e">
        <f t="shared" si="18"/>
        <v>#REF!</v>
      </c>
      <c r="J243" t="e">
        <f t="shared" si="19"/>
        <v>#REF!</v>
      </c>
      <c r="K243" s="141" t="e">
        <f t="shared" si="20"/>
        <v>#REF!</v>
      </c>
    </row>
    <row r="244" spans="1:11" hidden="1" x14ac:dyDescent="0.25">
      <c r="A244" t="e">
        <f>#REF!</f>
        <v>#REF!</v>
      </c>
      <c r="B244" t="e">
        <f>#REF!</f>
        <v>#REF!</v>
      </c>
      <c r="C244" t="e">
        <f>#REF!</f>
        <v>#REF!</v>
      </c>
      <c r="D244" t="e">
        <f>#REF!</f>
        <v>#REF!</v>
      </c>
      <c r="E244" t="e">
        <f>#REF!</f>
        <v>#REF!</v>
      </c>
      <c r="G244" t="e">
        <f t="shared" si="16"/>
        <v>#REF!</v>
      </c>
      <c r="H244" t="e">
        <f t="shared" si="17"/>
        <v>#REF!</v>
      </c>
      <c r="I244" s="141" t="e">
        <f t="shared" si="18"/>
        <v>#REF!</v>
      </c>
      <c r="J244" t="e">
        <f t="shared" si="19"/>
        <v>#REF!</v>
      </c>
      <c r="K244" s="141" t="e">
        <f t="shared" si="20"/>
        <v>#REF!</v>
      </c>
    </row>
    <row r="245" spans="1:11" hidden="1" x14ac:dyDescent="0.25">
      <c r="A245" t="e">
        <f>#REF!</f>
        <v>#REF!</v>
      </c>
      <c r="B245" t="e">
        <f>#REF!</f>
        <v>#REF!</v>
      </c>
      <c r="C245" t="e">
        <f>#REF!</f>
        <v>#REF!</v>
      </c>
      <c r="D245" t="e">
        <f>#REF!</f>
        <v>#REF!</v>
      </c>
      <c r="E245" t="e">
        <f>#REF!</f>
        <v>#REF!</v>
      </c>
      <c r="G245" t="e">
        <f t="shared" si="16"/>
        <v>#REF!</v>
      </c>
      <c r="H245" t="e">
        <f t="shared" si="17"/>
        <v>#REF!</v>
      </c>
      <c r="I245" s="141" t="e">
        <f t="shared" si="18"/>
        <v>#REF!</v>
      </c>
      <c r="J245" t="e">
        <f t="shared" si="19"/>
        <v>#REF!</v>
      </c>
      <c r="K245" s="141" t="e">
        <f t="shared" si="20"/>
        <v>#REF!</v>
      </c>
    </row>
    <row r="246" spans="1:11" hidden="1" x14ac:dyDescent="0.25">
      <c r="A246" t="e">
        <f>#REF!</f>
        <v>#REF!</v>
      </c>
      <c r="B246" t="e">
        <f>#REF!</f>
        <v>#REF!</v>
      </c>
      <c r="C246" t="e">
        <f>#REF!</f>
        <v>#REF!</v>
      </c>
      <c r="D246" t="e">
        <f>#REF!</f>
        <v>#REF!</v>
      </c>
      <c r="E246" t="e">
        <f>#REF!</f>
        <v>#REF!</v>
      </c>
      <c r="G246" t="e">
        <f t="shared" si="16"/>
        <v>#REF!</v>
      </c>
      <c r="H246" t="e">
        <f t="shared" si="17"/>
        <v>#REF!</v>
      </c>
      <c r="I246" s="141" t="e">
        <f t="shared" si="18"/>
        <v>#REF!</v>
      </c>
      <c r="J246" t="e">
        <f t="shared" si="19"/>
        <v>#REF!</v>
      </c>
      <c r="K246" s="141" t="e">
        <f t="shared" si="20"/>
        <v>#REF!</v>
      </c>
    </row>
    <row r="247" spans="1:11" hidden="1" x14ac:dyDescent="0.25">
      <c r="A247" t="e">
        <f>#REF!</f>
        <v>#REF!</v>
      </c>
      <c r="B247" t="e">
        <f>#REF!</f>
        <v>#REF!</v>
      </c>
      <c r="C247" t="e">
        <f>#REF!</f>
        <v>#REF!</v>
      </c>
      <c r="D247" t="e">
        <f>#REF!</f>
        <v>#REF!</v>
      </c>
      <c r="E247" t="e">
        <f>#REF!</f>
        <v>#REF!</v>
      </c>
      <c r="G247" t="e">
        <f t="shared" si="16"/>
        <v>#REF!</v>
      </c>
      <c r="H247" t="e">
        <f t="shared" si="17"/>
        <v>#REF!</v>
      </c>
      <c r="I247" s="141" t="e">
        <f t="shared" si="18"/>
        <v>#REF!</v>
      </c>
      <c r="J247" t="e">
        <f t="shared" si="19"/>
        <v>#REF!</v>
      </c>
      <c r="K247" s="141" t="e">
        <f t="shared" si="20"/>
        <v>#REF!</v>
      </c>
    </row>
    <row r="248" spans="1:11" hidden="1" x14ac:dyDescent="0.25">
      <c r="A248" t="e">
        <f>#REF!</f>
        <v>#REF!</v>
      </c>
      <c r="B248" t="e">
        <f>#REF!</f>
        <v>#REF!</v>
      </c>
      <c r="C248" t="e">
        <f>#REF!</f>
        <v>#REF!</v>
      </c>
      <c r="D248" t="e">
        <f>#REF!</f>
        <v>#REF!</v>
      </c>
      <c r="E248" t="e">
        <f>#REF!</f>
        <v>#REF!</v>
      </c>
      <c r="G248" t="e">
        <f t="shared" si="16"/>
        <v>#REF!</v>
      </c>
      <c r="H248" t="e">
        <f t="shared" si="17"/>
        <v>#REF!</v>
      </c>
      <c r="I248" s="141" t="e">
        <f t="shared" si="18"/>
        <v>#REF!</v>
      </c>
      <c r="J248" t="e">
        <f t="shared" si="19"/>
        <v>#REF!</v>
      </c>
      <c r="K248" s="141" t="e">
        <f t="shared" si="20"/>
        <v>#REF!</v>
      </c>
    </row>
    <row r="249" spans="1:11" hidden="1" x14ac:dyDescent="0.25">
      <c r="A249" t="e">
        <f>#REF!</f>
        <v>#REF!</v>
      </c>
      <c r="B249" t="e">
        <f>#REF!</f>
        <v>#REF!</v>
      </c>
      <c r="C249" t="e">
        <f>#REF!</f>
        <v>#REF!</v>
      </c>
      <c r="D249" t="e">
        <f>#REF!</f>
        <v>#REF!</v>
      </c>
      <c r="E249" t="e">
        <f>#REF!</f>
        <v>#REF!</v>
      </c>
      <c r="G249" t="e">
        <f t="shared" si="16"/>
        <v>#REF!</v>
      </c>
      <c r="H249" t="e">
        <f t="shared" si="17"/>
        <v>#REF!</v>
      </c>
      <c r="I249" s="141" t="e">
        <f t="shared" si="18"/>
        <v>#REF!</v>
      </c>
      <c r="J249" t="e">
        <f t="shared" si="19"/>
        <v>#REF!</v>
      </c>
      <c r="K249" s="141" t="e">
        <f t="shared" si="20"/>
        <v>#REF!</v>
      </c>
    </row>
    <row r="250" spans="1:11" hidden="1" x14ac:dyDescent="0.25">
      <c r="A250" t="e">
        <f>#REF!</f>
        <v>#REF!</v>
      </c>
      <c r="B250" t="e">
        <f>#REF!</f>
        <v>#REF!</v>
      </c>
      <c r="C250" t="e">
        <f>#REF!</f>
        <v>#REF!</v>
      </c>
      <c r="D250" t="e">
        <f>#REF!</f>
        <v>#REF!</v>
      </c>
      <c r="E250" t="e">
        <f>#REF!</f>
        <v>#REF!</v>
      </c>
      <c r="G250" t="e">
        <f t="shared" si="16"/>
        <v>#REF!</v>
      </c>
      <c r="H250" t="e">
        <f t="shared" si="17"/>
        <v>#REF!</v>
      </c>
      <c r="I250" s="141" t="e">
        <f t="shared" si="18"/>
        <v>#REF!</v>
      </c>
      <c r="J250" t="e">
        <f t="shared" si="19"/>
        <v>#REF!</v>
      </c>
      <c r="K250" s="141" t="e">
        <f t="shared" si="20"/>
        <v>#REF!</v>
      </c>
    </row>
    <row r="251" spans="1:11" hidden="1" x14ac:dyDescent="0.25">
      <c r="A251" t="e">
        <f>#REF!</f>
        <v>#REF!</v>
      </c>
      <c r="B251" t="e">
        <f>#REF!</f>
        <v>#REF!</v>
      </c>
      <c r="C251" t="e">
        <f>#REF!</f>
        <v>#REF!</v>
      </c>
      <c r="D251" t="e">
        <f>#REF!</f>
        <v>#REF!</v>
      </c>
      <c r="E251" t="e">
        <f>#REF!</f>
        <v>#REF!</v>
      </c>
      <c r="G251" t="e">
        <f t="shared" si="16"/>
        <v>#REF!</v>
      </c>
      <c r="H251" t="e">
        <f t="shared" si="17"/>
        <v>#REF!</v>
      </c>
      <c r="I251" s="141" t="e">
        <f t="shared" si="18"/>
        <v>#REF!</v>
      </c>
      <c r="J251" t="e">
        <f t="shared" si="19"/>
        <v>#REF!</v>
      </c>
      <c r="K251" s="141" t="e">
        <f t="shared" si="20"/>
        <v>#REF!</v>
      </c>
    </row>
    <row r="252" spans="1:11" hidden="1" x14ac:dyDescent="0.25">
      <c r="A252" t="e">
        <f>#REF!</f>
        <v>#REF!</v>
      </c>
      <c r="B252" t="e">
        <f>#REF!</f>
        <v>#REF!</v>
      </c>
      <c r="C252" t="e">
        <f>#REF!</f>
        <v>#REF!</v>
      </c>
      <c r="D252" t="e">
        <f>#REF!</f>
        <v>#REF!</v>
      </c>
      <c r="E252" t="e">
        <f>#REF!</f>
        <v>#REF!</v>
      </c>
      <c r="G252" t="e">
        <f t="shared" si="16"/>
        <v>#REF!</v>
      </c>
      <c r="H252" t="e">
        <f t="shared" si="17"/>
        <v>#REF!</v>
      </c>
      <c r="I252" s="141" t="e">
        <f t="shared" si="18"/>
        <v>#REF!</v>
      </c>
      <c r="J252" t="e">
        <f t="shared" si="19"/>
        <v>#REF!</v>
      </c>
      <c r="K252" s="141" t="e">
        <f t="shared" si="20"/>
        <v>#REF!</v>
      </c>
    </row>
    <row r="253" spans="1:11" hidden="1" x14ac:dyDescent="0.25">
      <c r="A253" t="e">
        <f>#REF!</f>
        <v>#REF!</v>
      </c>
      <c r="B253" t="e">
        <f>#REF!</f>
        <v>#REF!</v>
      </c>
      <c r="C253" t="e">
        <f>#REF!</f>
        <v>#REF!</v>
      </c>
      <c r="D253" t="e">
        <f>#REF!</f>
        <v>#REF!</v>
      </c>
      <c r="E253" t="e">
        <f>#REF!</f>
        <v>#REF!</v>
      </c>
      <c r="G253" t="e">
        <f t="shared" si="16"/>
        <v>#REF!</v>
      </c>
      <c r="H253" t="e">
        <f t="shared" si="17"/>
        <v>#REF!</v>
      </c>
      <c r="I253" s="141" t="e">
        <f t="shared" si="18"/>
        <v>#REF!</v>
      </c>
      <c r="J253" t="e">
        <f t="shared" si="19"/>
        <v>#REF!</v>
      </c>
      <c r="K253" s="141" t="e">
        <f t="shared" si="20"/>
        <v>#REF!</v>
      </c>
    </row>
    <row r="254" spans="1:11" hidden="1" x14ac:dyDescent="0.25">
      <c r="A254" t="e">
        <f>#REF!</f>
        <v>#REF!</v>
      </c>
      <c r="B254" t="e">
        <f>#REF!</f>
        <v>#REF!</v>
      </c>
      <c r="C254" t="e">
        <f>#REF!</f>
        <v>#REF!</v>
      </c>
      <c r="D254" t="e">
        <f>#REF!</f>
        <v>#REF!</v>
      </c>
      <c r="E254" t="e">
        <f>#REF!</f>
        <v>#REF!</v>
      </c>
      <c r="G254" t="e">
        <f t="shared" si="16"/>
        <v>#REF!</v>
      </c>
      <c r="H254" t="e">
        <f t="shared" si="17"/>
        <v>#REF!</v>
      </c>
      <c r="I254" s="141" t="e">
        <f t="shared" si="18"/>
        <v>#REF!</v>
      </c>
      <c r="J254" t="e">
        <f t="shared" si="19"/>
        <v>#REF!</v>
      </c>
      <c r="K254" s="141" t="e">
        <f t="shared" si="20"/>
        <v>#REF!</v>
      </c>
    </row>
    <row r="255" spans="1:11" hidden="1" x14ac:dyDescent="0.25">
      <c r="A255" t="e">
        <f>#REF!</f>
        <v>#REF!</v>
      </c>
      <c r="B255" t="e">
        <f>#REF!</f>
        <v>#REF!</v>
      </c>
      <c r="C255" t="e">
        <f>#REF!</f>
        <v>#REF!</v>
      </c>
      <c r="D255" t="e">
        <f>#REF!</f>
        <v>#REF!</v>
      </c>
      <c r="E255" t="e">
        <f>#REF!</f>
        <v>#REF!</v>
      </c>
      <c r="G255" t="e">
        <f t="shared" si="16"/>
        <v>#REF!</v>
      </c>
      <c r="H255" t="e">
        <f t="shared" si="17"/>
        <v>#REF!</v>
      </c>
      <c r="I255" s="141" t="e">
        <f t="shared" si="18"/>
        <v>#REF!</v>
      </c>
      <c r="J255" t="e">
        <f t="shared" si="19"/>
        <v>#REF!</v>
      </c>
      <c r="K255" s="141" t="e">
        <f t="shared" si="20"/>
        <v>#REF!</v>
      </c>
    </row>
    <row r="256" spans="1:11" hidden="1" x14ac:dyDescent="0.25">
      <c r="A256" t="e">
        <f>#REF!</f>
        <v>#REF!</v>
      </c>
      <c r="B256" t="e">
        <f>#REF!</f>
        <v>#REF!</v>
      </c>
      <c r="C256" t="e">
        <f>#REF!</f>
        <v>#REF!</v>
      </c>
      <c r="D256" t="e">
        <f>#REF!</f>
        <v>#REF!</v>
      </c>
      <c r="E256" t="e">
        <f>#REF!</f>
        <v>#REF!</v>
      </c>
      <c r="G256" t="e">
        <f t="shared" si="16"/>
        <v>#REF!</v>
      </c>
      <c r="H256" t="e">
        <f t="shared" si="17"/>
        <v>#REF!</v>
      </c>
      <c r="I256" s="141" t="e">
        <f t="shared" si="18"/>
        <v>#REF!</v>
      </c>
      <c r="J256" t="e">
        <f t="shared" si="19"/>
        <v>#REF!</v>
      </c>
      <c r="K256" s="141" t="e">
        <f t="shared" si="20"/>
        <v>#REF!</v>
      </c>
    </row>
    <row r="257" spans="1:11" hidden="1" x14ac:dyDescent="0.25">
      <c r="A257" t="e">
        <f>#REF!</f>
        <v>#REF!</v>
      </c>
      <c r="B257" t="e">
        <f>#REF!</f>
        <v>#REF!</v>
      </c>
      <c r="C257" t="e">
        <f>#REF!</f>
        <v>#REF!</v>
      </c>
      <c r="D257" t="e">
        <f>#REF!</f>
        <v>#REF!</v>
      </c>
      <c r="E257" t="e">
        <f>#REF!</f>
        <v>#REF!</v>
      </c>
      <c r="G257" t="e">
        <f t="shared" si="16"/>
        <v>#REF!</v>
      </c>
      <c r="H257" t="e">
        <f t="shared" si="17"/>
        <v>#REF!</v>
      </c>
      <c r="I257" s="141" t="e">
        <f t="shared" si="18"/>
        <v>#REF!</v>
      </c>
      <c r="J257" t="e">
        <f t="shared" si="19"/>
        <v>#REF!</v>
      </c>
      <c r="K257" s="141" t="e">
        <f t="shared" si="20"/>
        <v>#REF!</v>
      </c>
    </row>
    <row r="258" spans="1:11" hidden="1" x14ac:dyDescent="0.25">
      <c r="A258" t="e">
        <f>#REF!</f>
        <v>#REF!</v>
      </c>
      <c r="B258" t="e">
        <f>#REF!</f>
        <v>#REF!</v>
      </c>
      <c r="C258" t="e">
        <f>#REF!</f>
        <v>#REF!</v>
      </c>
      <c r="D258" t="e">
        <f>#REF!</f>
        <v>#REF!</v>
      </c>
      <c r="E258" t="e">
        <f>#REF!</f>
        <v>#REF!</v>
      </c>
      <c r="G258" t="e">
        <f t="shared" ref="G258:G321" si="21">A258</f>
        <v>#REF!</v>
      </c>
      <c r="H258" t="e">
        <f t="shared" ref="H258:H321" si="22">B258</f>
        <v>#REF!</v>
      </c>
      <c r="I258" s="141" t="e">
        <f t="shared" ref="I258:I321" si="23">C258</f>
        <v>#REF!</v>
      </c>
      <c r="J258" t="e">
        <f t="shared" ref="J258:J321" si="24">D258</f>
        <v>#REF!</v>
      </c>
      <c r="K258" s="141" t="e">
        <f t="shared" ref="K258:K321" si="25">E258</f>
        <v>#REF!</v>
      </c>
    </row>
    <row r="259" spans="1:11" hidden="1" x14ac:dyDescent="0.25">
      <c r="A259" t="e">
        <f>#REF!</f>
        <v>#REF!</v>
      </c>
      <c r="B259" t="e">
        <f>#REF!</f>
        <v>#REF!</v>
      </c>
      <c r="C259" t="e">
        <f>#REF!</f>
        <v>#REF!</v>
      </c>
      <c r="D259" t="e">
        <f>#REF!</f>
        <v>#REF!</v>
      </c>
      <c r="E259" t="e">
        <f>#REF!</f>
        <v>#REF!</v>
      </c>
      <c r="G259" t="e">
        <f t="shared" si="21"/>
        <v>#REF!</v>
      </c>
      <c r="H259" t="e">
        <f t="shared" si="22"/>
        <v>#REF!</v>
      </c>
      <c r="I259" s="141" t="e">
        <f t="shared" si="23"/>
        <v>#REF!</v>
      </c>
      <c r="J259" t="e">
        <f t="shared" si="24"/>
        <v>#REF!</v>
      </c>
      <c r="K259" s="141" t="e">
        <f t="shared" si="25"/>
        <v>#REF!</v>
      </c>
    </row>
    <row r="260" spans="1:11" hidden="1" x14ac:dyDescent="0.25">
      <c r="A260" t="e">
        <f>#REF!</f>
        <v>#REF!</v>
      </c>
      <c r="B260" t="e">
        <f>#REF!</f>
        <v>#REF!</v>
      </c>
      <c r="C260" t="e">
        <f>#REF!</f>
        <v>#REF!</v>
      </c>
      <c r="D260" t="e">
        <f>#REF!</f>
        <v>#REF!</v>
      </c>
      <c r="E260" t="e">
        <f>#REF!</f>
        <v>#REF!</v>
      </c>
      <c r="G260" t="e">
        <f t="shared" si="21"/>
        <v>#REF!</v>
      </c>
      <c r="H260" t="e">
        <f t="shared" si="22"/>
        <v>#REF!</v>
      </c>
      <c r="I260" s="141" t="e">
        <f t="shared" si="23"/>
        <v>#REF!</v>
      </c>
      <c r="J260" t="e">
        <f t="shared" si="24"/>
        <v>#REF!</v>
      </c>
      <c r="K260" s="141" t="e">
        <f t="shared" si="25"/>
        <v>#REF!</v>
      </c>
    </row>
    <row r="261" spans="1:11" hidden="1" x14ac:dyDescent="0.25">
      <c r="A261" t="e">
        <f>#REF!</f>
        <v>#REF!</v>
      </c>
      <c r="B261" t="e">
        <f>#REF!</f>
        <v>#REF!</v>
      </c>
      <c r="C261" t="e">
        <f>#REF!</f>
        <v>#REF!</v>
      </c>
      <c r="D261" t="e">
        <f>#REF!</f>
        <v>#REF!</v>
      </c>
      <c r="E261" t="e">
        <f>#REF!</f>
        <v>#REF!</v>
      </c>
      <c r="G261" t="e">
        <f t="shared" si="21"/>
        <v>#REF!</v>
      </c>
      <c r="H261" t="e">
        <f t="shared" si="22"/>
        <v>#REF!</v>
      </c>
      <c r="I261" s="141" t="e">
        <f t="shared" si="23"/>
        <v>#REF!</v>
      </c>
      <c r="J261" t="e">
        <f t="shared" si="24"/>
        <v>#REF!</v>
      </c>
      <c r="K261" s="141" t="e">
        <f t="shared" si="25"/>
        <v>#REF!</v>
      </c>
    </row>
    <row r="262" spans="1:11" hidden="1" x14ac:dyDescent="0.25">
      <c r="A262" t="e">
        <f>#REF!</f>
        <v>#REF!</v>
      </c>
      <c r="B262" t="e">
        <f>#REF!</f>
        <v>#REF!</v>
      </c>
      <c r="C262" t="e">
        <f>#REF!</f>
        <v>#REF!</v>
      </c>
      <c r="D262" t="e">
        <f>#REF!</f>
        <v>#REF!</v>
      </c>
      <c r="E262" t="e">
        <f>#REF!</f>
        <v>#REF!</v>
      </c>
      <c r="G262" t="e">
        <f t="shared" si="21"/>
        <v>#REF!</v>
      </c>
      <c r="H262" t="e">
        <f t="shared" si="22"/>
        <v>#REF!</v>
      </c>
      <c r="I262" s="141" t="e">
        <f t="shared" si="23"/>
        <v>#REF!</v>
      </c>
      <c r="J262" t="e">
        <f t="shared" si="24"/>
        <v>#REF!</v>
      </c>
      <c r="K262" s="141" t="e">
        <f t="shared" si="25"/>
        <v>#REF!</v>
      </c>
    </row>
    <row r="263" spans="1:11" hidden="1" x14ac:dyDescent="0.25">
      <c r="A263" t="e">
        <f>#REF!</f>
        <v>#REF!</v>
      </c>
      <c r="B263" t="e">
        <f>#REF!</f>
        <v>#REF!</v>
      </c>
      <c r="C263" t="e">
        <f>#REF!</f>
        <v>#REF!</v>
      </c>
      <c r="D263" t="e">
        <f>#REF!</f>
        <v>#REF!</v>
      </c>
      <c r="E263" t="e">
        <f>#REF!</f>
        <v>#REF!</v>
      </c>
      <c r="G263" t="e">
        <f t="shared" si="21"/>
        <v>#REF!</v>
      </c>
      <c r="H263" t="e">
        <f t="shared" si="22"/>
        <v>#REF!</v>
      </c>
      <c r="I263" s="141" t="e">
        <f t="shared" si="23"/>
        <v>#REF!</v>
      </c>
      <c r="J263" t="e">
        <f t="shared" si="24"/>
        <v>#REF!</v>
      </c>
      <c r="K263" s="141" t="e">
        <f t="shared" si="25"/>
        <v>#REF!</v>
      </c>
    </row>
    <row r="264" spans="1:11" hidden="1" x14ac:dyDescent="0.25">
      <c r="A264" t="e">
        <f>#REF!</f>
        <v>#REF!</v>
      </c>
      <c r="B264" t="e">
        <f>#REF!</f>
        <v>#REF!</v>
      </c>
      <c r="C264" t="e">
        <f>#REF!</f>
        <v>#REF!</v>
      </c>
      <c r="D264" t="e">
        <f>#REF!</f>
        <v>#REF!</v>
      </c>
      <c r="E264" t="e">
        <f>#REF!</f>
        <v>#REF!</v>
      </c>
      <c r="G264" t="e">
        <f t="shared" si="21"/>
        <v>#REF!</v>
      </c>
      <c r="H264" t="e">
        <f t="shared" si="22"/>
        <v>#REF!</v>
      </c>
      <c r="I264" s="141" t="e">
        <f t="shared" si="23"/>
        <v>#REF!</v>
      </c>
      <c r="J264" t="e">
        <f t="shared" si="24"/>
        <v>#REF!</v>
      </c>
      <c r="K264" s="141" t="e">
        <f t="shared" si="25"/>
        <v>#REF!</v>
      </c>
    </row>
    <row r="265" spans="1:11" hidden="1" x14ac:dyDescent="0.25">
      <c r="A265" t="e">
        <f>#REF!</f>
        <v>#REF!</v>
      </c>
      <c r="B265" t="e">
        <f>#REF!</f>
        <v>#REF!</v>
      </c>
      <c r="C265" t="e">
        <f>#REF!</f>
        <v>#REF!</v>
      </c>
      <c r="D265" t="e">
        <f>#REF!</f>
        <v>#REF!</v>
      </c>
      <c r="E265" t="e">
        <f>#REF!</f>
        <v>#REF!</v>
      </c>
      <c r="G265" t="e">
        <f t="shared" si="21"/>
        <v>#REF!</v>
      </c>
      <c r="H265" t="e">
        <f t="shared" si="22"/>
        <v>#REF!</v>
      </c>
      <c r="I265" s="141" t="e">
        <f t="shared" si="23"/>
        <v>#REF!</v>
      </c>
      <c r="J265" t="e">
        <f t="shared" si="24"/>
        <v>#REF!</v>
      </c>
      <c r="K265" s="141" t="e">
        <f t="shared" si="25"/>
        <v>#REF!</v>
      </c>
    </row>
    <row r="266" spans="1:11" hidden="1" x14ac:dyDescent="0.25">
      <c r="A266" t="e">
        <f>#REF!</f>
        <v>#REF!</v>
      </c>
      <c r="B266" t="e">
        <f>#REF!</f>
        <v>#REF!</v>
      </c>
      <c r="C266" t="e">
        <f>#REF!</f>
        <v>#REF!</v>
      </c>
      <c r="D266" t="e">
        <f>#REF!</f>
        <v>#REF!</v>
      </c>
      <c r="E266" t="e">
        <f>#REF!</f>
        <v>#REF!</v>
      </c>
      <c r="G266" t="e">
        <f t="shared" si="21"/>
        <v>#REF!</v>
      </c>
      <c r="H266" t="e">
        <f t="shared" si="22"/>
        <v>#REF!</v>
      </c>
      <c r="I266" s="141" t="e">
        <f t="shared" si="23"/>
        <v>#REF!</v>
      </c>
      <c r="J266" t="e">
        <f t="shared" si="24"/>
        <v>#REF!</v>
      </c>
      <c r="K266" s="141" t="e">
        <f t="shared" si="25"/>
        <v>#REF!</v>
      </c>
    </row>
    <row r="267" spans="1:11" hidden="1" x14ac:dyDescent="0.25">
      <c r="A267" t="e">
        <f>#REF!</f>
        <v>#REF!</v>
      </c>
      <c r="B267" t="e">
        <f>#REF!</f>
        <v>#REF!</v>
      </c>
      <c r="C267" t="e">
        <f>#REF!</f>
        <v>#REF!</v>
      </c>
      <c r="D267" t="e">
        <f>#REF!</f>
        <v>#REF!</v>
      </c>
      <c r="E267" t="e">
        <f>#REF!</f>
        <v>#REF!</v>
      </c>
      <c r="G267" t="e">
        <f t="shared" si="21"/>
        <v>#REF!</v>
      </c>
      <c r="H267" t="e">
        <f t="shared" si="22"/>
        <v>#REF!</v>
      </c>
      <c r="I267" s="141" t="e">
        <f t="shared" si="23"/>
        <v>#REF!</v>
      </c>
      <c r="J267" t="e">
        <f t="shared" si="24"/>
        <v>#REF!</v>
      </c>
      <c r="K267" s="141" t="e">
        <f t="shared" si="25"/>
        <v>#REF!</v>
      </c>
    </row>
    <row r="268" spans="1:11" hidden="1" x14ac:dyDescent="0.25">
      <c r="A268" t="e">
        <f>#REF!</f>
        <v>#REF!</v>
      </c>
      <c r="B268" t="e">
        <f>#REF!</f>
        <v>#REF!</v>
      </c>
      <c r="C268" t="e">
        <f>#REF!</f>
        <v>#REF!</v>
      </c>
      <c r="D268" t="e">
        <f>#REF!</f>
        <v>#REF!</v>
      </c>
      <c r="E268" t="e">
        <f>#REF!</f>
        <v>#REF!</v>
      </c>
      <c r="G268" t="e">
        <f t="shared" si="21"/>
        <v>#REF!</v>
      </c>
      <c r="H268" t="e">
        <f t="shared" si="22"/>
        <v>#REF!</v>
      </c>
      <c r="I268" s="141" t="e">
        <f t="shared" si="23"/>
        <v>#REF!</v>
      </c>
      <c r="J268" t="e">
        <f t="shared" si="24"/>
        <v>#REF!</v>
      </c>
      <c r="K268" s="141" t="e">
        <f t="shared" si="25"/>
        <v>#REF!</v>
      </c>
    </row>
    <row r="269" spans="1:11" hidden="1" x14ac:dyDescent="0.25">
      <c r="A269" t="e">
        <f>#REF!</f>
        <v>#REF!</v>
      </c>
      <c r="B269" t="e">
        <f>#REF!</f>
        <v>#REF!</v>
      </c>
      <c r="C269" t="e">
        <f>#REF!</f>
        <v>#REF!</v>
      </c>
      <c r="D269" t="e">
        <f>#REF!</f>
        <v>#REF!</v>
      </c>
      <c r="E269" t="e">
        <f>#REF!</f>
        <v>#REF!</v>
      </c>
      <c r="G269" t="e">
        <f t="shared" si="21"/>
        <v>#REF!</v>
      </c>
      <c r="H269" t="e">
        <f t="shared" si="22"/>
        <v>#REF!</v>
      </c>
      <c r="I269" s="141" t="e">
        <f t="shared" si="23"/>
        <v>#REF!</v>
      </c>
      <c r="J269" t="e">
        <f t="shared" si="24"/>
        <v>#REF!</v>
      </c>
      <c r="K269" s="141" t="e">
        <f t="shared" si="25"/>
        <v>#REF!</v>
      </c>
    </row>
    <row r="270" spans="1:11" hidden="1" x14ac:dyDescent="0.25">
      <c r="A270" t="e">
        <f>#REF!</f>
        <v>#REF!</v>
      </c>
      <c r="B270" t="e">
        <f>#REF!</f>
        <v>#REF!</v>
      </c>
      <c r="C270" t="e">
        <f>#REF!</f>
        <v>#REF!</v>
      </c>
      <c r="D270" t="e">
        <f>#REF!</f>
        <v>#REF!</v>
      </c>
      <c r="E270" t="e">
        <f>#REF!</f>
        <v>#REF!</v>
      </c>
      <c r="G270" t="e">
        <f t="shared" si="21"/>
        <v>#REF!</v>
      </c>
      <c r="H270" t="e">
        <f t="shared" si="22"/>
        <v>#REF!</v>
      </c>
      <c r="I270" s="141" t="e">
        <f t="shared" si="23"/>
        <v>#REF!</v>
      </c>
      <c r="J270" t="e">
        <f t="shared" si="24"/>
        <v>#REF!</v>
      </c>
      <c r="K270" s="141" t="e">
        <f t="shared" si="25"/>
        <v>#REF!</v>
      </c>
    </row>
    <row r="271" spans="1:11" hidden="1" x14ac:dyDescent="0.25">
      <c r="A271" t="e">
        <f>#REF!</f>
        <v>#REF!</v>
      </c>
      <c r="B271" t="e">
        <f>#REF!</f>
        <v>#REF!</v>
      </c>
      <c r="C271" t="e">
        <f>#REF!</f>
        <v>#REF!</v>
      </c>
      <c r="D271" t="e">
        <f>#REF!</f>
        <v>#REF!</v>
      </c>
      <c r="E271" t="e">
        <f>#REF!</f>
        <v>#REF!</v>
      </c>
      <c r="G271" t="e">
        <f t="shared" si="21"/>
        <v>#REF!</v>
      </c>
      <c r="H271" t="e">
        <f t="shared" si="22"/>
        <v>#REF!</v>
      </c>
      <c r="I271" s="141" t="e">
        <f t="shared" si="23"/>
        <v>#REF!</v>
      </c>
      <c r="J271" t="e">
        <f t="shared" si="24"/>
        <v>#REF!</v>
      </c>
      <c r="K271" s="141" t="e">
        <f t="shared" si="25"/>
        <v>#REF!</v>
      </c>
    </row>
    <row r="272" spans="1:11" hidden="1" x14ac:dyDescent="0.25">
      <c r="A272" t="e">
        <f>#REF!</f>
        <v>#REF!</v>
      </c>
      <c r="B272" t="e">
        <f>#REF!</f>
        <v>#REF!</v>
      </c>
      <c r="C272" t="e">
        <f>#REF!</f>
        <v>#REF!</v>
      </c>
      <c r="D272" t="e">
        <f>#REF!</f>
        <v>#REF!</v>
      </c>
      <c r="E272" t="e">
        <f>#REF!</f>
        <v>#REF!</v>
      </c>
      <c r="G272" t="e">
        <f t="shared" si="21"/>
        <v>#REF!</v>
      </c>
      <c r="H272" t="e">
        <f t="shared" si="22"/>
        <v>#REF!</v>
      </c>
      <c r="I272" s="141" t="e">
        <f t="shared" si="23"/>
        <v>#REF!</v>
      </c>
      <c r="J272" t="e">
        <f t="shared" si="24"/>
        <v>#REF!</v>
      </c>
      <c r="K272" s="141" t="e">
        <f t="shared" si="25"/>
        <v>#REF!</v>
      </c>
    </row>
    <row r="273" spans="1:11" hidden="1" x14ac:dyDescent="0.25">
      <c r="A273" t="e">
        <f>#REF!</f>
        <v>#REF!</v>
      </c>
      <c r="B273" t="e">
        <f>#REF!</f>
        <v>#REF!</v>
      </c>
      <c r="C273" t="e">
        <f>#REF!</f>
        <v>#REF!</v>
      </c>
      <c r="D273" t="e">
        <f>#REF!</f>
        <v>#REF!</v>
      </c>
      <c r="E273" t="e">
        <f>#REF!</f>
        <v>#REF!</v>
      </c>
      <c r="G273" t="e">
        <f t="shared" si="21"/>
        <v>#REF!</v>
      </c>
      <c r="H273" t="e">
        <f t="shared" si="22"/>
        <v>#REF!</v>
      </c>
      <c r="I273" s="141" t="e">
        <f t="shared" si="23"/>
        <v>#REF!</v>
      </c>
      <c r="J273" t="e">
        <f t="shared" si="24"/>
        <v>#REF!</v>
      </c>
      <c r="K273" s="141" t="e">
        <f t="shared" si="25"/>
        <v>#REF!</v>
      </c>
    </row>
    <row r="274" spans="1:11" hidden="1" x14ac:dyDescent="0.25">
      <c r="A274" t="e">
        <f>#REF!</f>
        <v>#REF!</v>
      </c>
      <c r="B274" t="e">
        <f>#REF!</f>
        <v>#REF!</v>
      </c>
      <c r="C274" t="e">
        <f>#REF!</f>
        <v>#REF!</v>
      </c>
      <c r="D274" t="e">
        <f>#REF!</f>
        <v>#REF!</v>
      </c>
      <c r="E274" t="e">
        <f>#REF!</f>
        <v>#REF!</v>
      </c>
      <c r="G274" t="e">
        <f t="shared" si="21"/>
        <v>#REF!</v>
      </c>
      <c r="H274" t="e">
        <f t="shared" si="22"/>
        <v>#REF!</v>
      </c>
      <c r="I274" s="141" t="e">
        <f t="shared" si="23"/>
        <v>#REF!</v>
      </c>
      <c r="J274" t="e">
        <f t="shared" si="24"/>
        <v>#REF!</v>
      </c>
      <c r="K274" s="141" t="e">
        <f t="shared" si="25"/>
        <v>#REF!</v>
      </c>
    </row>
    <row r="275" spans="1:11" hidden="1" x14ac:dyDescent="0.25">
      <c r="A275" t="e">
        <f>#REF!</f>
        <v>#REF!</v>
      </c>
      <c r="B275" t="e">
        <f>#REF!</f>
        <v>#REF!</v>
      </c>
      <c r="C275" t="e">
        <f>#REF!</f>
        <v>#REF!</v>
      </c>
      <c r="D275" t="e">
        <f>#REF!</f>
        <v>#REF!</v>
      </c>
      <c r="E275" t="e">
        <f>#REF!</f>
        <v>#REF!</v>
      </c>
      <c r="G275" t="e">
        <f t="shared" si="21"/>
        <v>#REF!</v>
      </c>
      <c r="H275" t="e">
        <f t="shared" si="22"/>
        <v>#REF!</v>
      </c>
      <c r="I275" s="141" t="e">
        <f t="shared" si="23"/>
        <v>#REF!</v>
      </c>
      <c r="J275" t="e">
        <f t="shared" si="24"/>
        <v>#REF!</v>
      </c>
      <c r="K275" s="141" t="e">
        <f t="shared" si="25"/>
        <v>#REF!</v>
      </c>
    </row>
    <row r="276" spans="1:11" hidden="1" x14ac:dyDescent="0.25">
      <c r="A276" t="e">
        <f>#REF!</f>
        <v>#REF!</v>
      </c>
      <c r="B276" t="e">
        <f>#REF!</f>
        <v>#REF!</v>
      </c>
      <c r="C276" t="e">
        <f>#REF!</f>
        <v>#REF!</v>
      </c>
      <c r="D276" t="e">
        <f>#REF!</f>
        <v>#REF!</v>
      </c>
      <c r="E276" t="e">
        <f>#REF!</f>
        <v>#REF!</v>
      </c>
      <c r="G276" t="e">
        <f t="shared" si="21"/>
        <v>#REF!</v>
      </c>
      <c r="H276" t="e">
        <f t="shared" si="22"/>
        <v>#REF!</v>
      </c>
      <c r="I276" s="141" t="e">
        <f t="shared" si="23"/>
        <v>#REF!</v>
      </c>
      <c r="J276" t="e">
        <f t="shared" si="24"/>
        <v>#REF!</v>
      </c>
      <c r="K276" s="141" t="e">
        <f t="shared" si="25"/>
        <v>#REF!</v>
      </c>
    </row>
    <row r="277" spans="1:11" hidden="1" x14ac:dyDescent="0.25">
      <c r="A277" t="e">
        <f>#REF!</f>
        <v>#REF!</v>
      </c>
      <c r="B277" t="e">
        <f>#REF!</f>
        <v>#REF!</v>
      </c>
      <c r="C277" t="e">
        <f>#REF!</f>
        <v>#REF!</v>
      </c>
      <c r="D277" t="e">
        <f>#REF!</f>
        <v>#REF!</v>
      </c>
      <c r="E277" t="e">
        <f>#REF!</f>
        <v>#REF!</v>
      </c>
      <c r="G277" t="e">
        <f t="shared" si="21"/>
        <v>#REF!</v>
      </c>
      <c r="H277" t="e">
        <f t="shared" si="22"/>
        <v>#REF!</v>
      </c>
      <c r="I277" s="141" t="e">
        <f t="shared" si="23"/>
        <v>#REF!</v>
      </c>
      <c r="J277" t="e">
        <f t="shared" si="24"/>
        <v>#REF!</v>
      </c>
      <c r="K277" s="141" t="e">
        <f t="shared" si="25"/>
        <v>#REF!</v>
      </c>
    </row>
    <row r="278" spans="1:11" hidden="1" x14ac:dyDescent="0.25">
      <c r="A278" t="e">
        <f>#REF!</f>
        <v>#REF!</v>
      </c>
      <c r="B278" t="e">
        <f>#REF!</f>
        <v>#REF!</v>
      </c>
      <c r="C278" t="e">
        <f>#REF!</f>
        <v>#REF!</v>
      </c>
      <c r="D278" t="e">
        <f>#REF!</f>
        <v>#REF!</v>
      </c>
      <c r="E278" t="e">
        <f>#REF!</f>
        <v>#REF!</v>
      </c>
      <c r="G278" t="e">
        <f t="shared" si="21"/>
        <v>#REF!</v>
      </c>
      <c r="H278" t="e">
        <f t="shared" si="22"/>
        <v>#REF!</v>
      </c>
      <c r="I278" s="141" t="e">
        <f t="shared" si="23"/>
        <v>#REF!</v>
      </c>
      <c r="J278" t="e">
        <f t="shared" si="24"/>
        <v>#REF!</v>
      </c>
      <c r="K278" s="141" t="e">
        <f t="shared" si="25"/>
        <v>#REF!</v>
      </c>
    </row>
    <row r="279" spans="1:11" hidden="1" x14ac:dyDescent="0.25">
      <c r="A279" t="e">
        <f>#REF!</f>
        <v>#REF!</v>
      </c>
      <c r="B279" t="e">
        <f>#REF!</f>
        <v>#REF!</v>
      </c>
      <c r="C279" t="e">
        <f>#REF!</f>
        <v>#REF!</v>
      </c>
      <c r="D279" t="e">
        <f>#REF!</f>
        <v>#REF!</v>
      </c>
      <c r="E279" t="e">
        <f>#REF!</f>
        <v>#REF!</v>
      </c>
      <c r="G279" t="e">
        <f t="shared" si="21"/>
        <v>#REF!</v>
      </c>
      <c r="H279" t="e">
        <f t="shared" si="22"/>
        <v>#REF!</v>
      </c>
      <c r="I279" s="141" t="e">
        <f t="shared" si="23"/>
        <v>#REF!</v>
      </c>
      <c r="J279" t="e">
        <f t="shared" si="24"/>
        <v>#REF!</v>
      </c>
      <c r="K279" s="141" t="e">
        <f t="shared" si="25"/>
        <v>#REF!</v>
      </c>
    </row>
    <row r="280" spans="1:11" hidden="1" x14ac:dyDescent="0.25">
      <c r="A280" t="e">
        <f>#REF!</f>
        <v>#REF!</v>
      </c>
      <c r="B280" t="e">
        <f>#REF!</f>
        <v>#REF!</v>
      </c>
      <c r="C280" t="e">
        <f>#REF!</f>
        <v>#REF!</v>
      </c>
      <c r="D280" t="e">
        <f>#REF!</f>
        <v>#REF!</v>
      </c>
      <c r="E280" t="e">
        <f>#REF!</f>
        <v>#REF!</v>
      </c>
      <c r="G280" t="e">
        <f t="shared" si="21"/>
        <v>#REF!</v>
      </c>
      <c r="H280" t="e">
        <f t="shared" si="22"/>
        <v>#REF!</v>
      </c>
      <c r="I280" s="141" t="e">
        <f t="shared" si="23"/>
        <v>#REF!</v>
      </c>
      <c r="J280" t="e">
        <f t="shared" si="24"/>
        <v>#REF!</v>
      </c>
      <c r="K280" s="141" t="e">
        <f t="shared" si="25"/>
        <v>#REF!</v>
      </c>
    </row>
    <row r="281" spans="1:11" hidden="1" x14ac:dyDescent="0.25">
      <c r="A281" t="e">
        <f>#REF!</f>
        <v>#REF!</v>
      </c>
      <c r="B281" t="e">
        <f>#REF!</f>
        <v>#REF!</v>
      </c>
      <c r="C281" t="e">
        <f>#REF!</f>
        <v>#REF!</v>
      </c>
      <c r="D281" t="e">
        <f>#REF!</f>
        <v>#REF!</v>
      </c>
      <c r="E281" t="e">
        <f>#REF!</f>
        <v>#REF!</v>
      </c>
      <c r="G281" t="e">
        <f t="shared" si="21"/>
        <v>#REF!</v>
      </c>
      <c r="H281" t="e">
        <f t="shared" si="22"/>
        <v>#REF!</v>
      </c>
      <c r="I281" s="141" t="e">
        <f t="shared" si="23"/>
        <v>#REF!</v>
      </c>
      <c r="J281" t="e">
        <f t="shared" si="24"/>
        <v>#REF!</v>
      </c>
      <c r="K281" s="141" t="e">
        <f t="shared" si="25"/>
        <v>#REF!</v>
      </c>
    </row>
    <row r="282" spans="1:11" hidden="1" x14ac:dyDescent="0.25">
      <c r="A282" t="e">
        <f>#REF!</f>
        <v>#REF!</v>
      </c>
      <c r="B282" t="e">
        <f>#REF!</f>
        <v>#REF!</v>
      </c>
      <c r="C282" t="e">
        <f>#REF!</f>
        <v>#REF!</v>
      </c>
      <c r="D282" t="e">
        <f>#REF!</f>
        <v>#REF!</v>
      </c>
      <c r="E282" t="e">
        <f>#REF!</f>
        <v>#REF!</v>
      </c>
      <c r="G282" t="e">
        <f t="shared" si="21"/>
        <v>#REF!</v>
      </c>
      <c r="H282" t="e">
        <f t="shared" si="22"/>
        <v>#REF!</v>
      </c>
      <c r="I282" s="141" t="e">
        <f t="shared" si="23"/>
        <v>#REF!</v>
      </c>
      <c r="J282" t="e">
        <f t="shared" si="24"/>
        <v>#REF!</v>
      </c>
      <c r="K282" s="141" t="e">
        <f t="shared" si="25"/>
        <v>#REF!</v>
      </c>
    </row>
    <row r="283" spans="1:11" hidden="1" x14ac:dyDescent="0.25">
      <c r="A283" t="e">
        <f>#REF!</f>
        <v>#REF!</v>
      </c>
      <c r="B283" t="e">
        <f>#REF!</f>
        <v>#REF!</v>
      </c>
      <c r="C283" t="e">
        <f>#REF!</f>
        <v>#REF!</v>
      </c>
      <c r="D283" t="e">
        <f>#REF!</f>
        <v>#REF!</v>
      </c>
      <c r="E283" t="e">
        <f>#REF!</f>
        <v>#REF!</v>
      </c>
      <c r="G283" t="e">
        <f t="shared" si="21"/>
        <v>#REF!</v>
      </c>
      <c r="H283" t="e">
        <f t="shared" si="22"/>
        <v>#REF!</v>
      </c>
      <c r="I283" s="141" t="e">
        <f t="shared" si="23"/>
        <v>#REF!</v>
      </c>
      <c r="J283" t="e">
        <f t="shared" si="24"/>
        <v>#REF!</v>
      </c>
      <c r="K283" s="141" t="e">
        <f t="shared" si="25"/>
        <v>#REF!</v>
      </c>
    </row>
    <row r="284" spans="1:11" hidden="1" x14ac:dyDescent="0.25">
      <c r="A284" t="e">
        <f>#REF!</f>
        <v>#REF!</v>
      </c>
      <c r="B284" t="e">
        <f>#REF!</f>
        <v>#REF!</v>
      </c>
      <c r="C284" t="e">
        <f>#REF!</f>
        <v>#REF!</v>
      </c>
      <c r="D284" t="e">
        <f>#REF!</f>
        <v>#REF!</v>
      </c>
      <c r="E284" t="e">
        <f>#REF!</f>
        <v>#REF!</v>
      </c>
      <c r="G284" t="e">
        <f t="shared" si="21"/>
        <v>#REF!</v>
      </c>
      <c r="H284" t="e">
        <f t="shared" si="22"/>
        <v>#REF!</v>
      </c>
      <c r="I284" s="141" t="e">
        <f t="shared" si="23"/>
        <v>#REF!</v>
      </c>
      <c r="J284" t="e">
        <f t="shared" si="24"/>
        <v>#REF!</v>
      </c>
      <c r="K284" s="141" t="e">
        <f t="shared" si="25"/>
        <v>#REF!</v>
      </c>
    </row>
    <row r="285" spans="1:11" hidden="1" x14ac:dyDescent="0.25">
      <c r="A285" t="e">
        <f>#REF!</f>
        <v>#REF!</v>
      </c>
      <c r="B285" t="e">
        <f>#REF!</f>
        <v>#REF!</v>
      </c>
      <c r="C285" t="e">
        <f>#REF!</f>
        <v>#REF!</v>
      </c>
      <c r="D285" t="e">
        <f>#REF!</f>
        <v>#REF!</v>
      </c>
      <c r="E285" t="e">
        <f>#REF!</f>
        <v>#REF!</v>
      </c>
      <c r="G285" t="e">
        <f t="shared" si="21"/>
        <v>#REF!</v>
      </c>
      <c r="H285" t="e">
        <f t="shared" si="22"/>
        <v>#REF!</v>
      </c>
      <c r="I285" s="141" t="e">
        <f t="shared" si="23"/>
        <v>#REF!</v>
      </c>
      <c r="J285" t="e">
        <f t="shared" si="24"/>
        <v>#REF!</v>
      </c>
      <c r="K285" s="141" t="e">
        <f t="shared" si="25"/>
        <v>#REF!</v>
      </c>
    </row>
    <row r="286" spans="1:11" hidden="1" x14ac:dyDescent="0.25">
      <c r="A286" t="e">
        <f>#REF!</f>
        <v>#REF!</v>
      </c>
      <c r="B286" t="e">
        <f>#REF!</f>
        <v>#REF!</v>
      </c>
      <c r="C286" t="e">
        <f>#REF!</f>
        <v>#REF!</v>
      </c>
      <c r="D286" t="e">
        <f>#REF!</f>
        <v>#REF!</v>
      </c>
      <c r="E286" t="e">
        <f>#REF!</f>
        <v>#REF!</v>
      </c>
      <c r="G286" t="e">
        <f t="shared" si="21"/>
        <v>#REF!</v>
      </c>
      <c r="H286" t="e">
        <f t="shared" si="22"/>
        <v>#REF!</v>
      </c>
      <c r="I286" s="141" t="e">
        <f t="shared" si="23"/>
        <v>#REF!</v>
      </c>
      <c r="J286" t="e">
        <f t="shared" si="24"/>
        <v>#REF!</v>
      </c>
      <c r="K286" s="141" t="e">
        <f t="shared" si="25"/>
        <v>#REF!</v>
      </c>
    </row>
    <row r="287" spans="1:11" hidden="1" x14ac:dyDescent="0.25">
      <c r="A287" t="e">
        <f>#REF!</f>
        <v>#REF!</v>
      </c>
      <c r="B287" t="e">
        <f>#REF!</f>
        <v>#REF!</v>
      </c>
      <c r="C287" t="e">
        <f>#REF!</f>
        <v>#REF!</v>
      </c>
      <c r="D287" t="e">
        <f>#REF!</f>
        <v>#REF!</v>
      </c>
      <c r="E287" t="e">
        <f>#REF!</f>
        <v>#REF!</v>
      </c>
      <c r="G287" t="e">
        <f t="shared" si="21"/>
        <v>#REF!</v>
      </c>
      <c r="H287" t="e">
        <f t="shared" si="22"/>
        <v>#REF!</v>
      </c>
      <c r="I287" s="141" t="e">
        <f t="shared" si="23"/>
        <v>#REF!</v>
      </c>
      <c r="J287" t="e">
        <f t="shared" si="24"/>
        <v>#REF!</v>
      </c>
      <c r="K287" s="141" t="e">
        <f t="shared" si="25"/>
        <v>#REF!</v>
      </c>
    </row>
    <row r="288" spans="1:11" hidden="1" x14ac:dyDescent="0.25">
      <c r="A288" t="e">
        <f>#REF!</f>
        <v>#REF!</v>
      </c>
      <c r="B288" t="e">
        <f>#REF!</f>
        <v>#REF!</v>
      </c>
      <c r="C288" t="e">
        <f>#REF!</f>
        <v>#REF!</v>
      </c>
      <c r="D288" t="e">
        <f>#REF!</f>
        <v>#REF!</v>
      </c>
      <c r="E288" t="e">
        <f>#REF!</f>
        <v>#REF!</v>
      </c>
      <c r="G288" t="e">
        <f t="shared" si="21"/>
        <v>#REF!</v>
      </c>
      <c r="H288" t="e">
        <f t="shared" si="22"/>
        <v>#REF!</v>
      </c>
      <c r="I288" s="141" t="e">
        <f t="shared" si="23"/>
        <v>#REF!</v>
      </c>
      <c r="J288" t="e">
        <f t="shared" si="24"/>
        <v>#REF!</v>
      </c>
      <c r="K288" s="141" t="e">
        <f t="shared" si="25"/>
        <v>#REF!</v>
      </c>
    </row>
    <row r="289" spans="1:11" hidden="1" x14ac:dyDescent="0.25">
      <c r="A289" t="e">
        <f>#REF!</f>
        <v>#REF!</v>
      </c>
      <c r="B289" t="e">
        <f>#REF!</f>
        <v>#REF!</v>
      </c>
      <c r="C289" t="e">
        <f>#REF!</f>
        <v>#REF!</v>
      </c>
      <c r="D289" t="e">
        <f>#REF!</f>
        <v>#REF!</v>
      </c>
      <c r="E289" t="e">
        <f>#REF!</f>
        <v>#REF!</v>
      </c>
      <c r="G289" t="e">
        <f t="shared" si="21"/>
        <v>#REF!</v>
      </c>
      <c r="H289" t="e">
        <f t="shared" si="22"/>
        <v>#REF!</v>
      </c>
      <c r="I289" s="141" t="e">
        <f t="shared" si="23"/>
        <v>#REF!</v>
      </c>
      <c r="J289" t="e">
        <f t="shared" si="24"/>
        <v>#REF!</v>
      </c>
      <c r="K289" s="141" t="e">
        <f t="shared" si="25"/>
        <v>#REF!</v>
      </c>
    </row>
    <row r="290" spans="1:11" hidden="1" x14ac:dyDescent="0.25">
      <c r="A290" t="e">
        <f>#REF!</f>
        <v>#REF!</v>
      </c>
      <c r="B290" t="e">
        <f>#REF!</f>
        <v>#REF!</v>
      </c>
      <c r="C290" t="e">
        <f>#REF!</f>
        <v>#REF!</v>
      </c>
      <c r="D290" t="e">
        <f>#REF!</f>
        <v>#REF!</v>
      </c>
      <c r="E290" t="e">
        <f>#REF!</f>
        <v>#REF!</v>
      </c>
      <c r="G290" t="e">
        <f t="shared" si="21"/>
        <v>#REF!</v>
      </c>
      <c r="H290" t="e">
        <f t="shared" si="22"/>
        <v>#REF!</v>
      </c>
      <c r="I290" s="141" t="e">
        <f t="shared" si="23"/>
        <v>#REF!</v>
      </c>
      <c r="J290" t="e">
        <f t="shared" si="24"/>
        <v>#REF!</v>
      </c>
      <c r="K290" s="141" t="e">
        <f t="shared" si="25"/>
        <v>#REF!</v>
      </c>
    </row>
    <row r="291" spans="1:11" hidden="1" x14ac:dyDescent="0.25">
      <c r="A291" t="e">
        <f>#REF!</f>
        <v>#REF!</v>
      </c>
      <c r="B291" t="e">
        <f>#REF!</f>
        <v>#REF!</v>
      </c>
      <c r="C291" t="e">
        <f>#REF!</f>
        <v>#REF!</v>
      </c>
      <c r="D291" t="e">
        <f>#REF!</f>
        <v>#REF!</v>
      </c>
      <c r="E291" t="e">
        <f>#REF!</f>
        <v>#REF!</v>
      </c>
      <c r="G291" t="e">
        <f t="shared" si="21"/>
        <v>#REF!</v>
      </c>
      <c r="H291" t="e">
        <f t="shared" si="22"/>
        <v>#REF!</v>
      </c>
      <c r="I291" s="141" t="e">
        <f t="shared" si="23"/>
        <v>#REF!</v>
      </c>
      <c r="J291" t="e">
        <f t="shared" si="24"/>
        <v>#REF!</v>
      </c>
      <c r="K291" s="141" t="e">
        <f t="shared" si="25"/>
        <v>#REF!</v>
      </c>
    </row>
    <row r="292" spans="1:11" hidden="1" x14ac:dyDescent="0.25">
      <c r="A292" t="e">
        <f>#REF!</f>
        <v>#REF!</v>
      </c>
      <c r="B292" t="e">
        <f>#REF!</f>
        <v>#REF!</v>
      </c>
      <c r="C292" t="e">
        <f>#REF!</f>
        <v>#REF!</v>
      </c>
      <c r="D292" t="e">
        <f>#REF!</f>
        <v>#REF!</v>
      </c>
      <c r="E292" t="e">
        <f>#REF!</f>
        <v>#REF!</v>
      </c>
      <c r="G292" t="e">
        <f t="shared" si="21"/>
        <v>#REF!</v>
      </c>
      <c r="H292" t="e">
        <f t="shared" si="22"/>
        <v>#REF!</v>
      </c>
      <c r="I292" s="141" t="e">
        <f t="shared" si="23"/>
        <v>#REF!</v>
      </c>
      <c r="J292" t="e">
        <f t="shared" si="24"/>
        <v>#REF!</v>
      </c>
      <c r="K292" s="141" t="e">
        <f t="shared" si="25"/>
        <v>#REF!</v>
      </c>
    </row>
    <row r="293" spans="1:11" hidden="1" x14ac:dyDescent="0.25">
      <c r="A293" t="e">
        <f>#REF!</f>
        <v>#REF!</v>
      </c>
      <c r="B293" t="e">
        <f>#REF!</f>
        <v>#REF!</v>
      </c>
      <c r="C293" t="e">
        <f>#REF!</f>
        <v>#REF!</v>
      </c>
      <c r="D293" t="e">
        <f>#REF!</f>
        <v>#REF!</v>
      </c>
      <c r="E293" t="e">
        <f>#REF!</f>
        <v>#REF!</v>
      </c>
      <c r="G293" t="e">
        <f t="shared" si="21"/>
        <v>#REF!</v>
      </c>
      <c r="H293" t="e">
        <f t="shared" si="22"/>
        <v>#REF!</v>
      </c>
      <c r="I293" s="141" t="e">
        <f t="shared" si="23"/>
        <v>#REF!</v>
      </c>
      <c r="J293" t="e">
        <f t="shared" si="24"/>
        <v>#REF!</v>
      </c>
      <c r="K293" s="141" t="e">
        <f t="shared" si="25"/>
        <v>#REF!</v>
      </c>
    </row>
    <row r="294" spans="1:11" hidden="1" x14ac:dyDescent="0.25">
      <c r="A294" t="e">
        <f>#REF!</f>
        <v>#REF!</v>
      </c>
      <c r="B294" t="e">
        <f>#REF!</f>
        <v>#REF!</v>
      </c>
      <c r="C294" t="e">
        <f>#REF!</f>
        <v>#REF!</v>
      </c>
      <c r="D294" t="e">
        <f>#REF!</f>
        <v>#REF!</v>
      </c>
      <c r="E294" t="e">
        <f>#REF!</f>
        <v>#REF!</v>
      </c>
      <c r="G294" t="e">
        <f t="shared" si="21"/>
        <v>#REF!</v>
      </c>
      <c r="H294" t="e">
        <f t="shared" si="22"/>
        <v>#REF!</v>
      </c>
      <c r="I294" s="141" t="e">
        <f t="shared" si="23"/>
        <v>#REF!</v>
      </c>
      <c r="J294" t="e">
        <f t="shared" si="24"/>
        <v>#REF!</v>
      </c>
      <c r="K294" s="141" t="e">
        <f t="shared" si="25"/>
        <v>#REF!</v>
      </c>
    </row>
    <row r="295" spans="1:11" hidden="1" x14ac:dyDescent="0.25">
      <c r="A295" t="e">
        <f>#REF!</f>
        <v>#REF!</v>
      </c>
      <c r="B295" t="e">
        <f>#REF!</f>
        <v>#REF!</v>
      </c>
      <c r="C295" t="e">
        <f>#REF!</f>
        <v>#REF!</v>
      </c>
      <c r="D295" t="e">
        <f>#REF!</f>
        <v>#REF!</v>
      </c>
      <c r="E295" t="e">
        <f>#REF!</f>
        <v>#REF!</v>
      </c>
      <c r="G295" t="e">
        <f t="shared" si="21"/>
        <v>#REF!</v>
      </c>
      <c r="H295" t="e">
        <f t="shared" si="22"/>
        <v>#REF!</v>
      </c>
      <c r="I295" s="141" t="e">
        <f t="shared" si="23"/>
        <v>#REF!</v>
      </c>
      <c r="J295" t="e">
        <f t="shared" si="24"/>
        <v>#REF!</v>
      </c>
      <c r="K295" s="141" t="e">
        <f t="shared" si="25"/>
        <v>#REF!</v>
      </c>
    </row>
    <row r="296" spans="1:11" hidden="1" x14ac:dyDescent="0.25">
      <c r="A296" t="e">
        <f>#REF!</f>
        <v>#REF!</v>
      </c>
      <c r="B296" t="e">
        <f>#REF!</f>
        <v>#REF!</v>
      </c>
      <c r="C296" t="e">
        <f>#REF!</f>
        <v>#REF!</v>
      </c>
      <c r="D296" t="e">
        <f>#REF!</f>
        <v>#REF!</v>
      </c>
      <c r="E296" t="e">
        <f>#REF!</f>
        <v>#REF!</v>
      </c>
      <c r="G296" t="e">
        <f t="shared" si="21"/>
        <v>#REF!</v>
      </c>
      <c r="H296" t="e">
        <f t="shared" si="22"/>
        <v>#REF!</v>
      </c>
      <c r="I296" s="141" t="e">
        <f t="shared" si="23"/>
        <v>#REF!</v>
      </c>
      <c r="J296" t="e">
        <f t="shared" si="24"/>
        <v>#REF!</v>
      </c>
      <c r="K296" s="141" t="e">
        <f t="shared" si="25"/>
        <v>#REF!</v>
      </c>
    </row>
    <row r="297" spans="1:11" hidden="1" x14ac:dyDescent="0.25">
      <c r="A297" t="e">
        <f>#REF!</f>
        <v>#REF!</v>
      </c>
      <c r="B297" t="e">
        <f>#REF!</f>
        <v>#REF!</v>
      </c>
      <c r="C297" t="e">
        <f>#REF!</f>
        <v>#REF!</v>
      </c>
      <c r="D297" t="e">
        <f>#REF!</f>
        <v>#REF!</v>
      </c>
      <c r="E297" t="e">
        <f>#REF!</f>
        <v>#REF!</v>
      </c>
      <c r="G297" t="e">
        <f t="shared" si="21"/>
        <v>#REF!</v>
      </c>
      <c r="H297" t="e">
        <f t="shared" si="22"/>
        <v>#REF!</v>
      </c>
      <c r="I297" s="141" t="e">
        <f t="shared" si="23"/>
        <v>#REF!</v>
      </c>
      <c r="J297" t="e">
        <f t="shared" si="24"/>
        <v>#REF!</v>
      </c>
      <c r="K297" s="141" t="e">
        <f t="shared" si="25"/>
        <v>#REF!</v>
      </c>
    </row>
    <row r="298" spans="1:11" hidden="1" x14ac:dyDescent="0.25">
      <c r="A298" t="e">
        <f>#REF!</f>
        <v>#REF!</v>
      </c>
      <c r="B298" t="e">
        <f>#REF!</f>
        <v>#REF!</v>
      </c>
      <c r="C298" t="e">
        <f>#REF!</f>
        <v>#REF!</v>
      </c>
      <c r="D298" t="e">
        <f>#REF!</f>
        <v>#REF!</v>
      </c>
      <c r="E298" t="e">
        <f>#REF!</f>
        <v>#REF!</v>
      </c>
      <c r="G298" t="e">
        <f t="shared" si="21"/>
        <v>#REF!</v>
      </c>
      <c r="H298" t="e">
        <f t="shared" si="22"/>
        <v>#REF!</v>
      </c>
      <c r="I298" s="141" t="e">
        <f t="shared" si="23"/>
        <v>#REF!</v>
      </c>
      <c r="J298" t="e">
        <f t="shared" si="24"/>
        <v>#REF!</v>
      </c>
      <c r="K298" s="141" t="e">
        <f t="shared" si="25"/>
        <v>#REF!</v>
      </c>
    </row>
    <row r="299" spans="1:11" hidden="1" x14ac:dyDescent="0.25">
      <c r="A299" t="e">
        <f>#REF!</f>
        <v>#REF!</v>
      </c>
      <c r="B299" t="e">
        <f>#REF!</f>
        <v>#REF!</v>
      </c>
      <c r="C299" t="e">
        <f>#REF!</f>
        <v>#REF!</v>
      </c>
      <c r="D299" t="e">
        <f>#REF!</f>
        <v>#REF!</v>
      </c>
      <c r="E299" t="e">
        <f>#REF!</f>
        <v>#REF!</v>
      </c>
      <c r="G299" t="e">
        <f t="shared" si="21"/>
        <v>#REF!</v>
      </c>
      <c r="H299" t="e">
        <f t="shared" si="22"/>
        <v>#REF!</v>
      </c>
      <c r="I299" s="141" t="e">
        <f t="shared" si="23"/>
        <v>#REF!</v>
      </c>
      <c r="J299" t="e">
        <f t="shared" si="24"/>
        <v>#REF!</v>
      </c>
      <c r="K299" s="141" t="e">
        <f t="shared" si="25"/>
        <v>#REF!</v>
      </c>
    </row>
    <row r="300" spans="1:11" hidden="1" x14ac:dyDescent="0.25">
      <c r="A300" t="e">
        <f>#REF!</f>
        <v>#REF!</v>
      </c>
      <c r="B300" t="e">
        <f>#REF!</f>
        <v>#REF!</v>
      </c>
      <c r="C300" t="e">
        <f>#REF!</f>
        <v>#REF!</v>
      </c>
      <c r="D300" t="e">
        <f>#REF!</f>
        <v>#REF!</v>
      </c>
      <c r="E300" t="e">
        <f>#REF!</f>
        <v>#REF!</v>
      </c>
      <c r="G300" t="e">
        <f t="shared" si="21"/>
        <v>#REF!</v>
      </c>
      <c r="H300" t="e">
        <f t="shared" si="22"/>
        <v>#REF!</v>
      </c>
      <c r="I300" s="141" t="e">
        <f t="shared" si="23"/>
        <v>#REF!</v>
      </c>
      <c r="J300" t="e">
        <f t="shared" si="24"/>
        <v>#REF!</v>
      </c>
      <c r="K300" s="141" t="e">
        <f t="shared" si="25"/>
        <v>#REF!</v>
      </c>
    </row>
    <row r="301" spans="1:11" hidden="1" x14ac:dyDescent="0.25">
      <c r="A301" t="e">
        <f>#REF!</f>
        <v>#REF!</v>
      </c>
      <c r="B301" t="e">
        <f>#REF!</f>
        <v>#REF!</v>
      </c>
      <c r="C301" t="e">
        <f>#REF!</f>
        <v>#REF!</v>
      </c>
      <c r="D301" t="e">
        <f>#REF!</f>
        <v>#REF!</v>
      </c>
      <c r="E301" t="e">
        <f>#REF!</f>
        <v>#REF!</v>
      </c>
      <c r="G301" t="e">
        <f t="shared" si="21"/>
        <v>#REF!</v>
      </c>
      <c r="H301" t="e">
        <f t="shared" si="22"/>
        <v>#REF!</v>
      </c>
      <c r="I301" s="141" t="e">
        <f t="shared" si="23"/>
        <v>#REF!</v>
      </c>
      <c r="J301" t="e">
        <f t="shared" si="24"/>
        <v>#REF!</v>
      </c>
      <c r="K301" s="141" t="e">
        <f t="shared" si="25"/>
        <v>#REF!</v>
      </c>
    </row>
    <row r="302" spans="1:11" hidden="1" x14ac:dyDescent="0.25">
      <c r="A302" t="e">
        <f>#REF!</f>
        <v>#REF!</v>
      </c>
      <c r="B302" t="e">
        <f>#REF!</f>
        <v>#REF!</v>
      </c>
      <c r="C302" t="e">
        <f>#REF!</f>
        <v>#REF!</v>
      </c>
      <c r="D302" t="e">
        <f>#REF!</f>
        <v>#REF!</v>
      </c>
      <c r="E302" t="e">
        <f>#REF!</f>
        <v>#REF!</v>
      </c>
      <c r="G302" t="e">
        <f t="shared" si="21"/>
        <v>#REF!</v>
      </c>
      <c r="H302" t="e">
        <f t="shared" si="22"/>
        <v>#REF!</v>
      </c>
      <c r="I302" s="141" t="e">
        <f t="shared" si="23"/>
        <v>#REF!</v>
      </c>
      <c r="J302" t="e">
        <f t="shared" si="24"/>
        <v>#REF!</v>
      </c>
      <c r="K302" s="141" t="e">
        <f t="shared" si="25"/>
        <v>#REF!</v>
      </c>
    </row>
    <row r="303" spans="1:11" hidden="1" x14ac:dyDescent="0.25">
      <c r="A303" t="e">
        <f>#REF!</f>
        <v>#REF!</v>
      </c>
      <c r="B303" t="e">
        <f>#REF!</f>
        <v>#REF!</v>
      </c>
      <c r="C303" t="e">
        <f>#REF!</f>
        <v>#REF!</v>
      </c>
      <c r="D303" t="e">
        <f>#REF!</f>
        <v>#REF!</v>
      </c>
      <c r="E303" t="e">
        <f>#REF!</f>
        <v>#REF!</v>
      </c>
      <c r="G303" t="e">
        <f t="shared" si="21"/>
        <v>#REF!</v>
      </c>
      <c r="H303" t="e">
        <f t="shared" si="22"/>
        <v>#REF!</v>
      </c>
      <c r="I303" s="141" t="e">
        <f t="shared" si="23"/>
        <v>#REF!</v>
      </c>
      <c r="J303" t="e">
        <f t="shared" si="24"/>
        <v>#REF!</v>
      </c>
      <c r="K303" s="141" t="e">
        <f t="shared" si="25"/>
        <v>#REF!</v>
      </c>
    </row>
    <row r="304" spans="1:11" hidden="1" x14ac:dyDescent="0.25">
      <c r="A304" t="e">
        <f>#REF!</f>
        <v>#REF!</v>
      </c>
      <c r="B304" t="e">
        <f>#REF!</f>
        <v>#REF!</v>
      </c>
      <c r="C304" t="e">
        <f>#REF!</f>
        <v>#REF!</v>
      </c>
      <c r="D304" t="e">
        <f>#REF!</f>
        <v>#REF!</v>
      </c>
      <c r="E304" t="e">
        <f>#REF!</f>
        <v>#REF!</v>
      </c>
      <c r="G304" t="e">
        <f t="shared" si="21"/>
        <v>#REF!</v>
      </c>
      <c r="H304" t="e">
        <f t="shared" si="22"/>
        <v>#REF!</v>
      </c>
      <c r="I304" s="141" t="e">
        <f t="shared" si="23"/>
        <v>#REF!</v>
      </c>
      <c r="J304" t="e">
        <f t="shared" si="24"/>
        <v>#REF!</v>
      </c>
      <c r="K304" s="141" t="e">
        <f t="shared" si="25"/>
        <v>#REF!</v>
      </c>
    </row>
    <row r="305" spans="1:11" hidden="1" x14ac:dyDescent="0.25">
      <c r="A305" t="e">
        <f>#REF!</f>
        <v>#REF!</v>
      </c>
      <c r="B305" t="e">
        <f>#REF!</f>
        <v>#REF!</v>
      </c>
      <c r="C305" t="e">
        <f>#REF!</f>
        <v>#REF!</v>
      </c>
      <c r="D305" t="e">
        <f>#REF!</f>
        <v>#REF!</v>
      </c>
      <c r="E305" t="e">
        <f>#REF!</f>
        <v>#REF!</v>
      </c>
      <c r="G305" t="e">
        <f t="shared" si="21"/>
        <v>#REF!</v>
      </c>
      <c r="H305" t="e">
        <f t="shared" si="22"/>
        <v>#REF!</v>
      </c>
      <c r="I305" s="141" t="e">
        <f t="shared" si="23"/>
        <v>#REF!</v>
      </c>
      <c r="J305" t="e">
        <f t="shared" si="24"/>
        <v>#REF!</v>
      </c>
      <c r="K305" s="141" t="e">
        <f t="shared" si="25"/>
        <v>#REF!</v>
      </c>
    </row>
    <row r="306" spans="1:11" hidden="1" x14ac:dyDescent="0.25">
      <c r="A306" t="e">
        <f>#REF!</f>
        <v>#REF!</v>
      </c>
      <c r="B306" t="e">
        <f>#REF!</f>
        <v>#REF!</v>
      </c>
      <c r="C306" t="e">
        <f>#REF!</f>
        <v>#REF!</v>
      </c>
      <c r="D306" t="e">
        <f>#REF!</f>
        <v>#REF!</v>
      </c>
      <c r="E306" t="e">
        <f>#REF!</f>
        <v>#REF!</v>
      </c>
      <c r="G306" t="e">
        <f t="shared" si="21"/>
        <v>#REF!</v>
      </c>
      <c r="H306" t="e">
        <f t="shared" si="22"/>
        <v>#REF!</v>
      </c>
      <c r="I306" s="141" t="e">
        <f t="shared" si="23"/>
        <v>#REF!</v>
      </c>
      <c r="J306" t="e">
        <f t="shared" si="24"/>
        <v>#REF!</v>
      </c>
      <c r="K306" s="141" t="e">
        <f t="shared" si="25"/>
        <v>#REF!</v>
      </c>
    </row>
    <row r="307" spans="1:11" hidden="1" x14ac:dyDescent="0.25">
      <c r="A307" t="e">
        <f>#REF!</f>
        <v>#REF!</v>
      </c>
      <c r="B307" t="e">
        <f>#REF!</f>
        <v>#REF!</v>
      </c>
      <c r="C307" t="e">
        <f>#REF!</f>
        <v>#REF!</v>
      </c>
      <c r="D307" t="e">
        <f>#REF!</f>
        <v>#REF!</v>
      </c>
      <c r="E307" t="e">
        <f>#REF!</f>
        <v>#REF!</v>
      </c>
      <c r="G307" t="e">
        <f t="shared" si="21"/>
        <v>#REF!</v>
      </c>
      <c r="H307" t="e">
        <f t="shared" si="22"/>
        <v>#REF!</v>
      </c>
      <c r="I307" s="141" t="e">
        <f t="shared" si="23"/>
        <v>#REF!</v>
      </c>
      <c r="J307" t="e">
        <f t="shared" si="24"/>
        <v>#REF!</v>
      </c>
      <c r="K307" s="141" t="e">
        <f t="shared" si="25"/>
        <v>#REF!</v>
      </c>
    </row>
    <row r="308" spans="1:11" hidden="1" x14ac:dyDescent="0.25">
      <c r="A308" t="e">
        <f>#REF!</f>
        <v>#REF!</v>
      </c>
      <c r="B308" t="e">
        <f>#REF!</f>
        <v>#REF!</v>
      </c>
      <c r="C308" t="e">
        <f>#REF!</f>
        <v>#REF!</v>
      </c>
      <c r="D308" t="e">
        <f>#REF!</f>
        <v>#REF!</v>
      </c>
      <c r="E308" t="e">
        <f>#REF!</f>
        <v>#REF!</v>
      </c>
      <c r="G308" t="e">
        <f t="shared" si="21"/>
        <v>#REF!</v>
      </c>
      <c r="H308" t="e">
        <f t="shared" si="22"/>
        <v>#REF!</v>
      </c>
      <c r="I308" s="141" t="e">
        <f t="shared" si="23"/>
        <v>#REF!</v>
      </c>
      <c r="J308" t="e">
        <f t="shared" si="24"/>
        <v>#REF!</v>
      </c>
      <c r="K308" s="141" t="e">
        <f t="shared" si="25"/>
        <v>#REF!</v>
      </c>
    </row>
    <row r="309" spans="1:11" hidden="1" x14ac:dyDescent="0.25">
      <c r="A309" t="e">
        <f>#REF!</f>
        <v>#REF!</v>
      </c>
      <c r="B309" t="e">
        <f>#REF!</f>
        <v>#REF!</v>
      </c>
      <c r="C309" t="e">
        <f>#REF!</f>
        <v>#REF!</v>
      </c>
      <c r="D309" t="e">
        <f>#REF!</f>
        <v>#REF!</v>
      </c>
      <c r="E309" t="e">
        <f>#REF!</f>
        <v>#REF!</v>
      </c>
      <c r="G309" t="e">
        <f t="shared" si="21"/>
        <v>#REF!</v>
      </c>
      <c r="H309" t="e">
        <f t="shared" si="22"/>
        <v>#REF!</v>
      </c>
      <c r="I309" s="141" t="e">
        <f t="shared" si="23"/>
        <v>#REF!</v>
      </c>
      <c r="J309" t="e">
        <f t="shared" si="24"/>
        <v>#REF!</v>
      </c>
      <c r="K309" s="141" t="e">
        <f t="shared" si="25"/>
        <v>#REF!</v>
      </c>
    </row>
    <row r="310" spans="1:11" hidden="1" x14ac:dyDescent="0.25">
      <c r="A310" t="e">
        <f>#REF!</f>
        <v>#REF!</v>
      </c>
      <c r="B310" t="e">
        <f>#REF!</f>
        <v>#REF!</v>
      </c>
      <c r="C310" t="e">
        <f>#REF!</f>
        <v>#REF!</v>
      </c>
      <c r="D310" t="e">
        <f>#REF!</f>
        <v>#REF!</v>
      </c>
      <c r="E310" t="e">
        <f>#REF!</f>
        <v>#REF!</v>
      </c>
      <c r="G310" t="e">
        <f t="shared" si="21"/>
        <v>#REF!</v>
      </c>
      <c r="H310" t="e">
        <f t="shared" si="22"/>
        <v>#REF!</v>
      </c>
      <c r="I310" s="141" t="e">
        <f t="shared" si="23"/>
        <v>#REF!</v>
      </c>
      <c r="J310" t="e">
        <f t="shared" si="24"/>
        <v>#REF!</v>
      </c>
      <c r="K310" s="141" t="e">
        <f t="shared" si="25"/>
        <v>#REF!</v>
      </c>
    </row>
    <row r="311" spans="1:11" hidden="1" x14ac:dyDescent="0.25">
      <c r="A311" t="e">
        <f>#REF!</f>
        <v>#REF!</v>
      </c>
      <c r="B311" t="e">
        <f>#REF!</f>
        <v>#REF!</v>
      </c>
      <c r="C311" t="e">
        <f>#REF!</f>
        <v>#REF!</v>
      </c>
      <c r="D311" t="e">
        <f>#REF!</f>
        <v>#REF!</v>
      </c>
      <c r="E311" t="e">
        <f>#REF!</f>
        <v>#REF!</v>
      </c>
      <c r="G311" t="e">
        <f t="shared" si="21"/>
        <v>#REF!</v>
      </c>
      <c r="H311" t="e">
        <f t="shared" si="22"/>
        <v>#REF!</v>
      </c>
      <c r="I311" s="141" t="e">
        <f t="shared" si="23"/>
        <v>#REF!</v>
      </c>
      <c r="J311" t="e">
        <f t="shared" si="24"/>
        <v>#REF!</v>
      </c>
      <c r="K311" s="141" t="e">
        <f t="shared" si="25"/>
        <v>#REF!</v>
      </c>
    </row>
    <row r="312" spans="1:11" hidden="1" x14ac:dyDescent="0.25">
      <c r="A312" t="e">
        <f>#REF!</f>
        <v>#REF!</v>
      </c>
      <c r="B312" t="e">
        <f>#REF!</f>
        <v>#REF!</v>
      </c>
      <c r="C312" t="e">
        <f>#REF!</f>
        <v>#REF!</v>
      </c>
      <c r="D312" t="e">
        <f>#REF!</f>
        <v>#REF!</v>
      </c>
      <c r="E312" t="e">
        <f>#REF!</f>
        <v>#REF!</v>
      </c>
      <c r="G312" t="e">
        <f t="shared" si="21"/>
        <v>#REF!</v>
      </c>
      <c r="H312" t="e">
        <f t="shared" si="22"/>
        <v>#REF!</v>
      </c>
      <c r="I312" s="141" t="e">
        <f t="shared" si="23"/>
        <v>#REF!</v>
      </c>
      <c r="J312" t="e">
        <f t="shared" si="24"/>
        <v>#REF!</v>
      </c>
      <c r="K312" s="141" t="e">
        <f t="shared" si="25"/>
        <v>#REF!</v>
      </c>
    </row>
    <row r="313" spans="1:11" hidden="1" x14ac:dyDescent="0.25">
      <c r="A313" t="e">
        <f>#REF!</f>
        <v>#REF!</v>
      </c>
      <c r="B313" t="e">
        <f>#REF!</f>
        <v>#REF!</v>
      </c>
      <c r="C313" t="e">
        <f>#REF!</f>
        <v>#REF!</v>
      </c>
      <c r="D313" t="e">
        <f>#REF!</f>
        <v>#REF!</v>
      </c>
      <c r="E313" t="e">
        <f>#REF!</f>
        <v>#REF!</v>
      </c>
      <c r="G313" t="e">
        <f t="shared" si="21"/>
        <v>#REF!</v>
      </c>
      <c r="H313" t="e">
        <f t="shared" si="22"/>
        <v>#REF!</v>
      </c>
      <c r="I313" s="141" t="e">
        <f t="shared" si="23"/>
        <v>#REF!</v>
      </c>
      <c r="J313" t="e">
        <f t="shared" si="24"/>
        <v>#REF!</v>
      </c>
      <c r="K313" s="141" t="e">
        <f t="shared" si="25"/>
        <v>#REF!</v>
      </c>
    </row>
    <row r="314" spans="1:11" hidden="1" x14ac:dyDescent="0.25">
      <c r="A314" t="e">
        <f>#REF!</f>
        <v>#REF!</v>
      </c>
      <c r="B314" t="e">
        <f>#REF!</f>
        <v>#REF!</v>
      </c>
      <c r="C314" t="e">
        <f>#REF!</f>
        <v>#REF!</v>
      </c>
      <c r="D314" t="e">
        <f>#REF!</f>
        <v>#REF!</v>
      </c>
      <c r="E314" t="e">
        <f>#REF!</f>
        <v>#REF!</v>
      </c>
      <c r="G314" t="e">
        <f t="shared" si="21"/>
        <v>#REF!</v>
      </c>
      <c r="H314" t="e">
        <f t="shared" si="22"/>
        <v>#REF!</v>
      </c>
      <c r="I314" s="141" t="e">
        <f t="shared" si="23"/>
        <v>#REF!</v>
      </c>
      <c r="J314" t="e">
        <f t="shared" si="24"/>
        <v>#REF!</v>
      </c>
      <c r="K314" s="141" t="e">
        <f t="shared" si="25"/>
        <v>#REF!</v>
      </c>
    </row>
    <row r="315" spans="1:11" hidden="1" x14ac:dyDescent="0.25">
      <c r="A315" t="e">
        <f>#REF!</f>
        <v>#REF!</v>
      </c>
      <c r="B315" t="e">
        <f>#REF!</f>
        <v>#REF!</v>
      </c>
      <c r="C315" t="e">
        <f>#REF!</f>
        <v>#REF!</v>
      </c>
      <c r="D315" t="e">
        <f>#REF!</f>
        <v>#REF!</v>
      </c>
      <c r="E315" t="e">
        <f>#REF!</f>
        <v>#REF!</v>
      </c>
      <c r="G315" t="e">
        <f t="shared" si="21"/>
        <v>#REF!</v>
      </c>
      <c r="H315" t="e">
        <f t="shared" si="22"/>
        <v>#REF!</v>
      </c>
      <c r="I315" s="141" t="e">
        <f t="shared" si="23"/>
        <v>#REF!</v>
      </c>
      <c r="J315" t="e">
        <f t="shared" si="24"/>
        <v>#REF!</v>
      </c>
      <c r="K315" s="141" t="e">
        <f t="shared" si="25"/>
        <v>#REF!</v>
      </c>
    </row>
    <row r="316" spans="1:11" hidden="1" x14ac:dyDescent="0.25">
      <c r="A316" t="e">
        <f>#REF!</f>
        <v>#REF!</v>
      </c>
      <c r="B316" t="e">
        <f>#REF!</f>
        <v>#REF!</v>
      </c>
      <c r="C316" t="e">
        <f>#REF!</f>
        <v>#REF!</v>
      </c>
      <c r="D316" t="e">
        <f>#REF!</f>
        <v>#REF!</v>
      </c>
      <c r="E316" t="e">
        <f>#REF!</f>
        <v>#REF!</v>
      </c>
      <c r="G316" t="e">
        <f t="shared" si="21"/>
        <v>#REF!</v>
      </c>
      <c r="H316" t="e">
        <f t="shared" si="22"/>
        <v>#REF!</v>
      </c>
      <c r="I316" s="141" t="e">
        <f t="shared" si="23"/>
        <v>#REF!</v>
      </c>
      <c r="J316" t="e">
        <f t="shared" si="24"/>
        <v>#REF!</v>
      </c>
      <c r="K316" s="141" t="e">
        <f t="shared" si="25"/>
        <v>#REF!</v>
      </c>
    </row>
    <row r="317" spans="1:11" hidden="1" x14ac:dyDescent="0.25">
      <c r="A317" t="e">
        <f>#REF!</f>
        <v>#REF!</v>
      </c>
      <c r="B317" t="e">
        <f>#REF!</f>
        <v>#REF!</v>
      </c>
      <c r="C317" t="e">
        <f>#REF!</f>
        <v>#REF!</v>
      </c>
      <c r="D317" t="e">
        <f>#REF!</f>
        <v>#REF!</v>
      </c>
      <c r="E317" t="e">
        <f>#REF!</f>
        <v>#REF!</v>
      </c>
      <c r="G317" t="e">
        <f t="shared" si="21"/>
        <v>#REF!</v>
      </c>
      <c r="H317" t="e">
        <f t="shared" si="22"/>
        <v>#REF!</v>
      </c>
      <c r="I317" s="141" t="e">
        <f t="shared" si="23"/>
        <v>#REF!</v>
      </c>
      <c r="J317" t="e">
        <f t="shared" si="24"/>
        <v>#REF!</v>
      </c>
      <c r="K317" s="141" t="e">
        <f t="shared" si="25"/>
        <v>#REF!</v>
      </c>
    </row>
    <row r="318" spans="1:11" hidden="1" x14ac:dyDescent="0.25">
      <c r="A318" t="e">
        <f>#REF!</f>
        <v>#REF!</v>
      </c>
      <c r="B318" t="e">
        <f>#REF!</f>
        <v>#REF!</v>
      </c>
      <c r="C318" t="e">
        <f>#REF!</f>
        <v>#REF!</v>
      </c>
      <c r="D318" t="e">
        <f>#REF!</f>
        <v>#REF!</v>
      </c>
      <c r="E318" t="e">
        <f>#REF!</f>
        <v>#REF!</v>
      </c>
      <c r="G318" t="e">
        <f t="shared" si="21"/>
        <v>#REF!</v>
      </c>
      <c r="H318" t="e">
        <f t="shared" si="22"/>
        <v>#REF!</v>
      </c>
      <c r="I318" s="141" t="e">
        <f t="shared" si="23"/>
        <v>#REF!</v>
      </c>
      <c r="J318" t="e">
        <f t="shared" si="24"/>
        <v>#REF!</v>
      </c>
      <c r="K318" s="141" t="e">
        <f t="shared" si="25"/>
        <v>#REF!</v>
      </c>
    </row>
    <row r="319" spans="1:11" hidden="1" x14ac:dyDescent="0.25">
      <c r="A319" t="e">
        <f>#REF!</f>
        <v>#REF!</v>
      </c>
      <c r="B319" t="e">
        <f>#REF!</f>
        <v>#REF!</v>
      </c>
      <c r="C319" t="e">
        <f>#REF!</f>
        <v>#REF!</v>
      </c>
      <c r="D319" t="e">
        <f>#REF!</f>
        <v>#REF!</v>
      </c>
      <c r="E319" t="e">
        <f>#REF!</f>
        <v>#REF!</v>
      </c>
      <c r="G319" t="e">
        <f t="shared" si="21"/>
        <v>#REF!</v>
      </c>
      <c r="H319" t="e">
        <f t="shared" si="22"/>
        <v>#REF!</v>
      </c>
      <c r="I319" s="141" t="e">
        <f t="shared" si="23"/>
        <v>#REF!</v>
      </c>
      <c r="J319" t="e">
        <f t="shared" si="24"/>
        <v>#REF!</v>
      </c>
      <c r="K319" s="141" t="e">
        <f t="shared" si="25"/>
        <v>#REF!</v>
      </c>
    </row>
    <row r="320" spans="1:11" hidden="1" x14ac:dyDescent="0.25">
      <c r="A320" t="e">
        <f>#REF!</f>
        <v>#REF!</v>
      </c>
      <c r="B320" t="e">
        <f>#REF!</f>
        <v>#REF!</v>
      </c>
      <c r="C320" t="e">
        <f>#REF!</f>
        <v>#REF!</v>
      </c>
      <c r="D320" t="e">
        <f>#REF!</f>
        <v>#REF!</v>
      </c>
      <c r="E320" t="e">
        <f>#REF!</f>
        <v>#REF!</v>
      </c>
      <c r="G320" t="e">
        <f t="shared" si="21"/>
        <v>#REF!</v>
      </c>
      <c r="H320" t="e">
        <f t="shared" si="22"/>
        <v>#REF!</v>
      </c>
      <c r="I320" s="141" t="e">
        <f t="shared" si="23"/>
        <v>#REF!</v>
      </c>
      <c r="J320" t="e">
        <f t="shared" si="24"/>
        <v>#REF!</v>
      </c>
      <c r="K320" s="141" t="e">
        <f t="shared" si="25"/>
        <v>#REF!</v>
      </c>
    </row>
    <row r="321" spans="1:11" hidden="1" x14ac:dyDescent="0.25">
      <c r="A321" t="e">
        <f>#REF!</f>
        <v>#REF!</v>
      </c>
      <c r="B321" t="e">
        <f>#REF!</f>
        <v>#REF!</v>
      </c>
      <c r="C321" t="e">
        <f>#REF!</f>
        <v>#REF!</v>
      </c>
      <c r="D321" t="e">
        <f>#REF!</f>
        <v>#REF!</v>
      </c>
      <c r="E321" t="e">
        <f>#REF!</f>
        <v>#REF!</v>
      </c>
      <c r="G321" t="e">
        <f t="shared" si="21"/>
        <v>#REF!</v>
      </c>
      <c r="H321" t="e">
        <f t="shared" si="22"/>
        <v>#REF!</v>
      </c>
      <c r="I321" s="141" t="e">
        <f t="shared" si="23"/>
        <v>#REF!</v>
      </c>
      <c r="J321" t="e">
        <f t="shared" si="24"/>
        <v>#REF!</v>
      </c>
      <c r="K321" s="141" t="e">
        <f t="shared" si="25"/>
        <v>#REF!</v>
      </c>
    </row>
    <row r="322" spans="1:11" hidden="1" x14ac:dyDescent="0.25">
      <c r="A322" t="e">
        <f>#REF!</f>
        <v>#REF!</v>
      </c>
      <c r="B322" t="e">
        <f>#REF!</f>
        <v>#REF!</v>
      </c>
      <c r="C322" t="e">
        <f>#REF!</f>
        <v>#REF!</v>
      </c>
      <c r="D322" t="e">
        <f>#REF!</f>
        <v>#REF!</v>
      </c>
      <c r="E322" t="e">
        <f>#REF!</f>
        <v>#REF!</v>
      </c>
      <c r="G322" t="e">
        <f t="shared" ref="G322:G385" si="26">A322</f>
        <v>#REF!</v>
      </c>
      <c r="H322" t="e">
        <f t="shared" ref="H322:H385" si="27">B322</f>
        <v>#REF!</v>
      </c>
      <c r="I322" s="141" t="e">
        <f t="shared" ref="I322:I385" si="28">C322</f>
        <v>#REF!</v>
      </c>
      <c r="J322" t="e">
        <f t="shared" ref="J322:J385" si="29">D322</f>
        <v>#REF!</v>
      </c>
      <c r="K322" s="141" t="e">
        <f t="shared" ref="K322:K385" si="30">E322</f>
        <v>#REF!</v>
      </c>
    </row>
    <row r="323" spans="1:11" hidden="1" x14ac:dyDescent="0.25">
      <c r="A323" t="e">
        <f>#REF!</f>
        <v>#REF!</v>
      </c>
      <c r="B323" t="e">
        <f>#REF!</f>
        <v>#REF!</v>
      </c>
      <c r="C323" t="e">
        <f>#REF!</f>
        <v>#REF!</v>
      </c>
      <c r="D323" t="e">
        <f>#REF!</f>
        <v>#REF!</v>
      </c>
      <c r="E323" t="e">
        <f>#REF!</f>
        <v>#REF!</v>
      </c>
      <c r="G323" t="e">
        <f t="shared" si="26"/>
        <v>#REF!</v>
      </c>
      <c r="H323" t="e">
        <f t="shared" si="27"/>
        <v>#REF!</v>
      </c>
      <c r="I323" s="141" t="e">
        <f t="shared" si="28"/>
        <v>#REF!</v>
      </c>
      <c r="J323" t="e">
        <f t="shared" si="29"/>
        <v>#REF!</v>
      </c>
      <c r="K323" s="141" t="e">
        <f t="shared" si="30"/>
        <v>#REF!</v>
      </c>
    </row>
    <row r="324" spans="1:11" hidden="1" x14ac:dyDescent="0.25">
      <c r="A324" t="e">
        <f>#REF!</f>
        <v>#REF!</v>
      </c>
      <c r="B324" t="e">
        <f>#REF!</f>
        <v>#REF!</v>
      </c>
      <c r="C324" t="e">
        <f>#REF!</f>
        <v>#REF!</v>
      </c>
      <c r="D324" t="e">
        <f>#REF!</f>
        <v>#REF!</v>
      </c>
      <c r="E324" t="e">
        <f>#REF!</f>
        <v>#REF!</v>
      </c>
      <c r="G324" t="e">
        <f t="shared" si="26"/>
        <v>#REF!</v>
      </c>
      <c r="H324" t="e">
        <f t="shared" si="27"/>
        <v>#REF!</v>
      </c>
      <c r="I324" s="141" t="e">
        <f t="shared" si="28"/>
        <v>#REF!</v>
      </c>
      <c r="J324" t="e">
        <f t="shared" si="29"/>
        <v>#REF!</v>
      </c>
      <c r="K324" s="141" t="e">
        <f t="shared" si="30"/>
        <v>#REF!</v>
      </c>
    </row>
    <row r="325" spans="1:11" hidden="1" x14ac:dyDescent="0.25">
      <c r="A325" t="e">
        <f>#REF!</f>
        <v>#REF!</v>
      </c>
      <c r="B325" t="e">
        <f>#REF!</f>
        <v>#REF!</v>
      </c>
      <c r="C325" t="e">
        <f>#REF!</f>
        <v>#REF!</v>
      </c>
      <c r="D325" t="e">
        <f>#REF!</f>
        <v>#REF!</v>
      </c>
      <c r="E325" t="e">
        <f>#REF!</f>
        <v>#REF!</v>
      </c>
      <c r="G325" t="e">
        <f t="shared" si="26"/>
        <v>#REF!</v>
      </c>
      <c r="H325" t="e">
        <f t="shared" si="27"/>
        <v>#REF!</v>
      </c>
      <c r="I325" s="141" t="e">
        <f t="shared" si="28"/>
        <v>#REF!</v>
      </c>
      <c r="J325" t="e">
        <f t="shared" si="29"/>
        <v>#REF!</v>
      </c>
      <c r="K325" s="141" t="e">
        <f t="shared" si="30"/>
        <v>#REF!</v>
      </c>
    </row>
    <row r="326" spans="1:11" hidden="1" x14ac:dyDescent="0.25">
      <c r="A326" t="e">
        <f>#REF!</f>
        <v>#REF!</v>
      </c>
      <c r="B326" t="e">
        <f>#REF!</f>
        <v>#REF!</v>
      </c>
      <c r="C326" t="e">
        <f>#REF!</f>
        <v>#REF!</v>
      </c>
      <c r="D326" t="e">
        <f>#REF!</f>
        <v>#REF!</v>
      </c>
      <c r="E326" t="e">
        <f>#REF!</f>
        <v>#REF!</v>
      </c>
      <c r="G326" t="e">
        <f t="shared" si="26"/>
        <v>#REF!</v>
      </c>
      <c r="H326" t="e">
        <f t="shared" si="27"/>
        <v>#REF!</v>
      </c>
      <c r="I326" s="141" t="e">
        <f t="shared" si="28"/>
        <v>#REF!</v>
      </c>
      <c r="J326" t="e">
        <f t="shared" si="29"/>
        <v>#REF!</v>
      </c>
      <c r="K326" s="141" t="e">
        <f t="shared" si="30"/>
        <v>#REF!</v>
      </c>
    </row>
    <row r="327" spans="1:11" hidden="1" x14ac:dyDescent="0.25">
      <c r="A327" t="e">
        <f>#REF!</f>
        <v>#REF!</v>
      </c>
      <c r="B327" t="e">
        <f>#REF!</f>
        <v>#REF!</v>
      </c>
      <c r="C327" t="e">
        <f>#REF!</f>
        <v>#REF!</v>
      </c>
      <c r="D327" t="e">
        <f>#REF!</f>
        <v>#REF!</v>
      </c>
      <c r="E327" t="e">
        <f>#REF!</f>
        <v>#REF!</v>
      </c>
      <c r="G327" t="e">
        <f t="shared" si="26"/>
        <v>#REF!</v>
      </c>
      <c r="H327" t="e">
        <f t="shared" si="27"/>
        <v>#REF!</v>
      </c>
      <c r="I327" s="141" t="e">
        <f t="shared" si="28"/>
        <v>#REF!</v>
      </c>
      <c r="J327" t="e">
        <f t="shared" si="29"/>
        <v>#REF!</v>
      </c>
      <c r="K327" s="141" t="e">
        <f t="shared" si="30"/>
        <v>#REF!</v>
      </c>
    </row>
    <row r="328" spans="1:11" hidden="1" x14ac:dyDescent="0.25">
      <c r="A328" t="e">
        <f>#REF!</f>
        <v>#REF!</v>
      </c>
      <c r="B328" t="e">
        <f>#REF!</f>
        <v>#REF!</v>
      </c>
      <c r="C328" t="e">
        <f>#REF!</f>
        <v>#REF!</v>
      </c>
      <c r="D328" t="e">
        <f>#REF!</f>
        <v>#REF!</v>
      </c>
      <c r="E328" t="e">
        <f>#REF!</f>
        <v>#REF!</v>
      </c>
      <c r="G328" t="e">
        <f t="shared" si="26"/>
        <v>#REF!</v>
      </c>
      <c r="H328" t="e">
        <f t="shared" si="27"/>
        <v>#REF!</v>
      </c>
      <c r="I328" s="141" t="e">
        <f t="shared" si="28"/>
        <v>#REF!</v>
      </c>
      <c r="J328" t="e">
        <f t="shared" si="29"/>
        <v>#REF!</v>
      </c>
      <c r="K328" s="141" t="e">
        <f t="shared" si="30"/>
        <v>#REF!</v>
      </c>
    </row>
    <row r="329" spans="1:11" hidden="1" x14ac:dyDescent="0.25">
      <c r="A329" t="e">
        <f>#REF!</f>
        <v>#REF!</v>
      </c>
      <c r="B329" t="e">
        <f>#REF!</f>
        <v>#REF!</v>
      </c>
      <c r="C329" t="e">
        <f>#REF!</f>
        <v>#REF!</v>
      </c>
      <c r="D329" t="e">
        <f>#REF!</f>
        <v>#REF!</v>
      </c>
      <c r="E329" t="e">
        <f>#REF!</f>
        <v>#REF!</v>
      </c>
      <c r="G329" t="e">
        <f t="shared" si="26"/>
        <v>#REF!</v>
      </c>
      <c r="H329" t="e">
        <f t="shared" si="27"/>
        <v>#REF!</v>
      </c>
      <c r="I329" s="141" t="e">
        <f t="shared" si="28"/>
        <v>#REF!</v>
      </c>
      <c r="J329" t="e">
        <f t="shared" si="29"/>
        <v>#REF!</v>
      </c>
      <c r="K329" s="141" t="e">
        <f t="shared" si="30"/>
        <v>#REF!</v>
      </c>
    </row>
    <row r="330" spans="1:11" hidden="1" x14ac:dyDescent="0.25">
      <c r="A330" t="e">
        <f>#REF!</f>
        <v>#REF!</v>
      </c>
      <c r="B330" t="e">
        <f>#REF!</f>
        <v>#REF!</v>
      </c>
      <c r="C330" t="e">
        <f>#REF!</f>
        <v>#REF!</v>
      </c>
      <c r="D330" t="e">
        <f>#REF!</f>
        <v>#REF!</v>
      </c>
      <c r="E330" t="e">
        <f>#REF!</f>
        <v>#REF!</v>
      </c>
      <c r="G330" t="e">
        <f t="shared" si="26"/>
        <v>#REF!</v>
      </c>
      <c r="H330" t="e">
        <f t="shared" si="27"/>
        <v>#REF!</v>
      </c>
      <c r="I330" s="141" t="e">
        <f t="shared" si="28"/>
        <v>#REF!</v>
      </c>
      <c r="J330" t="e">
        <f t="shared" si="29"/>
        <v>#REF!</v>
      </c>
      <c r="K330" s="141" t="e">
        <f t="shared" si="30"/>
        <v>#REF!</v>
      </c>
    </row>
    <row r="331" spans="1:11" hidden="1" x14ac:dyDescent="0.25">
      <c r="A331" t="e">
        <f>#REF!</f>
        <v>#REF!</v>
      </c>
      <c r="B331" t="e">
        <f>#REF!</f>
        <v>#REF!</v>
      </c>
      <c r="C331" t="e">
        <f>#REF!</f>
        <v>#REF!</v>
      </c>
      <c r="D331" t="e">
        <f>#REF!</f>
        <v>#REF!</v>
      </c>
      <c r="E331" t="e">
        <f>#REF!</f>
        <v>#REF!</v>
      </c>
      <c r="G331" t="e">
        <f t="shared" si="26"/>
        <v>#REF!</v>
      </c>
      <c r="H331" t="e">
        <f t="shared" si="27"/>
        <v>#REF!</v>
      </c>
      <c r="I331" s="141" t="e">
        <f t="shared" si="28"/>
        <v>#REF!</v>
      </c>
      <c r="J331" t="e">
        <f t="shared" si="29"/>
        <v>#REF!</v>
      </c>
      <c r="K331" s="141" t="e">
        <f t="shared" si="30"/>
        <v>#REF!</v>
      </c>
    </row>
    <row r="332" spans="1:11" hidden="1" x14ac:dyDescent="0.25">
      <c r="A332" t="e">
        <f>#REF!</f>
        <v>#REF!</v>
      </c>
      <c r="B332" t="e">
        <f>#REF!</f>
        <v>#REF!</v>
      </c>
      <c r="C332" t="e">
        <f>#REF!</f>
        <v>#REF!</v>
      </c>
      <c r="D332" t="e">
        <f>#REF!</f>
        <v>#REF!</v>
      </c>
      <c r="E332" t="e">
        <f>#REF!</f>
        <v>#REF!</v>
      </c>
      <c r="G332" t="e">
        <f t="shared" si="26"/>
        <v>#REF!</v>
      </c>
      <c r="H332" t="e">
        <f t="shared" si="27"/>
        <v>#REF!</v>
      </c>
      <c r="I332" s="141" t="e">
        <f t="shared" si="28"/>
        <v>#REF!</v>
      </c>
      <c r="J332" t="e">
        <f t="shared" si="29"/>
        <v>#REF!</v>
      </c>
      <c r="K332" s="141" t="e">
        <f t="shared" si="30"/>
        <v>#REF!</v>
      </c>
    </row>
    <row r="333" spans="1:11" hidden="1" x14ac:dyDescent="0.25">
      <c r="A333" t="e">
        <f>#REF!</f>
        <v>#REF!</v>
      </c>
      <c r="B333" t="e">
        <f>#REF!</f>
        <v>#REF!</v>
      </c>
      <c r="C333" t="e">
        <f>#REF!</f>
        <v>#REF!</v>
      </c>
      <c r="D333" t="e">
        <f>#REF!</f>
        <v>#REF!</v>
      </c>
      <c r="E333" t="e">
        <f>#REF!</f>
        <v>#REF!</v>
      </c>
      <c r="G333" t="e">
        <f t="shared" si="26"/>
        <v>#REF!</v>
      </c>
      <c r="H333" t="e">
        <f t="shared" si="27"/>
        <v>#REF!</v>
      </c>
      <c r="I333" s="141" t="e">
        <f t="shared" si="28"/>
        <v>#REF!</v>
      </c>
      <c r="J333" t="e">
        <f t="shared" si="29"/>
        <v>#REF!</v>
      </c>
      <c r="K333" s="141" t="e">
        <f t="shared" si="30"/>
        <v>#REF!</v>
      </c>
    </row>
    <row r="334" spans="1:11" hidden="1" x14ac:dyDescent="0.25">
      <c r="A334" t="e">
        <f>#REF!</f>
        <v>#REF!</v>
      </c>
      <c r="B334" t="e">
        <f>#REF!</f>
        <v>#REF!</v>
      </c>
      <c r="C334" t="e">
        <f>#REF!</f>
        <v>#REF!</v>
      </c>
      <c r="D334" t="e">
        <f>#REF!</f>
        <v>#REF!</v>
      </c>
      <c r="E334" t="e">
        <f>#REF!</f>
        <v>#REF!</v>
      </c>
      <c r="G334" t="e">
        <f t="shared" si="26"/>
        <v>#REF!</v>
      </c>
      <c r="H334" t="e">
        <f t="shared" si="27"/>
        <v>#REF!</v>
      </c>
      <c r="I334" s="141" t="e">
        <f t="shared" si="28"/>
        <v>#REF!</v>
      </c>
      <c r="J334" t="e">
        <f t="shared" si="29"/>
        <v>#REF!</v>
      </c>
      <c r="K334" s="141" t="e">
        <f t="shared" si="30"/>
        <v>#REF!</v>
      </c>
    </row>
    <row r="335" spans="1:11" hidden="1" x14ac:dyDescent="0.25">
      <c r="A335" t="e">
        <f>#REF!</f>
        <v>#REF!</v>
      </c>
      <c r="B335" t="e">
        <f>#REF!</f>
        <v>#REF!</v>
      </c>
      <c r="C335" t="e">
        <f>#REF!</f>
        <v>#REF!</v>
      </c>
      <c r="D335" t="e">
        <f>#REF!</f>
        <v>#REF!</v>
      </c>
      <c r="E335" t="e">
        <f>#REF!</f>
        <v>#REF!</v>
      </c>
      <c r="G335" t="e">
        <f t="shared" si="26"/>
        <v>#REF!</v>
      </c>
      <c r="H335" t="e">
        <f t="shared" si="27"/>
        <v>#REF!</v>
      </c>
      <c r="I335" s="141" t="e">
        <f t="shared" si="28"/>
        <v>#REF!</v>
      </c>
      <c r="J335" t="e">
        <f t="shared" si="29"/>
        <v>#REF!</v>
      </c>
      <c r="K335" s="141" t="e">
        <f t="shared" si="30"/>
        <v>#REF!</v>
      </c>
    </row>
    <row r="336" spans="1:11" hidden="1" x14ac:dyDescent="0.25">
      <c r="A336" t="e">
        <f>#REF!</f>
        <v>#REF!</v>
      </c>
      <c r="B336" t="e">
        <f>#REF!</f>
        <v>#REF!</v>
      </c>
      <c r="C336" t="e">
        <f>#REF!</f>
        <v>#REF!</v>
      </c>
      <c r="D336" t="e">
        <f>#REF!</f>
        <v>#REF!</v>
      </c>
      <c r="E336" t="e">
        <f>#REF!</f>
        <v>#REF!</v>
      </c>
      <c r="G336" t="e">
        <f t="shared" si="26"/>
        <v>#REF!</v>
      </c>
      <c r="H336" t="e">
        <f t="shared" si="27"/>
        <v>#REF!</v>
      </c>
      <c r="I336" s="141" t="e">
        <f t="shared" si="28"/>
        <v>#REF!</v>
      </c>
      <c r="J336" t="e">
        <f t="shared" si="29"/>
        <v>#REF!</v>
      </c>
      <c r="K336" s="141" t="e">
        <f t="shared" si="30"/>
        <v>#REF!</v>
      </c>
    </row>
    <row r="337" spans="1:11" hidden="1" x14ac:dyDescent="0.25">
      <c r="A337" t="e">
        <f>#REF!</f>
        <v>#REF!</v>
      </c>
      <c r="B337" t="e">
        <f>#REF!</f>
        <v>#REF!</v>
      </c>
      <c r="C337" t="e">
        <f>#REF!</f>
        <v>#REF!</v>
      </c>
      <c r="D337" t="e">
        <f>#REF!</f>
        <v>#REF!</v>
      </c>
      <c r="E337" t="e">
        <f>#REF!</f>
        <v>#REF!</v>
      </c>
      <c r="G337" t="e">
        <f t="shared" si="26"/>
        <v>#REF!</v>
      </c>
      <c r="H337" t="e">
        <f t="shared" si="27"/>
        <v>#REF!</v>
      </c>
      <c r="I337" s="141" t="e">
        <f t="shared" si="28"/>
        <v>#REF!</v>
      </c>
      <c r="J337" t="e">
        <f t="shared" si="29"/>
        <v>#REF!</v>
      </c>
      <c r="K337" s="141" t="e">
        <f t="shared" si="30"/>
        <v>#REF!</v>
      </c>
    </row>
    <row r="338" spans="1:11" hidden="1" x14ac:dyDescent="0.25">
      <c r="A338" t="e">
        <f>#REF!</f>
        <v>#REF!</v>
      </c>
      <c r="B338" t="e">
        <f>#REF!</f>
        <v>#REF!</v>
      </c>
      <c r="C338" t="e">
        <f>#REF!</f>
        <v>#REF!</v>
      </c>
      <c r="D338" t="e">
        <f>#REF!</f>
        <v>#REF!</v>
      </c>
      <c r="E338" t="e">
        <f>#REF!</f>
        <v>#REF!</v>
      </c>
      <c r="G338" t="e">
        <f t="shared" si="26"/>
        <v>#REF!</v>
      </c>
      <c r="H338" t="e">
        <f t="shared" si="27"/>
        <v>#REF!</v>
      </c>
      <c r="I338" s="141" t="e">
        <f t="shared" si="28"/>
        <v>#REF!</v>
      </c>
      <c r="J338" t="e">
        <f t="shared" si="29"/>
        <v>#REF!</v>
      </c>
      <c r="K338" s="141" t="e">
        <f t="shared" si="30"/>
        <v>#REF!</v>
      </c>
    </row>
    <row r="339" spans="1:11" hidden="1" x14ac:dyDescent="0.25">
      <c r="A339" t="e">
        <f>#REF!</f>
        <v>#REF!</v>
      </c>
      <c r="B339" t="e">
        <f>#REF!</f>
        <v>#REF!</v>
      </c>
      <c r="C339" t="e">
        <f>#REF!</f>
        <v>#REF!</v>
      </c>
      <c r="D339" t="e">
        <f>#REF!</f>
        <v>#REF!</v>
      </c>
      <c r="E339" t="e">
        <f>#REF!</f>
        <v>#REF!</v>
      </c>
      <c r="G339" t="e">
        <f t="shared" si="26"/>
        <v>#REF!</v>
      </c>
      <c r="H339" t="e">
        <f t="shared" si="27"/>
        <v>#REF!</v>
      </c>
      <c r="I339" s="141" t="e">
        <f t="shared" si="28"/>
        <v>#REF!</v>
      </c>
      <c r="J339" t="e">
        <f t="shared" si="29"/>
        <v>#REF!</v>
      </c>
      <c r="K339" s="141" t="e">
        <f t="shared" si="30"/>
        <v>#REF!</v>
      </c>
    </row>
    <row r="340" spans="1:11" hidden="1" x14ac:dyDescent="0.25">
      <c r="A340" t="e">
        <f>#REF!</f>
        <v>#REF!</v>
      </c>
      <c r="B340" t="e">
        <f>#REF!</f>
        <v>#REF!</v>
      </c>
      <c r="C340" t="e">
        <f>#REF!</f>
        <v>#REF!</v>
      </c>
      <c r="D340" t="e">
        <f>#REF!</f>
        <v>#REF!</v>
      </c>
      <c r="E340" t="e">
        <f>#REF!</f>
        <v>#REF!</v>
      </c>
      <c r="G340" t="e">
        <f t="shared" si="26"/>
        <v>#REF!</v>
      </c>
      <c r="H340" t="e">
        <f t="shared" si="27"/>
        <v>#REF!</v>
      </c>
      <c r="I340" s="141" t="e">
        <f t="shared" si="28"/>
        <v>#REF!</v>
      </c>
      <c r="J340" t="e">
        <f t="shared" si="29"/>
        <v>#REF!</v>
      </c>
      <c r="K340" s="141" t="e">
        <f t="shared" si="30"/>
        <v>#REF!</v>
      </c>
    </row>
    <row r="341" spans="1:11" hidden="1" x14ac:dyDescent="0.25">
      <c r="A341" t="e">
        <f>#REF!</f>
        <v>#REF!</v>
      </c>
      <c r="B341" t="e">
        <f>#REF!</f>
        <v>#REF!</v>
      </c>
      <c r="C341" t="e">
        <f>#REF!</f>
        <v>#REF!</v>
      </c>
      <c r="D341" t="e">
        <f>#REF!</f>
        <v>#REF!</v>
      </c>
      <c r="E341" t="e">
        <f>#REF!</f>
        <v>#REF!</v>
      </c>
      <c r="G341" t="e">
        <f t="shared" si="26"/>
        <v>#REF!</v>
      </c>
      <c r="H341" t="e">
        <f t="shared" si="27"/>
        <v>#REF!</v>
      </c>
      <c r="I341" s="141" t="e">
        <f t="shared" si="28"/>
        <v>#REF!</v>
      </c>
      <c r="J341" t="e">
        <f t="shared" si="29"/>
        <v>#REF!</v>
      </c>
      <c r="K341" s="141" t="e">
        <f t="shared" si="30"/>
        <v>#REF!</v>
      </c>
    </row>
    <row r="342" spans="1:11" hidden="1" x14ac:dyDescent="0.25">
      <c r="A342" t="e">
        <f>#REF!</f>
        <v>#REF!</v>
      </c>
      <c r="B342" t="e">
        <f>#REF!</f>
        <v>#REF!</v>
      </c>
      <c r="C342" t="e">
        <f>#REF!</f>
        <v>#REF!</v>
      </c>
      <c r="D342" t="e">
        <f>#REF!</f>
        <v>#REF!</v>
      </c>
      <c r="E342" t="e">
        <f>#REF!</f>
        <v>#REF!</v>
      </c>
      <c r="G342" t="e">
        <f t="shared" si="26"/>
        <v>#REF!</v>
      </c>
      <c r="H342" t="e">
        <f t="shared" si="27"/>
        <v>#REF!</v>
      </c>
      <c r="I342" s="141" t="e">
        <f t="shared" si="28"/>
        <v>#REF!</v>
      </c>
      <c r="J342" t="e">
        <f t="shared" si="29"/>
        <v>#REF!</v>
      </c>
      <c r="K342" s="141" t="e">
        <f t="shared" si="30"/>
        <v>#REF!</v>
      </c>
    </row>
    <row r="343" spans="1:11" hidden="1" x14ac:dyDescent="0.25">
      <c r="A343" t="e">
        <f>#REF!</f>
        <v>#REF!</v>
      </c>
      <c r="B343" t="e">
        <f>#REF!</f>
        <v>#REF!</v>
      </c>
      <c r="C343" t="e">
        <f>#REF!</f>
        <v>#REF!</v>
      </c>
      <c r="D343" t="e">
        <f>#REF!</f>
        <v>#REF!</v>
      </c>
      <c r="E343" t="e">
        <f>#REF!</f>
        <v>#REF!</v>
      </c>
      <c r="G343" t="e">
        <f t="shared" si="26"/>
        <v>#REF!</v>
      </c>
      <c r="H343" t="e">
        <f t="shared" si="27"/>
        <v>#REF!</v>
      </c>
      <c r="I343" s="141" t="e">
        <f t="shared" si="28"/>
        <v>#REF!</v>
      </c>
      <c r="J343" t="e">
        <f t="shared" si="29"/>
        <v>#REF!</v>
      </c>
      <c r="K343" s="141" t="e">
        <f t="shared" si="30"/>
        <v>#REF!</v>
      </c>
    </row>
    <row r="344" spans="1:11" hidden="1" x14ac:dyDescent="0.25">
      <c r="A344" t="e">
        <f>#REF!</f>
        <v>#REF!</v>
      </c>
      <c r="B344" t="e">
        <f>#REF!</f>
        <v>#REF!</v>
      </c>
      <c r="C344" t="e">
        <f>#REF!</f>
        <v>#REF!</v>
      </c>
      <c r="D344" t="e">
        <f>#REF!</f>
        <v>#REF!</v>
      </c>
      <c r="E344" t="e">
        <f>#REF!</f>
        <v>#REF!</v>
      </c>
      <c r="G344" t="e">
        <f t="shared" si="26"/>
        <v>#REF!</v>
      </c>
      <c r="H344" t="e">
        <f t="shared" si="27"/>
        <v>#REF!</v>
      </c>
      <c r="I344" s="141" t="e">
        <f t="shared" si="28"/>
        <v>#REF!</v>
      </c>
      <c r="J344" t="e">
        <f t="shared" si="29"/>
        <v>#REF!</v>
      </c>
      <c r="K344" s="141" t="e">
        <f t="shared" si="30"/>
        <v>#REF!</v>
      </c>
    </row>
    <row r="345" spans="1:11" hidden="1" x14ac:dyDescent="0.25">
      <c r="A345" t="e">
        <f>#REF!</f>
        <v>#REF!</v>
      </c>
      <c r="B345" t="e">
        <f>#REF!</f>
        <v>#REF!</v>
      </c>
      <c r="C345" t="e">
        <f>#REF!</f>
        <v>#REF!</v>
      </c>
      <c r="D345" t="e">
        <f>#REF!</f>
        <v>#REF!</v>
      </c>
      <c r="E345" t="e">
        <f>#REF!</f>
        <v>#REF!</v>
      </c>
      <c r="G345" t="e">
        <f t="shared" si="26"/>
        <v>#REF!</v>
      </c>
      <c r="H345" t="e">
        <f t="shared" si="27"/>
        <v>#REF!</v>
      </c>
      <c r="I345" s="141" t="e">
        <f t="shared" si="28"/>
        <v>#REF!</v>
      </c>
      <c r="J345" t="e">
        <f t="shared" si="29"/>
        <v>#REF!</v>
      </c>
      <c r="K345" s="141" t="e">
        <f t="shared" si="30"/>
        <v>#REF!</v>
      </c>
    </row>
    <row r="346" spans="1:11" hidden="1" x14ac:dyDescent="0.25">
      <c r="A346" t="e">
        <f>#REF!</f>
        <v>#REF!</v>
      </c>
      <c r="B346" t="e">
        <f>#REF!</f>
        <v>#REF!</v>
      </c>
      <c r="C346" t="e">
        <f>#REF!</f>
        <v>#REF!</v>
      </c>
      <c r="D346" t="e">
        <f>#REF!</f>
        <v>#REF!</v>
      </c>
      <c r="E346" t="e">
        <f>#REF!</f>
        <v>#REF!</v>
      </c>
      <c r="G346" t="e">
        <f t="shared" si="26"/>
        <v>#REF!</v>
      </c>
      <c r="H346" t="e">
        <f t="shared" si="27"/>
        <v>#REF!</v>
      </c>
      <c r="I346" s="141" t="e">
        <f t="shared" si="28"/>
        <v>#REF!</v>
      </c>
      <c r="J346" t="e">
        <f t="shared" si="29"/>
        <v>#REF!</v>
      </c>
      <c r="K346" s="141" t="e">
        <f t="shared" si="30"/>
        <v>#REF!</v>
      </c>
    </row>
    <row r="347" spans="1:11" hidden="1" x14ac:dyDescent="0.25">
      <c r="A347" t="e">
        <f>#REF!</f>
        <v>#REF!</v>
      </c>
      <c r="B347" t="e">
        <f>#REF!</f>
        <v>#REF!</v>
      </c>
      <c r="C347" t="e">
        <f>#REF!</f>
        <v>#REF!</v>
      </c>
      <c r="D347" t="e">
        <f>#REF!</f>
        <v>#REF!</v>
      </c>
      <c r="E347" t="e">
        <f>#REF!</f>
        <v>#REF!</v>
      </c>
      <c r="G347" t="e">
        <f t="shared" si="26"/>
        <v>#REF!</v>
      </c>
      <c r="H347" t="e">
        <f t="shared" si="27"/>
        <v>#REF!</v>
      </c>
      <c r="I347" s="141" t="e">
        <f t="shared" si="28"/>
        <v>#REF!</v>
      </c>
      <c r="J347" t="e">
        <f t="shared" si="29"/>
        <v>#REF!</v>
      </c>
      <c r="K347" s="141" t="e">
        <f t="shared" si="30"/>
        <v>#REF!</v>
      </c>
    </row>
    <row r="348" spans="1:11" hidden="1" x14ac:dyDescent="0.25">
      <c r="A348" t="e">
        <f>#REF!</f>
        <v>#REF!</v>
      </c>
      <c r="B348" t="e">
        <f>#REF!</f>
        <v>#REF!</v>
      </c>
      <c r="C348" t="e">
        <f>#REF!</f>
        <v>#REF!</v>
      </c>
      <c r="D348" t="e">
        <f>#REF!</f>
        <v>#REF!</v>
      </c>
      <c r="E348" t="e">
        <f>#REF!</f>
        <v>#REF!</v>
      </c>
      <c r="G348" t="e">
        <f t="shared" si="26"/>
        <v>#REF!</v>
      </c>
      <c r="H348" t="e">
        <f t="shared" si="27"/>
        <v>#REF!</v>
      </c>
      <c r="I348" s="141" t="e">
        <f t="shared" si="28"/>
        <v>#REF!</v>
      </c>
      <c r="J348" t="e">
        <f t="shared" si="29"/>
        <v>#REF!</v>
      </c>
      <c r="K348" s="141" t="e">
        <f t="shared" si="30"/>
        <v>#REF!</v>
      </c>
    </row>
    <row r="349" spans="1:11" hidden="1" x14ac:dyDescent="0.25">
      <c r="A349" t="e">
        <f>#REF!</f>
        <v>#REF!</v>
      </c>
      <c r="B349" t="e">
        <f>#REF!</f>
        <v>#REF!</v>
      </c>
      <c r="C349" t="e">
        <f>#REF!</f>
        <v>#REF!</v>
      </c>
      <c r="D349" t="e">
        <f>#REF!</f>
        <v>#REF!</v>
      </c>
      <c r="E349" t="e">
        <f>#REF!</f>
        <v>#REF!</v>
      </c>
      <c r="G349" t="e">
        <f t="shared" si="26"/>
        <v>#REF!</v>
      </c>
      <c r="H349" t="e">
        <f t="shared" si="27"/>
        <v>#REF!</v>
      </c>
      <c r="I349" s="141" t="e">
        <f t="shared" si="28"/>
        <v>#REF!</v>
      </c>
      <c r="J349" t="e">
        <f t="shared" si="29"/>
        <v>#REF!</v>
      </c>
      <c r="K349" s="141" t="e">
        <f t="shared" si="30"/>
        <v>#REF!</v>
      </c>
    </row>
    <row r="350" spans="1:11" hidden="1" x14ac:dyDescent="0.25">
      <c r="A350" t="e">
        <f>#REF!</f>
        <v>#REF!</v>
      </c>
      <c r="B350" t="e">
        <f>#REF!</f>
        <v>#REF!</v>
      </c>
      <c r="C350" t="e">
        <f>#REF!</f>
        <v>#REF!</v>
      </c>
      <c r="D350" t="e">
        <f>#REF!</f>
        <v>#REF!</v>
      </c>
      <c r="E350" t="e">
        <f>#REF!</f>
        <v>#REF!</v>
      </c>
      <c r="G350" t="e">
        <f t="shared" si="26"/>
        <v>#REF!</v>
      </c>
      <c r="H350" t="e">
        <f t="shared" si="27"/>
        <v>#REF!</v>
      </c>
      <c r="I350" s="141" t="e">
        <f t="shared" si="28"/>
        <v>#REF!</v>
      </c>
      <c r="J350" t="e">
        <f t="shared" si="29"/>
        <v>#REF!</v>
      </c>
      <c r="K350" s="141" t="e">
        <f t="shared" si="30"/>
        <v>#REF!</v>
      </c>
    </row>
    <row r="351" spans="1:11" hidden="1" x14ac:dyDescent="0.25">
      <c r="A351" t="e">
        <f>#REF!</f>
        <v>#REF!</v>
      </c>
      <c r="B351" t="e">
        <f>#REF!</f>
        <v>#REF!</v>
      </c>
      <c r="C351" t="e">
        <f>#REF!</f>
        <v>#REF!</v>
      </c>
      <c r="D351" t="e">
        <f>#REF!</f>
        <v>#REF!</v>
      </c>
      <c r="E351" t="e">
        <f>#REF!</f>
        <v>#REF!</v>
      </c>
      <c r="G351" t="e">
        <f t="shared" si="26"/>
        <v>#REF!</v>
      </c>
      <c r="H351" t="e">
        <f t="shared" si="27"/>
        <v>#REF!</v>
      </c>
      <c r="I351" s="141" t="e">
        <f t="shared" si="28"/>
        <v>#REF!</v>
      </c>
      <c r="J351" t="e">
        <f t="shared" si="29"/>
        <v>#REF!</v>
      </c>
      <c r="K351" s="141" t="e">
        <f t="shared" si="30"/>
        <v>#REF!</v>
      </c>
    </row>
    <row r="352" spans="1:11" hidden="1" x14ac:dyDescent="0.25">
      <c r="A352" t="e">
        <f>#REF!</f>
        <v>#REF!</v>
      </c>
      <c r="B352" t="e">
        <f>#REF!</f>
        <v>#REF!</v>
      </c>
      <c r="C352" t="e">
        <f>#REF!</f>
        <v>#REF!</v>
      </c>
      <c r="D352" t="e">
        <f>#REF!</f>
        <v>#REF!</v>
      </c>
      <c r="E352" t="e">
        <f>#REF!</f>
        <v>#REF!</v>
      </c>
      <c r="G352" t="e">
        <f t="shared" si="26"/>
        <v>#REF!</v>
      </c>
      <c r="H352" t="e">
        <f t="shared" si="27"/>
        <v>#REF!</v>
      </c>
      <c r="I352" s="141" t="e">
        <f t="shared" si="28"/>
        <v>#REF!</v>
      </c>
      <c r="J352" t="e">
        <f t="shared" si="29"/>
        <v>#REF!</v>
      </c>
      <c r="K352" s="141" t="e">
        <f t="shared" si="30"/>
        <v>#REF!</v>
      </c>
    </row>
    <row r="353" spans="1:11" hidden="1" x14ac:dyDescent="0.25">
      <c r="A353" t="e">
        <f>#REF!</f>
        <v>#REF!</v>
      </c>
      <c r="B353" t="e">
        <f>#REF!</f>
        <v>#REF!</v>
      </c>
      <c r="C353" t="e">
        <f>#REF!</f>
        <v>#REF!</v>
      </c>
      <c r="D353" t="e">
        <f>#REF!</f>
        <v>#REF!</v>
      </c>
      <c r="E353" t="e">
        <f>#REF!</f>
        <v>#REF!</v>
      </c>
      <c r="G353" t="e">
        <f t="shared" si="26"/>
        <v>#REF!</v>
      </c>
      <c r="H353" t="e">
        <f t="shared" si="27"/>
        <v>#REF!</v>
      </c>
      <c r="I353" s="141" t="e">
        <f t="shared" si="28"/>
        <v>#REF!</v>
      </c>
      <c r="J353" t="e">
        <f t="shared" si="29"/>
        <v>#REF!</v>
      </c>
      <c r="K353" s="141" t="e">
        <f t="shared" si="30"/>
        <v>#REF!</v>
      </c>
    </row>
    <row r="354" spans="1:11" hidden="1" x14ac:dyDescent="0.25">
      <c r="A354" t="e">
        <f>#REF!</f>
        <v>#REF!</v>
      </c>
      <c r="B354" t="e">
        <f>#REF!</f>
        <v>#REF!</v>
      </c>
      <c r="C354" t="e">
        <f>#REF!</f>
        <v>#REF!</v>
      </c>
      <c r="D354" t="e">
        <f>#REF!</f>
        <v>#REF!</v>
      </c>
      <c r="E354" t="e">
        <f>#REF!</f>
        <v>#REF!</v>
      </c>
      <c r="G354" t="e">
        <f t="shared" si="26"/>
        <v>#REF!</v>
      </c>
      <c r="H354" t="e">
        <f t="shared" si="27"/>
        <v>#REF!</v>
      </c>
      <c r="I354" s="141" t="e">
        <f t="shared" si="28"/>
        <v>#REF!</v>
      </c>
      <c r="J354" t="e">
        <f t="shared" si="29"/>
        <v>#REF!</v>
      </c>
      <c r="K354" s="141" t="e">
        <f t="shared" si="30"/>
        <v>#REF!</v>
      </c>
    </row>
    <row r="355" spans="1:11" hidden="1" x14ac:dyDescent="0.25">
      <c r="A355" t="e">
        <f>#REF!</f>
        <v>#REF!</v>
      </c>
      <c r="B355" t="e">
        <f>#REF!</f>
        <v>#REF!</v>
      </c>
      <c r="C355" t="e">
        <f>#REF!</f>
        <v>#REF!</v>
      </c>
      <c r="D355" t="e">
        <f>#REF!</f>
        <v>#REF!</v>
      </c>
      <c r="E355" t="e">
        <f>#REF!</f>
        <v>#REF!</v>
      </c>
      <c r="G355" t="e">
        <f t="shared" si="26"/>
        <v>#REF!</v>
      </c>
      <c r="H355" t="e">
        <f t="shared" si="27"/>
        <v>#REF!</v>
      </c>
      <c r="I355" s="141" t="e">
        <f t="shared" si="28"/>
        <v>#REF!</v>
      </c>
      <c r="J355" t="e">
        <f t="shared" si="29"/>
        <v>#REF!</v>
      </c>
      <c r="K355" s="141" t="e">
        <f t="shared" si="30"/>
        <v>#REF!</v>
      </c>
    </row>
    <row r="356" spans="1:11" hidden="1" x14ac:dyDescent="0.25">
      <c r="A356" t="e">
        <f>#REF!</f>
        <v>#REF!</v>
      </c>
      <c r="B356" t="e">
        <f>#REF!</f>
        <v>#REF!</v>
      </c>
      <c r="C356" t="e">
        <f>#REF!</f>
        <v>#REF!</v>
      </c>
      <c r="D356" t="e">
        <f>#REF!</f>
        <v>#REF!</v>
      </c>
      <c r="E356" t="e">
        <f>#REF!</f>
        <v>#REF!</v>
      </c>
      <c r="G356" t="e">
        <f t="shared" si="26"/>
        <v>#REF!</v>
      </c>
      <c r="H356" t="e">
        <f t="shared" si="27"/>
        <v>#REF!</v>
      </c>
      <c r="I356" s="141" t="e">
        <f t="shared" si="28"/>
        <v>#REF!</v>
      </c>
      <c r="J356" t="e">
        <f t="shared" si="29"/>
        <v>#REF!</v>
      </c>
      <c r="K356" s="141" t="e">
        <f t="shared" si="30"/>
        <v>#REF!</v>
      </c>
    </row>
    <row r="357" spans="1:11" hidden="1" x14ac:dyDescent="0.25">
      <c r="A357" t="e">
        <f>#REF!</f>
        <v>#REF!</v>
      </c>
      <c r="B357" t="e">
        <f>#REF!</f>
        <v>#REF!</v>
      </c>
      <c r="C357" t="e">
        <f>#REF!</f>
        <v>#REF!</v>
      </c>
      <c r="D357" t="e">
        <f>#REF!</f>
        <v>#REF!</v>
      </c>
      <c r="E357" t="e">
        <f>#REF!</f>
        <v>#REF!</v>
      </c>
      <c r="G357" t="e">
        <f t="shared" si="26"/>
        <v>#REF!</v>
      </c>
      <c r="H357" t="e">
        <f t="shared" si="27"/>
        <v>#REF!</v>
      </c>
      <c r="I357" s="141" t="e">
        <f t="shared" si="28"/>
        <v>#REF!</v>
      </c>
      <c r="J357" t="e">
        <f t="shared" si="29"/>
        <v>#REF!</v>
      </c>
      <c r="K357" s="141" t="e">
        <f t="shared" si="30"/>
        <v>#REF!</v>
      </c>
    </row>
    <row r="358" spans="1:11" hidden="1" x14ac:dyDescent="0.25">
      <c r="A358" t="e">
        <f>#REF!</f>
        <v>#REF!</v>
      </c>
      <c r="B358" t="e">
        <f>#REF!</f>
        <v>#REF!</v>
      </c>
      <c r="C358" t="e">
        <f>#REF!</f>
        <v>#REF!</v>
      </c>
      <c r="D358" t="e">
        <f>#REF!</f>
        <v>#REF!</v>
      </c>
      <c r="E358" t="e">
        <f>#REF!</f>
        <v>#REF!</v>
      </c>
      <c r="G358" t="e">
        <f t="shared" si="26"/>
        <v>#REF!</v>
      </c>
      <c r="H358" t="e">
        <f t="shared" si="27"/>
        <v>#REF!</v>
      </c>
      <c r="I358" s="141" t="e">
        <f t="shared" si="28"/>
        <v>#REF!</v>
      </c>
      <c r="J358" t="e">
        <f t="shared" si="29"/>
        <v>#REF!</v>
      </c>
      <c r="K358" s="141" t="e">
        <f t="shared" si="30"/>
        <v>#REF!</v>
      </c>
    </row>
    <row r="359" spans="1:11" hidden="1" x14ac:dyDescent="0.25">
      <c r="A359" t="e">
        <f>#REF!</f>
        <v>#REF!</v>
      </c>
      <c r="B359" t="e">
        <f>#REF!</f>
        <v>#REF!</v>
      </c>
      <c r="C359" t="e">
        <f>#REF!</f>
        <v>#REF!</v>
      </c>
      <c r="D359" t="e">
        <f>#REF!</f>
        <v>#REF!</v>
      </c>
      <c r="E359" t="e">
        <f>#REF!</f>
        <v>#REF!</v>
      </c>
      <c r="G359" t="e">
        <f t="shared" si="26"/>
        <v>#REF!</v>
      </c>
      <c r="H359" t="e">
        <f t="shared" si="27"/>
        <v>#REF!</v>
      </c>
      <c r="I359" s="141" t="e">
        <f t="shared" si="28"/>
        <v>#REF!</v>
      </c>
      <c r="J359" t="e">
        <f t="shared" si="29"/>
        <v>#REF!</v>
      </c>
      <c r="K359" s="141" t="e">
        <f t="shared" si="30"/>
        <v>#REF!</v>
      </c>
    </row>
    <row r="360" spans="1:11" hidden="1" x14ac:dyDescent="0.25">
      <c r="A360" t="e">
        <f>#REF!</f>
        <v>#REF!</v>
      </c>
      <c r="B360" t="e">
        <f>#REF!</f>
        <v>#REF!</v>
      </c>
      <c r="C360" t="e">
        <f>#REF!</f>
        <v>#REF!</v>
      </c>
      <c r="D360" t="e">
        <f>#REF!</f>
        <v>#REF!</v>
      </c>
      <c r="E360" t="e">
        <f>#REF!</f>
        <v>#REF!</v>
      </c>
      <c r="G360" t="e">
        <f t="shared" si="26"/>
        <v>#REF!</v>
      </c>
      <c r="H360" t="e">
        <f t="shared" si="27"/>
        <v>#REF!</v>
      </c>
      <c r="I360" s="141" t="e">
        <f t="shared" si="28"/>
        <v>#REF!</v>
      </c>
      <c r="J360" t="e">
        <f t="shared" si="29"/>
        <v>#REF!</v>
      </c>
      <c r="K360" s="141" t="e">
        <f t="shared" si="30"/>
        <v>#REF!</v>
      </c>
    </row>
    <row r="361" spans="1:11" hidden="1" x14ac:dyDescent="0.25">
      <c r="A361" t="e">
        <f>#REF!</f>
        <v>#REF!</v>
      </c>
      <c r="B361" t="e">
        <f>#REF!</f>
        <v>#REF!</v>
      </c>
      <c r="C361" t="e">
        <f>#REF!</f>
        <v>#REF!</v>
      </c>
      <c r="D361" t="e">
        <f>#REF!</f>
        <v>#REF!</v>
      </c>
      <c r="E361" t="e">
        <f>#REF!</f>
        <v>#REF!</v>
      </c>
      <c r="G361" t="e">
        <f t="shared" si="26"/>
        <v>#REF!</v>
      </c>
      <c r="H361" t="e">
        <f t="shared" si="27"/>
        <v>#REF!</v>
      </c>
      <c r="I361" s="141" t="e">
        <f t="shared" si="28"/>
        <v>#REF!</v>
      </c>
      <c r="J361" t="e">
        <f t="shared" si="29"/>
        <v>#REF!</v>
      </c>
      <c r="K361" s="141" t="e">
        <f t="shared" si="30"/>
        <v>#REF!</v>
      </c>
    </row>
    <row r="362" spans="1:11" hidden="1" x14ac:dyDescent="0.25">
      <c r="A362" t="e">
        <f>#REF!</f>
        <v>#REF!</v>
      </c>
      <c r="B362" t="e">
        <f>#REF!</f>
        <v>#REF!</v>
      </c>
      <c r="C362" t="e">
        <f>#REF!</f>
        <v>#REF!</v>
      </c>
      <c r="D362" t="e">
        <f>#REF!</f>
        <v>#REF!</v>
      </c>
      <c r="E362" t="e">
        <f>#REF!</f>
        <v>#REF!</v>
      </c>
      <c r="G362" t="e">
        <f t="shared" si="26"/>
        <v>#REF!</v>
      </c>
      <c r="H362" t="e">
        <f t="shared" si="27"/>
        <v>#REF!</v>
      </c>
      <c r="I362" s="141" t="e">
        <f t="shared" si="28"/>
        <v>#REF!</v>
      </c>
      <c r="J362" t="e">
        <f t="shared" si="29"/>
        <v>#REF!</v>
      </c>
      <c r="K362" s="141" t="e">
        <f t="shared" si="30"/>
        <v>#REF!</v>
      </c>
    </row>
    <row r="363" spans="1:11" hidden="1" x14ac:dyDescent="0.25">
      <c r="A363" t="e">
        <f>#REF!</f>
        <v>#REF!</v>
      </c>
      <c r="B363" t="e">
        <f>#REF!</f>
        <v>#REF!</v>
      </c>
      <c r="C363" t="e">
        <f>#REF!</f>
        <v>#REF!</v>
      </c>
      <c r="D363" t="e">
        <f>#REF!</f>
        <v>#REF!</v>
      </c>
      <c r="E363" t="e">
        <f>#REF!</f>
        <v>#REF!</v>
      </c>
      <c r="G363" t="e">
        <f t="shared" si="26"/>
        <v>#REF!</v>
      </c>
      <c r="H363" t="e">
        <f t="shared" si="27"/>
        <v>#REF!</v>
      </c>
      <c r="I363" s="141" t="e">
        <f t="shared" si="28"/>
        <v>#REF!</v>
      </c>
      <c r="J363" t="e">
        <f t="shared" si="29"/>
        <v>#REF!</v>
      </c>
      <c r="K363" s="141" t="e">
        <f t="shared" si="30"/>
        <v>#REF!</v>
      </c>
    </row>
    <row r="364" spans="1:11" hidden="1" x14ac:dyDescent="0.25">
      <c r="A364" t="e">
        <f>#REF!</f>
        <v>#REF!</v>
      </c>
      <c r="B364" t="e">
        <f>#REF!</f>
        <v>#REF!</v>
      </c>
      <c r="C364" t="e">
        <f>#REF!</f>
        <v>#REF!</v>
      </c>
      <c r="D364" t="e">
        <f>#REF!</f>
        <v>#REF!</v>
      </c>
      <c r="E364" t="e">
        <f>#REF!</f>
        <v>#REF!</v>
      </c>
      <c r="G364" t="e">
        <f t="shared" si="26"/>
        <v>#REF!</v>
      </c>
      <c r="H364" t="e">
        <f t="shared" si="27"/>
        <v>#REF!</v>
      </c>
      <c r="I364" s="141" t="e">
        <f t="shared" si="28"/>
        <v>#REF!</v>
      </c>
      <c r="J364" t="e">
        <f t="shared" si="29"/>
        <v>#REF!</v>
      </c>
      <c r="K364" s="141" t="e">
        <f t="shared" si="30"/>
        <v>#REF!</v>
      </c>
    </row>
    <row r="365" spans="1:11" hidden="1" x14ac:dyDescent="0.25">
      <c r="A365" t="e">
        <f>#REF!</f>
        <v>#REF!</v>
      </c>
      <c r="B365" t="e">
        <f>#REF!</f>
        <v>#REF!</v>
      </c>
      <c r="C365" t="e">
        <f>#REF!</f>
        <v>#REF!</v>
      </c>
      <c r="D365" t="e">
        <f>#REF!</f>
        <v>#REF!</v>
      </c>
      <c r="E365" t="e">
        <f>#REF!</f>
        <v>#REF!</v>
      </c>
      <c r="G365" t="e">
        <f t="shared" si="26"/>
        <v>#REF!</v>
      </c>
      <c r="H365" t="e">
        <f t="shared" si="27"/>
        <v>#REF!</v>
      </c>
      <c r="I365" s="141" t="e">
        <f t="shared" si="28"/>
        <v>#REF!</v>
      </c>
      <c r="J365" t="e">
        <f t="shared" si="29"/>
        <v>#REF!</v>
      </c>
      <c r="K365" s="141" t="e">
        <f t="shared" si="30"/>
        <v>#REF!</v>
      </c>
    </row>
    <row r="366" spans="1:11" hidden="1" x14ac:dyDescent="0.25">
      <c r="A366" t="e">
        <f>#REF!</f>
        <v>#REF!</v>
      </c>
      <c r="B366" t="e">
        <f>#REF!</f>
        <v>#REF!</v>
      </c>
      <c r="C366" t="e">
        <f>#REF!</f>
        <v>#REF!</v>
      </c>
      <c r="D366" t="e">
        <f>#REF!</f>
        <v>#REF!</v>
      </c>
      <c r="E366" t="e">
        <f>#REF!</f>
        <v>#REF!</v>
      </c>
      <c r="G366" t="e">
        <f t="shared" si="26"/>
        <v>#REF!</v>
      </c>
      <c r="H366" t="e">
        <f t="shared" si="27"/>
        <v>#REF!</v>
      </c>
      <c r="I366" s="141" t="e">
        <f t="shared" si="28"/>
        <v>#REF!</v>
      </c>
      <c r="J366" t="e">
        <f t="shared" si="29"/>
        <v>#REF!</v>
      </c>
      <c r="K366" s="141" t="e">
        <f t="shared" si="30"/>
        <v>#REF!</v>
      </c>
    </row>
    <row r="367" spans="1:11" hidden="1" x14ac:dyDescent="0.25">
      <c r="A367" t="e">
        <f>#REF!</f>
        <v>#REF!</v>
      </c>
      <c r="B367" t="e">
        <f>#REF!</f>
        <v>#REF!</v>
      </c>
      <c r="C367" t="e">
        <f>#REF!</f>
        <v>#REF!</v>
      </c>
      <c r="D367" t="e">
        <f>#REF!</f>
        <v>#REF!</v>
      </c>
      <c r="E367" t="e">
        <f>#REF!</f>
        <v>#REF!</v>
      </c>
      <c r="G367" t="e">
        <f t="shared" si="26"/>
        <v>#REF!</v>
      </c>
      <c r="H367" t="e">
        <f t="shared" si="27"/>
        <v>#REF!</v>
      </c>
      <c r="I367" s="141" t="e">
        <f t="shared" si="28"/>
        <v>#REF!</v>
      </c>
      <c r="J367" t="e">
        <f t="shared" si="29"/>
        <v>#REF!</v>
      </c>
      <c r="K367" s="141" t="e">
        <f t="shared" si="30"/>
        <v>#REF!</v>
      </c>
    </row>
    <row r="368" spans="1:11" hidden="1" x14ac:dyDescent="0.25">
      <c r="A368" t="e">
        <f>#REF!</f>
        <v>#REF!</v>
      </c>
      <c r="B368" t="e">
        <f>#REF!</f>
        <v>#REF!</v>
      </c>
      <c r="C368" t="e">
        <f>#REF!</f>
        <v>#REF!</v>
      </c>
      <c r="D368" t="e">
        <f>#REF!</f>
        <v>#REF!</v>
      </c>
      <c r="E368" t="e">
        <f>#REF!</f>
        <v>#REF!</v>
      </c>
      <c r="G368" t="e">
        <f t="shared" si="26"/>
        <v>#REF!</v>
      </c>
      <c r="H368" t="e">
        <f t="shared" si="27"/>
        <v>#REF!</v>
      </c>
      <c r="I368" s="141" t="e">
        <f t="shared" si="28"/>
        <v>#REF!</v>
      </c>
      <c r="J368" t="e">
        <f t="shared" si="29"/>
        <v>#REF!</v>
      </c>
      <c r="K368" s="141" t="e">
        <f t="shared" si="30"/>
        <v>#REF!</v>
      </c>
    </row>
    <row r="369" spans="1:11" hidden="1" x14ac:dyDescent="0.25">
      <c r="A369" t="e">
        <f>#REF!</f>
        <v>#REF!</v>
      </c>
      <c r="B369" t="e">
        <f>#REF!</f>
        <v>#REF!</v>
      </c>
      <c r="C369" t="e">
        <f>#REF!</f>
        <v>#REF!</v>
      </c>
      <c r="D369" t="e">
        <f>#REF!</f>
        <v>#REF!</v>
      </c>
      <c r="E369" t="e">
        <f>#REF!</f>
        <v>#REF!</v>
      </c>
      <c r="G369" t="e">
        <f t="shared" si="26"/>
        <v>#REF!</v>
      </c>
      <c r="H369" t="e">
        <f t="shared" si="27"/>
        <v>#REF!</v>
      </c>
      <c r="I369" s="141" t="e">
        <f t="shared" si="28"/>
        <v>#REF!</v>
      </c>
      <c r="J369" t="e">
        <f t="shared" si="29"/>
        <v>#REF!</v>
      </c>
      <c r="K369" s="141" t="e">
        <f t="shared" si="30"/>
        <v>#REF!</v>
      </c>
    </row>
    <row r="370" spans="1:11" hidden="1" x14ac:dyDescent="0.25">
      <c r="A370" t="e">
        <f>#REF!</f>
        <v>#REF!</v>
      </c>
      <c r="B370" t="e">
        <f>#REF!</f>
        <v>#REF!</v>
      </c>
      <c r="C370" t="e">
        <f>#REF!</f>
        <v>#REF!</v>
      </c>
      <c r="D370" t="e">
        <f>#REF!</f>
        <v>#REF!</v>
      </c>
      <c r="E370" t="e">
        <f>#REF!</f>
        <v>#REF!</v>
      </c>
      <c r="G370" t="e">
        <f t="shared" si="26"/>
        <v>#REF!</v>
      </c>
      <c r="H370" t="e">
        <f t="shared" si="27"/>
        <v>#REF!</v>
      </c>
      <c r="I370" s="141" t="e">
        <f t="shared" si="28"/>
        <v>#REF!</v>
      </c>
      <c r="J370" t="e">
        <f t="shared" si="29"/>
        <v>#REF!</v>
      </c>
      <c r="K370" s="141" t="e">
        <f t="shared" si="30"/>
        <v>#REF!</v>
      </c>
    </row>
    <row r="371" spans="1:11" hidden="1" x14ac:dyDescent="0.25">
      <c r="A371" t="e">
        <f>#REF!</f>
        <v>#REF!</v>
      </c>
      <c r="B371" t="e">
        <f>#REF!</f>
        <v>#REF!</v>
      </c>
      <c r="C371" t="e">
        <f>#REF!</f>
        <v>#REF!</v>
      </c>
      <c r="D371" t="e">
        <f>#REF!</f>
        <v>#REF!</v>
      </c>
      <c r="E371" t="e">
        <f>#REF!</f>
        <v>#REF!</v>
      </c>
      <c r="G371" t="e">
        <f t="shared" si="26"/>
        <v>#REF!</v>
      </c>
      <c r="H371" t="e">
        <f t="shared" si="27"/>
        <v>#REF!</v>
      </c>
      <c r="I371" s="141" t="e">
        <f t="shared" si="28"/>
        <v>#REF!</v>
      </c>
      <c r="J371" t="e">
        <f t="shared" si="29"/>
        <v>#REF!</v>
      </c>
      <c r="K371" s="141" t="e">
        <f t="shared" si="30"/>
        <v>#REF!</v>
      </c>
    </row>
    <row r="372" spans="1:11" hidden="1" x14ac:dyDescent="0.25">
      <c r="A372" t="e">
        <f>#REF!</f>
        <v>#REF!</v>
      </c>
      <c r="B372" t="e">
        <f>#REF!</f>
        <v>#REF!</v>
      </c>
      <c r="C372" t="e">
        <f>#REF!</f>
        <v>#REF!</v>
      </c>
      <c r="D372" t="e">
        <f>#REF!</f>
        <v>#REF!</v>
      </c>
      <c r="E372" t="e">
        <f>#REF!</f>
        <v>#REF!</v>
      </c>
      <c r="G372" t="e">
        <f t="shared" si="26"/>
        <v>#REF!</v>
      </c>
      <c r="H372" t="e">
        <f t="shared" si="27"/>
        <v>#REF!</v>
      </c>
      <c r="I372" s="141" t="e">
        <f t="shared" si="28"/>
        <v>#REF!</v>
      </c>
      <c r="J372" t="e">
        <f t="shared" si="29"/>
        <v>#REF!</v>
      </c>
      <c r="K372" s="141" t="e">
        <f t="shared" si="30"/>
        <v>#REF!</v>
      </c>
    </row>
    <row r="373" spans="1:11" hidden="1" x14ac:dyDescent="0.25">
      <c r="A373" t="e">
        <f>#REF!</f>
        <v>#REF!</v>
      </c>
      <c r="B373" t="e">
        <f>#REF!</f>
        <v>#REF!</v>
      </c>
      <c r="C373" t="e">
        <f>#REF!</f>
        <v>#REF!</v>
      </c>
      <c r="D373" t="e">
        <f>#REF!</f>
        <v>#REF!</v>
      </c>
      <c r="E373" t="e">
        <f>#REF!</f>
        <v>#REF!</v>
      </c>
      <c r="G373" t="e">
        <f t="shared" si="26"/>
        <v>#REF!</v>
      </c>
      <c r="H373" t="e">
        <f t="shared" si="27"/>
        <v>#REF!</v>
      </c>
      <c r="I373" s="141" t="e">
        <f t="shared" si="28"/>
        <v>#REF!</v>
      </c>
      <c r="J373" t="e">
        <f t="shared" si="29"/>
        <v>#REF!</v>
      </c>
      <c r="K373" s="141" t="e">
        <f t="shared" si="30"/>
        <v>#REF!</v>
      </c>
    </row>
    <row r="374" spans="1:11" hidden="1" x14ac:dyDescent="0.25">
      <c r="A374" t="e">
        <f>#REF!</f>
        <v>#REF!</v>
      </c>
      <c r="B374" t="e">
        <f>#REF!</f>
        <v>#REF!</v>
      </c>
      <c r="C374" t="e">
        <f>#REF!</f>
        <v>#REF!</v>
      </c>
      <c r="D374" t="e">
        <f>#REF!</f>
        <v>#REF!</v>
      </c>
      <c r="E374" t="e">
        <f>#REF!</f>
        <v>#REF!</v>
      </c>
      <c r="G374" t="e">
        <f t="shared" si="26"/>
        <v>#REF!</v>
      </c>
      <c r="H374" t="e">
        <f t="shared" si="27"/>
        <v>#REF!</v>
      </c>
      <c r="I374" s="141" t="e">
        <f t="shared" si="28"/>
        <v>#REF!</v>
      </c>
      <c r="J374" t="e">
        <f t="shared" si="29"/>
        <v>#REF!</v>
      </c>
      <c r="K374" s="141" t="e">
        <f t="shared" si="30"/>
        <v>#REF!</v>
      </c>
    </row>
    <row r="375" spans="1:11" hidden="1" x14ac:dyDescent="0.25">
      <c r="A375" t="e">
        <f>#REF!</f>
        <v>#REF!</v>
      </c>
      <c r="B375" t="e">
        <f>#REF!</f>
        <v>#REF!</v>
      </c>
      <c r="C375" t="e">
        <f>#REF!</f>
        <v>#REF!</v>
      </c>
      <c r="D375" t="e">
        <f>#REF!</f>
        <v>#REF!</v>
      </c>
      <c r="E375" t="e">
        <f>#REF!</f>
        <v>#REF!</v>
      </c>
      <c r="G375" t="e">
        <f t="shared" si="26"/>
        <v>#REF!</v>
      </c>
      <c r="H375" t="e">
        <f t="shared" si="27"/>
        <v>#REF!</v>
      </c>
      <c r="I375" s="141" t="e">
        <f t="shared" si="28"/>
        <v>#REF!</v>
      </c>
      <c r="J375" t="e">
        <f t="shared" si="29"/>
        <v>#REF!</v>
      </c>
      <c r="K375" s="141" t="e">
        <f t="shared" si="30"/>
        <v>#REF!</v>
      </c>
    </row>
    <row r="376" spans="1:11" hidden="1" x14ac:dyDescent="0.25">
      <c r="A376" t="e">
        <f>#REF!</f>
        <v>#REF!</v>
      </c>
      <c r="B376" t="e">
        <f>#REF!</f>
        <v>#REF!</v>
      </c>
      <c r="C376" t="e">
        <f>#REF!</f>
        <v>#REF!</v>
      </c>
      <c r="D376" t="e">
        <f>#REF!</f>
        <v>#REF!</v>
      </c>
      <c r="E376" t="e">
        <f>#REF!</f>
        <v>#REF!</v>
      </c>
      <c r="G376" t="e">
        <f t="shared" si="26"/>
        <v>#REF!</v>
      </c>
      <c r="H376" t="e">
        <f t="shared" si="27"/>
        <v>#REF!</v>
      </c>
      <c r="I376" s="141" t="e">
        <f t="shared" si="28"/>
        <v>#REF!</v>
      </c>
      <c r="J376" t="e">
        <f t="shared" si="29"/>
        <v>#REF!</v>
      </c>
      <c r="K376" s="141" t="e">
        <f t="shared" si="30"/>
        <v>#REF!</v>
      </c>
    </row>
    <row r="377" spans="1:11" hidden="1" x14ac:dyDescent="0.25">
      <c r="A377" t="e">
        <f>#REF!</f>
        <v>#REF!</v>
      </c>
      <c r="B377" t="e">
        <f>#REF!</f>
        <v>#REF!</v>
      </c>
      <c r="C377" t="e">
        <f>#REF!</f>
        <v>#REF!</v>
      </c>
      <c r="D377" t="e">
        <f>#REF!</f>
        <v>#REF!</v>
      </c>
      <c r="E377" t="e">
        <f>#REF!</f>
        <v>#REF!</v>
      </c>
      <c r="G377" t="e">
        <f t="shared" si="26"/>
        <v>#REF!</v>
      </c>
      <c r="H377" t="e">
        <f t="shared" si="27"/>
        <v>#REF!</v>
      </c>
      <c r="I377" s="141" t="e">
        <f t="shared" si="28"/>
        <v>#REF!</v>
      </c>
      <c r="J377" t="e">
        <f t="shared" si="29"/>
        <v>#REF!</v>
      </c>
      <c r="K377" s="141" t="e">
        <f t="shared" si="30"/>
        <v>#REF!</v>
      </c>
    </row>
    <row r="378" spans="1:11" hidden="1" x14ac:dyDescent="0.25">
      <c r="A378" t="e">
        <f>#REF!</f>
        <v>#REF!</v>
      </c>
      <c r="B378" t="e">
        <f>#REF!</f>
        <v>#REF!</v>
      </c>
      <c r="C378" t="e">
        <f>#REF!</f>
        <v>#REF!</v>
      </c>
      <c r="D378" t="e">
        <f>#REF!</f>
        <v>#REF!</v>
      </c>
      <c r="E378" t="e">
        <f>#REF!</f>
        <v>#REF!</v>
      </c>
      <c r="G378" t="e">
        <f t="shared" si="26"/>
        <v>#REF!</v>
      </c>
      <c r="H378" t="e">
        <f t="shared" si="27"/>
        <v>#REF!</v>
      </c>
      <c r="I378" s="141" t="e">
        <f t="shared" si="28"/>
        <v>#REF!</v>
      </c>
      <c r="J378" t="e">
        <f t="shared" si="29"/>
        <v>#REF!</v>
      </c>
      <c r="K378" s="141" t="e">
        <f t="shared" si="30"/>
        <v>#REF!</v>
      </c>
    </row>
    <row r="379" spans="1:11" hidden="1" x14ac:dyDescent="0.25">
      <c r="A379" t="e">
        <f>#REF!</f>
        <v>#REF!</v>
      </c>
      <c r="B379" t="e">
        <f>#REF!</f>
        <v>#REF!</v>
      </c>
      <c r="C379" t="e">
        <f>#REF!</f>
        <v>#REF!</v>
      </c>
      <c r="D379" t="e">
        <f>#REF!</f>
        <v>#REF!</v>
      </c>
      <c r="E379" t="e">
        <f>#REF!</f>
        <v>#REF!</v>
      </c>
      <c r="G379" t="e">
        <f t="shared" si="26"/>
        <v>#REF!</v>
      </c>
      <c r="H379" t="e">
        <f t="shared" si="27"/>
        <v>#REF!</v>
      </c>
      <c r="I379" s="141" t="e">
        <f t="shared" si="28"/>
        <v>#REF!</v>
      </c>
      <c r="J379" t="e">
        <f t="shared" si="29"/>
        <v>#REF!</v>
      </c>
      <c r="K379" s="141" t="e">
        <f t="shared" si="30"/>
        <v>#REF!</v>
      </c>
    </row>
    <row r="380" spans="1:11" hidden="1" x14ac:dyDescent="0.25">
      <c r="A380" t="e">
        <f>#REF!</f>
        <v>#REF!</v>
      </c>
      <c r="B380" t="e">
        <f>#REF!</f>
        <v>#REF!</v>
      </c>
      <c r="C380" t="e">
        <f>#REF!</f>
        <v>#REF!</v>
      </c>
      <c r="D380" t="e">
        <f>#REF!</f>
        <v>#REF!</v>
      </c>
      <c r="E380" t="e">
        <f>#REF!</f>
        <v>#REF!</v>
      </c>
      <c r="G380" t="e">
        <f t="shared" si="26"/>
        <v>#REF!</v>
      </c>
      <c r="H380" t="e">
        <f t="shared" si="27"/>
        <v>#REF!</v>
      </c>
      <c r="I380" s="141" t="e">
        <f t="shared" si="28"/>
        <v>#REF!</v>
      </c>
      <c r="J380" t="e">
        <f t="shared" si="29"/>
        <v>#REF!</v>
      </c>
      <c r="K380" s="141" t="e">
        <f t="shared" si="30"/>
        <v>#REF!</v>
      </c>
    </row>
    <row r="381" spans="1:11" hidden="1" x14ac:dyDescent="0.25">
      <c r="A381" t="e">
        <f>#REF!</f>
        <v>#REF!</v>
      </c>
      <c r="B381" t="e">
        <f>#REF!</f>
        <v>#REF!</v>
      </c>
      <c r="C381" t="e">
        <f>#REF!</f>
        <v>#REF!</v>
      </c>
      <c r="D381" t="e">
        <f>#REF!</f>
        <v>#REF!</v>
      </c>
      <c r="E381" t="e">
        <f>#REF!</f>
        <v>#REF!</v>
      </c>
      <c r="G381" t="e">
        <f t="shared" si="26"/>
        <v>#REF!</v>
      </c>
      <c r="H381" t="e">
        <f t="shared" si="27"/>
        <v>#REF!</v>
      </c>
      <c r="I381" s="141" t="e">
        <f t="shared" si="28"/>
        <v>#REF!</v>
      </c>
      <c r="J381" t="e">
        <f t="shared" si="29"/>
        <v>#REF!</v>
      </c>
      <c r="K381" s="141" t="e">
        <f t="shared" si="30"/>
        <v>#REF!</v>
      </c>
    </row>
    <row r="382" spans="1:11" hidden="1" x14ac:dyDescent="0.25">
      <c r="A382" t="e">
        <f>#REF!</f>
        <v>#REF!</v>
      </c>
      <c r="B382" t="e">
        <f>#REF!</f>
        <v>#REF!</v>
      </c>
      <c r="C382" t="e">
        <f>#REF!</f>
        <v>#REF!</v>
      </c>
      <c r="D382" t="e">
        <f>#REF!</f>
        <v>#REF!</v>
      </c>
      <c r="E382" t="e">
        <f>#REF!</f>
        <v>#REF!</v>
      </c>
      <c r="G382" t="e">
        <f t="shared" si="26"/>
        <v>#REF!</v>
      </c>
      <c r="H382" t="e">
        <f t="shared" si="27"/>
        <v>#REF!</v>
      </c>
      <c r="I382" s="141" t="e">
        <f t="shared" si="28"/>
        <v>#REF!</v>
      </c>
      <c r="J382" t="e">
        <f t="shared" si="29"/>
        <v>#REF!</v>
      </c>
      <c r="K382" s="141" t="e">
        <f t="shared" si="30"/>
        <v>#REF!</v>
      </c>
    </row>
    <row r="383" spans="1:11" hidden="1" x14ac:dyDescent="0.25">
      <c r="A383" t="e">
        <f>#REF!</f>
        <v>#REF!</v>
      </c>
      <c r="B383" t="e">
        <f>#REF!</f>
        <v>#REF!</v>
      </c>
      <c r="C383" t="e">
        <f>#REF!</f>
        <v>#REF!</v>
      </c>
      <c r="D383" t="e">
        <f>#REF!</f>
        <v>#REF!</v>
      </c>
      <c r="E383" t="e">
        <f>#REF!</f>
        <v>#REF!</v>
      </c>
      <c r="G383" t="e">
        <f t="shared" si="26"/>
        <v>#REF!</v>
      </c>
      <c r="H383" t="e">
        <f t="shared" si="27"/>
        <v>#REF!</v>
      </c>
      <c r="I383" s="141" t="e">
        <f t="shared" si="28"/>
        <v>#REF!</v>
      </c>
      <c r="J383" t="e">
        <f t="shared" si="29"/>
        <v>#REF!</v>
      </c>
      <c r="K383" s="141" t="e">
        <f t="shared" si="30"/>
        <v>#REF!</v>
      </c>
    </row>
    <row r="384" spans="1:11" hidden="1" x14ac:dyDescent="0.25">
      <c r="A384" t="e">
        <f>#REF!</f>
        <v>#REF!</v>
      </c>
      <c r="B384" t="e">
        <f>#REF!</f>
        <v>#REF!</v>
      </c>
      <c r="C384" t="e">
        <f>#REF!</f>
        <v>#REF!</v>
      </c>
      <c r="D384" t="e">
        <f>#REF!</f>
        <v>#REF!</v>
      </c>
      <c r="E384" t="e">
        <f>#REF!</f>
        <v>#REF!</v>
      </c>
      <c r="G384" t="e">
        <f t="shared" si="26"/>
        <v>#REF!</v>
      </c>
      <c r="H384" t="e">
        <f t="shared" si="27"/>
        <v>#REF!</v>
      </c>
      <c r="I384" s="141" t="e">
        <f t="shared" si="28"/>
        <v>#REF!</v>
      </c>
      <c r="J384" t="e">
        <f t="shared" si="29"/>
        <v>#REF!</v>
      </c>
      <c r="K384" s="141" t="e">
        <f t="shared" si="30"/>
        <v>#REF!</v>
      </c>
    </row>
    <row r="385" spans="1:11" hidden="1" x14ac:dyDescent="0.25">
      <c r="A385" t="e">
        <f>#REF!</f>
        <v>#REF!</v>
      </c>
      <c r="B385" t="e">
        <f>#REF!</f>
        <v>#REF!</v>
      </c>
      <c r="C385" t="e">
        <f>#REF!</f>
        <v>#REF!</v>
      </c>
      <c r="D385" t="e">
        <f>#REF!</f>
        <v>#REF!</v>
      </c>
      <c r="E385" t="e">
        <f>#REF!</f>
        <v>#REF!</v>
      </c>
      <c r="G385" t="e">
        <f t="shared" si="26"/>
        <v>#REF!</v>
      </c>
      <c r="H385" t="e">
        <f t="shared" si="27"/>
        <v>#REF!</v>
      </c>
      <c r="I385" s="141" t="e">
        <f t="shared" si="28"/>
        <v>#REF!</v>
      </c>
      <c r="J385" t="e">
        <f t="shared" si="29"/>
        <v>#REF!</v>
      </c>
      <c r="K385" s="141" t="e">
        <f t="shared" si="30"/>
        <v>#REF!</v>
      </c>
    </row>
    <row r="386" spans="1:11" hidden="1" x14ac:dyDescent="0.25">
      <c r="A386" t="e">
        <f>#REF!</f>
        <v>#REF!</v>
      </c>
      <c r="B386" t="e">
        <f>#REF!</f>
        <v>#REF!</v>
      </c>
      <c r="C386" t="e">
        <f>#REF!</f>
        <v>#REF!</v>
      </c>
      <c r="D386" t="e">
        <f>#REF!</f>
        <v>#REF!</v>
      </c>
      <c r="E386" t="e">
        <f>#REF!</f>
        <v>#REF!</v>
      </c>
      <c r="G386" t="e">
        <f t="shared" ref="G386:G449" si="31">A386</f>
        <v>#REF!</v>
      </c>
      <c r="H386" t="e">
        <f t="shared" ref="H386:H449" si="32">B386</f>
        <v>#REF!</v>
      </c>
      <c r="I386" s="141" t="e">
        <f t="shared" ref="I386:I449" si="33">C386</f>
        <v>#REF!</v>
      </c>
      <c r="J386" t="e">
        <f t="shared" ref="J386:J449" si="34">D386</f>
        <v>#REF!</v>
      </c>
      <c r="K386" s="141" t="e">
        <f t="shared" ref="K386:K449" si="35">E386</f>
        <v>#REF!</v>
      </c>
    </row>
    <row r="387" spans="1:11" hidden="1" x14ac:dyDescent="0.25">
      <c r="A387" t="e">
        <f>#REF!</f>
        <v>#REF!</v>
      </c>
      <c r="B387" t="e">
        <f>#REF!</f>
        <v>#REF!</v>
      </c>
      <c r="C387" t="e">
        <f>#REF!</f>
        <v>#REF!</v>
      </c>
      <c r="D387" t="e">
        <f>#REF!</f>
        <v>#REF!</v>
      </c>
      <c r="E387" t="e">
        <f>#REF!</f>
        <v>#REF!</v>
      </c>
      <c r="G387" t="e">
        <f t="shared" si="31"/>
        <v>#REF!</v>
      </c>
      <c r="H387" t="e">
        <f t="shared" si="32"/>
        <v>#REF!</v>
      </c>
      <c r="I387" s="141" t="e">
        <f t="shared" si="33"/>
        <v>#REF!</v>
      </c>
      <c r="J387" t="e">
        <f t="shared" si="34"/>
        <v>#REF!</v>
      </c>
      <c r="K387" s="141" t="e">
        <f t="shared" si="35"/>
        <v>#REF!</v>
      </c>
    </row>
    <row r="388" spans="1:11" hidden="1" x14ac:dyDescent="0.25">
      <c r="A388" t="e">
        <f>#REF!</f>
        <v>#REF!</v>
      </c>
      <c r="B388" t="e">
        <f>#REF!</f>
        <v>#REF!</v>
      </c>
      <c r="C388" t="e">
        <f>#REF!</f>
        <v>#REF!</v>
      </c>
      <c r="D388" t="e">
        <f>#REF!</f>
        <v>#REF!</v>
      </c>
      <c r="E388" t="e">
        <f>#REF!</f>
        <v>#REF!</v>
      </c>
      <c r="G388" t="e">
        <f t="shared" si="31"/>
        <v>#REF!</v>
      </c>
      <c r="H388" t="e">
        <f t="shared" si="32"/>
        <v>#REF!</v>
      </c>
      <c r="I388" s="141" t="e">
        <f t="shared" si="33"/>
        <v>#REF!</v>
      </c>
      <c r="J388" t="e">
        <f t="shared" si="34"/>
        <v>#REF!</v>
      </c>
      <c r="K388" s="141" t="e">
        <f t="shared" si="35"/>
        <v>#REF!</v>
      </c>
    </row>
    <row r="389" spans="1:11" hidden="1" x14ac:dyDescent="0.25">
      <c r="A389" t="e">
        <f>#REF!</f>
        <v>#REF!</v>
      </c>
      <c r="B389" t="e">
        <f>#REF!</f>
        <v>#REF!</v>
      </c>
      <c r="C389" t="e">
        <f>#REF!</f>
        <v>#REF!</v>
      </c>
      <c r="D389" t="e">
        <f>#REF!</f>
        <v>#REF!</v>
      </c>
      <c r="E389" t="e">
        <f>#REF!</f>
        <v>#REF!</v>
      </c>
      <c r="G389" t="e">
        <f t="shared" si="31"/>
        <v>#REF!</v>
      </c>
      <c r="H389" t="e">
        <f t="shared" si="32"/>
        <v>#REF!</v>
      </c>
      <c r="I389" s="141" t="e">
        <f t="shared" si="33"/>
        <v>#REF!</v>
      </c>
      <c r="J389" t="e">
        <f t="shared" si="34"/>
        <v>#REF!</v>
      </c>
      <c r="K389" s="141" t="e">
        <f t="shared" si="35"/>
        <v>#REF!</v>
      </c>
    </row>
    <row r="390" spans="1:11" hidden="1" x14ac:dyDescent="0.25">
      <c r="A390" t="e">
        <f>#REF!</f>
        <v>#REF!</v>
      </c>
      <c r="B390" t="e">
        <f>#REF!</f>
        <v>#REF!</v>
      </c>
      <c r="C390" t="e">
        <f>#REF!</f>
        <v>#REF!</v>
      </c>
      <c r="D390" t="e">
        <f>#REF!</f>
        <v>#REF!</v>
      </c>
      <c r="E390" t="e">
        <f>#REF!</f>
        <v>#REF!</v>
      </c>
      <c r="G390" t="e">
        <f t="shared" si="31"/>
        <v>#REF!</v>
      </c>
      <c r="H390" t="e">
        <f t="shared" si="32"/>
        <v>#REF!</v>
      </c>
      <c r="I390" s="141" t="e">
        <f t="shared" si="33"/>
        <v>#REF!</v>
      </c>
      <c r="J390" t="e">
        <f t="shared" si="34"/>
        <v>#REF!</v>
      </c>
      <c r="K390" s="141" t="e">
        <f t="shared" si="35"/>
        <v>#REF!</v>
      </c>
    </row>
    <row r="391" spans="1:11" hidden="1" x14ac:dyDescent="0.25">
      <c r="A391" t="e">
        <f>#REF!</f>
        <v>#REF!</v>
      </c>
      <c r="B391" t="e">
        <f>#REF!</f>
        <v>#REF!</v>
      </c>
      <c r="C391" t="e">
        <f>#REF!</f>
        <v>#REF!</v>
      </c>
      <c r="D391" t="e">
        <f>#REF!</f>
        <v>#REF!</v>
      </c>
      <c r="E391" t="e">
        <f>#REF!</f>
        <v>#REF!</v>
      </c>
      <c r="G391" t="e">
        <f t="shared" si="31"/>
        <v>#REF!</v>
      </c>
      <c r="H391" t="e">
        <f t="shared" si="32"/>
        <v>#REF!</v>
      </c>
      <c r="I391" s="141" t="e">
        <f t="shared" si="33"/>
        <v>#REF!</v>
      </c>
      <c r="J391" t="e">
        <f t="shared" si="34"/>
        <v>#REF!</v>
      </c>
      <c r="K391" s="141" t="e">
        <f t="shared" si="35"/>
        <v>#REF!</v>
      </c>
    </row>
    <row r="392" spans="1:11" hidden="1" x14ac:dyDescent="0.25">
      <c r="A392" t="e">
        <f>#REF!</f>
        <v>#REF!</v>
      </c>
      <c r="B392" t="e">
        <f>#REF!</f>
        <v>#REF!</v>
      </c>
      <c r="C392" t="e">
        <f>#REF!</f>
        <v>#REF!</v>
      </c>
      <c r="D392" t="e">
        <f>#REF!</f>
        <v>#REF!</v>
      </c>
      <c r="E392" t="e">
        <f>#REF!</f>
        <v>#REF!</v>
      </c>
      <c r="G392" t="e">
        <f t="shared" si="31"/>
        <v>#REF!</v>
      </c>
      <c r="H392" t="e">
        <f t="shared" si="32"/>
        <v>#REF!</v>
      </c>
      <c r="I392" s="141" t="e">
        <f t="shared" si="33"/>
        <v>#REF!</v>
      </c>
      <c r="J392" t="e">
        <f t="shared" si="34"/>
        <v>#REF!</v>
      </c>
      <c r="K392" s="141" t="e">
        <f t="shared" si="35"/>
        <v>#REF!</v>
      </c>
    </row>
    <row r="393" spans="1:11" hidden="1" x14ac:dyDescent="0.25">
      <c r="A393" t="e">
        <f>#REF!</f>
        <v>#REF!</v>
      </c>
      <c r="B393" t="e">
        <f>#REF!</f>
        <v>#REF!</v>
      </c>
      <c r="C393" t="e">
        <f>#REF!</f>
        <v>#REF!</v>
      </c>
      <c r="D393" t="e">
        <f>#REF!</f>
        <v>#REF!</v>
      </c>
      <c r="E393" t="e">
        <f>#REF!</f>
        <v>#REF!</v>
      </c>
      <c r="G393" t="e">
        <f t="shared" si="31"/>
        <v>#REF!</v>
      </c>
      <c r="H393" t="e">
        <f t="shared" si="32"/>
        <v>#REF!</v>
      </c>
      <c r="I393" s="141" t="e">
        <f t="shared" si="33"/>
        <v>#REF!</v>
      </c>
      <c r="J393" t="e">
        <f t="shared" si="34"/>
        <v>#REF!</v>
      </c>
      <c r="K393" s="141" t="e">
        <f t="shared" si="35"/>
        <v>#REF!</v>
      </c>
    </row>
    <row r="394" spans="1:11" hidden="1" x14ac:dyDescent="0.25">
      <c r="A394" t="e">
        <f>#REF!</f>
        <v>#REF!</v>
      </c>
      <c r="B394" t="e">
        <f>#REF!</f>
        <v>#REF!</v>
      </c>
      <c r="C394" t="e">
        <f>#REF!</f>
        <v>#REF!</v>
      </c>
      <c r="D394" t="e">
        <f>#REF!</f>
        <v>#REF!</v>
      </c>
      <c r="E394" t="e">
        <f>#REF!</f>
        <v>#REF!</v>
      </c>
      <c r="G394" t="e">
        <f t="shared" si="31"/>
        <v>#REF!</v>
      </c>
      <c r="H394" t="e">
        <f t="shared" si="32"/>
        <v>#REF!</v>
      </c>
      <c r="I394" s="141" t="e">
        <f t="shared" si="33"/>
        <v>#REF!</v>
      </c>
      <c r="J394" t="e">
        <f t="shared" si="34"/>
        <v>#REF!</v>
      </c>
      <c r="K394" s="141" t="e">
        <f t="shared" si="35"/>
        <v>#REF!</v>
      </c>
    </row>
    <row r="395" spans="1:11" hidden="1" x14ac:dyDescent="0.25">
      <c r="A395" t="e">
        <f>#REF!</f>
        <v>#REF!</v>
      </c>
      <c r="B395" t="e">
        <f>#REF!</f>
        <v>#REF!</v>
      </c>
      <c r="C395" t="e">
        <f>#REF!</f>
        <v>#REF!</v>
      </c>
      <c r="D395" t="e">
        <f>#REF!</f>
        <v>#REF!</v>
      </c>
      <c r="E395" t="e">
        <f>#REF!</f>
        <v>#REF!</v>
      </c>
      <c r="G395" t="e">
        <f t="shared" si="31"/>
        <v>#REF!</v>
      </c>
      <c r="H395" t="e">
        <f t="shared" si="32"/>
        <v>#REF!</v>
      </c>
      <c r="I395" s="141" t="e">
        <f t="shared" si="33"/>
        <v>#REF!</v>
      </c>
      <c r="J395" t="e">
        <f t="shared" si="34"/>
        <v>#REF!</v>
      </c>
      <c r="K395" s="141" t="e">
        <f t="shared" si="35"/>
        <v>#REF!</v>
      </c>
    </row>
    <row r="396" spans="1:11" hidden="1" x14ac:dyDescent="0.25">
      <c r="A396" t="e">
        <f>#REF!</f>
        <v>#REF!</v>
      </c>
      <c r="B396" t="e">
        <f>#REF!</f>
        <v>#REF!</v>
      </c>
      <c r="C396" t="e">
        <f>#REF!</f>
        <v>#REF!</v>
      </c>
      <c r="D396" t="e">
        <f>#REF!</f>
        <v>#REF!</v>
      </c>
      <c r="E396" t="e">
        <f>#REF!</f>
        <v>#REF!</v>
      </c>
      <c r="G396" t="e">
        <f t="shared" si="31"/>
        <v>#REF!</v>
      </c>
      <c r="H396" t="e">
        <f t="shared" si="32"/>
        <v>#REF!</v>
      </c>
      <c r="I396" s="141" t="e">
        <f t="shared" si="33"/>
        <v>#REF!</v>
      </c>
      <c r="J396" t="e">
        <f t="shared" si="34"/>
        <v>#REF!</v>
      </c>
      <c r="K396" s="141" t="e">
        <f t="shared" si="35"/>
        <v>#REF!</v>
      </c>
    </row>
    <row r="397" spans="1:11" hidden="1" x14ac:dyDescent="0.25">
      <c r="A397" t="e">
        <f>#REF!</f>
        <v>#REF!</v>
      </c>
      <c r="B397" t="e">
        <f>#REF!</f>
        <v>#REF!</v>
      </c>
      <c r="C397" t="e">
        <f>#REF!</f>
        <v>#REF!</v>
      </c>
      <c r="D397" t="e">
        <f>#REF!</f>
        <v>#REF!</v>
      </c>
      <c r="E397" t="e">
        <f>#REF!</f>
        <v>#REF!</v>
      </c>
      <c r="G397" t="e">
        <f t="shared" si="31"/>
        <v>#REF!</v>
      </c>
      <c r="H397" t="e">
        <f t="shared" si="32"/>
        <v>#REF!</v>
      </c>
      <c r="I397" s="141" t="e">
        <f t="shared" si="33"/>
        <v>#REF!</v>
      </c>
      <c r="J397" t="e">
        <f t="shared" si="34"/>
        <v>#REF!</v>
      </c>
      <c r="K397" s="141" t="e">
        <f t="shared" si="35"/>
        <v>#REF!</v>
      </c>
    </row>
    <row r="398" spans="1:11" hidden="1" x14ac:dyDescent="0.25">
      <c r="A398" t="e">
        <f>#REF!</f>
        <v>#REF!</v>
      </c>
      <c r="B398" t="e">
        <f>#REF!</f>
        <v>#REF!</v>
      </c>
      <c r="C398" t="e">
        <f>#REF!</f>
        <v>#REF!</v>
      </c>
      <c r="D398" t="e">
        <f>#REF!</f>
        <v>#REF!</v>
      </c>
      <c r="E398" t="e">
        <f>#REF!</f>
        <v>#REF!</v>
      </c>
      <c r="G398" t="e">
        <f t="shared" si="31"/>
        <v>#REF!</v>
      </c>
      <c r="H398" t="e">
        <f t="shared" si="32"/>
        <v>#REF!</v>
      </c>
      <c r="I398" s="141" t="e">
        <f t="shared" si="33"/>
        <v>#REF!</v>
      </c>
      <c r="J398" t="e">
        <f t="shared" si="34"/>
        <v>#REF!</v>
      </c>
      <c r="K398" s="141" t="e">
        <f t="shared" si="35"/>
        <v>#REF!</v>
      </c>
    </row>
    <row r="399" spans="1:11" hidden="1" x14ac:dyDescent="0.25">
      <c r="A399" t="e">
        <f>#REF!</f>
        <v>#REF!</v>
      </c>
      <c r="B399" t="e">
        <f>#REF!</f>
        <v>#REF!</v>
      </c>
      <c r="C399" t="e">
        <f>#REF!</f>
        <v>#REF!</v>
      </c>
      <c r="D399" t="e">
        <f>#REF!</f>
        <v>#REF!</v>
      </c>
      <c r="E399" t="e">
        <f>#REF!</f>
        <v>#REF!</v>
      </c>
      <c r="G399" t="e">
        <f t="shared" si="31"/>
        <v>#REF!</v>
      </c>
      <c r="H399" t="e">
        <f t="shared" si="32"/>
        <v>#REF!</v>
      </c>
      <c r="I399" s="141" t="e">
        <f t="shared" si="33"/>
        <v>#REF!</v>
      </c>
      <c r="J399" t="e">
        <f t="shared" si="34"/>
        <v>#REF!</v>
      </c>
      <c r="K399" s="141" t="e">
        <f t="shared" si="35"/>
        <v>#REF!</v>
      </c>
    </row>
    <row r="400" spans="1:11" hidden="1" x14ac:dyDescent="0.25">
      <c r="A400" t="e">
        <f>#REF!</f>
        <v>#REF!</v>
      </c>
      <c r="B400" t="e">
        <f>#REF!</f>
        <v>#REF!</v>
      </c>
      <c r="C400" t="e">
        <f>#REF!</f>
        <v>#REF!</v>
      </c>
      <c r="D400" t="e">
        <f>#REF!</f>
        <v>#REF!</v>
      </c>
      <c r="E400" t="e">
        <f>#REF!</f>
        <v>#REF!</v>
      </c>
      <c r="G400" t="e">
        <f t="shared" si="31"/>
        <v>#REF!</v>
      </c>
      <c r="H400" t="e">
        <f t="shared" si="32"/>
        <v>#REF!</v>
      </c>
      <c r="I400" s="141" t="e">
        <f t="shared" si="33"/>
        <v>#REF!</v>
      </c>
      <c r="J400" t="e">
        <f t="shared" si="34"/>
        <v>#REF!</v>
      </c>
      <c r="K400" s="141" t="e">
        <f t="shared" si="35"/>
        <v>#REF!</v>
      </c>
    </row>
    <row r="401" spans="1:11" hidden="1" x14ac:dyDescent="0.25">
      <c r="A401" t="e">
        <f>#REF!</f>
        <v>#REF!</v>
      </c>
      <c r="B401" t="e">
        <f>#REF!</f>
        <v>#REF!</v>
      </c>
      <c r="C401" t="e">
        <f>#REF!</f>
        <v>#REF!</v>
      </c>
      <c r="D401" t="e">
        <f>#REF!</f>
        <v>#REF!</v>
      </c>
      <c r="E401" t="e">
        <f>#REF!</f>
        <v>#REF!</v>
      </c>
      <c r="G401" t="e">
        <f t="shared" si="31"/>
        <v>#REF!</v>
      </c>
      <c r="H401" t="e">
        <f t="shared" si="32"/>
        <v>#REF!</v>
      </c>
      <c r="I401" s="141" t="e">
        <f t="shared" si="33"/>
        <v>#REF!</v>
      </c>
      <c r="J401" t="e">
        <f t="shared" si="34"/>
        <v>#REF!</v>
      </c>
      <c r="K401" s="141" t="e">
        <f t="shared" si="35"/>
        <v>#REF!</v>
      </c>
    </row>
    <row r="402" spans="1:11" hidden="1" x14ac:dyDescent="0.25">
      <c r="A402" t="e">
        <f>#REF!</f>
        <v>#REF!</v>
      </c>
      <c r="B402" t="e">
        <f>#REF!</f>
        <v>#REF!</v>
      </c>
      <c r="C402" t="e">
        <f>#REF!</f>
        <v>#REF!</v>
      </c>
      <c r="D402" t="e">
        <f>#REF!</f>
        <v>#REF!</v>
      </c>
      <c r="E402" t="e">
        <f>#REF!</f>
        <v>#REF!</v>
      </c>
      <c r="G402" t="e">
        <f t="shared" si="31"/>
        <v>#REF!</v>
      </c>
      <c r="H402" t="e">
        <f t="shared" si="32"/>
        <v>#REF!</v>
      </c>
      <c r="I402" s="141" t="e">
        <f t="shared" si="33"/>
        <v>#REF!</v>
      </c>
      <c r="J402" t="e">
        <f t="shared" si="34"/>
        <v>#REF!</v>
      </c>
      <c r="K402" s="141" t="e">
        <f t="shared" si="35"/>
        <v>#REF!</v>
      </c>
    </row>
    <row r="403" spans="1:11" hidden="1" x14ac:dyDescent="0.25">
      <c r="A403" t="e">
        <f>#REF!</f>
        <v>#REF!</v>
      </c>
      <c r="B403" t="e">
        <f>#REF!</f>
        <v>#REF!</v>
      </c>
      <c r="C403" t="e">
        <f>#REF!</f>
        <v>#REF!</v>
      </c>
      <c r="D403" t="e">
        <f>#REF!</f>
        <v>#REF!</v>
      </c>
      <c r="E403" t="e">
        <f>#REF!</f>
        <v>#REF!</v>
      </c>
      <c r="G403" t="e">
        <f t="shared" si="31"/>
        <v>#REF!</v>
      </c>
      <c r="H403" t="e">
        <f t="shared" si="32"/>
        <v>#REF!</v>
      </c>
      <c r="I403" s="141" t="e">
        <f t="shared" si="33"/>
        <v>#REF!</v>
      </c>
      <c r="J403" t="e">
        <f t="shared" si="34"/>
        <v>#REF!</v>
      </c>
      <c r="K403" s="141" t="e">
        <f t="shared" si="35"/>
        <v>#REF!</v>
      </c>
    </row>
    <row r="404" spans="1:11" hidden="1" x14ac:dyDescent="0.25">
      <c r="A404" t="e">
        <f>#REF!</f>
        <v>#REF!</v>
      </c>
      <c r="B404" t="e">
        <f>#REF!</f>
        <v>#REF!</v>
      </c>
      <c r="C404" t="e">
        <f>#REF!</f>
        <v>#REF!</v>
      </c>
      <c r="D404" t="e">
        <f>#REF!</f>
        <v>#REF!</v>
      </c>
      <c r="E404" t="e">
        <f>#REF!</f>
        <v>#REF!</v>
      </c>
      <c r="G404" t="e">
        <f t="shared" si="31"/>
        <v>#REF!</v>
      </c>
      <c r="H404" t="e">
        <f t="shared" si="32"/>
        <v>#REF!</v>
      </c>
      <c r="I404" s="141" t="e">
        <f t="shared" si="33"/>
        <v>#REF!</v>
      </c>
      <c r="J404" t="e">
        <f t="shared" si="34"/>
        <v>#REF!</v>
      </c>
      <c r="K404" s="141" t="e">
        <f t="shared" si="35"/>
        <v>#REF!</v>
      </c>
    </row>
    <row r="405" spans="1:11" hidden="1" x14ac:dyDescent="0.25">
      <c r="A405" t="e">
        <f>#REF!</f>
        <v>#REF!</v>
      </c>
      <c r="B405" t="e">
        <f>#REF!</f>
        <v>#REF!</v>
      </c>
      <c r="C405" t="e">
        <f>#REF!</f>
        <v>#REF!</v>
      </c>
      <c r="D405" t="e">
        <f>#REF!</f>
        <v>#REF!</v>
      </c>
      <c r="E405" t="e">
        <f>#REF!</f>
        <v>#REF!</v>
      </c>
      <c r="G405" t="e">
        <f t="shared" si="31"/>
        <v>#REF!</v>
      </c>
      <c r="H405" t="e">
        <f t="shared" si="32"/>
        <v>#REF!</v>
      </c>
      <c r="I405" s="141" t="e">
        <f t="shared" si="33"/>
        <v>#REF!</v>
      </c>
      <c r="J405" t="e">
        <f t="shared" si="34"/>
        <v>#REF!</v>
      </c>
      <c r="K405" s="141" t="e">
        <f t="shared" si="35"/>
        <v>#REF!</v>
      </c>
    </row>
    <row r="406" spans="1:11" hidden="1" x14ac:dyDescent="0.25">
      <c r="A406" t="e">
        <f>#REF!</f>
        <v>#REF!</v>
      </c>
      <c r="B406" t="e">
        <f>#REF!</f>
        <v>#REF!</v>
      </c>
      <c r="C406" t="e">
        <f>#REF!</f>
        <v>#REF!</v>
      </c>
      <c r="D406" t="e">
        <f>#REF!</f>
        <v>#REF!</v>
      </c>
      <c r="E406" t="e">
        <f>#REF!</f>
        <v>#REF!</v>
      </c>
      <c r="G406" t="e">
        <f t="shared" si="31"/>
        <v>#REF!</v>
      </c>
      <c r="H406" t="e">
        <f t="shared" si="32"/>
        <v>#REF!</v>
      </c>
      <c r="I406" s="141" t="e">
        <f t="shared" si="33"/>
        <v>#REF!</v>
      </c>
      <c r="J406" t="e">
        <f t="shared" si="34"/>
        <v>#REF!</v>
      </c>
      <c r="K406" s="141" t="e">
        <f t="shared" si="35"/>
        <v>#REF!</v>
      </c>
    </row>
    <row r="407" spans="1:11" hidden="1" x14ac:dyDescent="0.25">
      <c r="A407" t="e">
        <f>#REF!</f>
        <v>#REF!</v>
      </c>
      <c r="B407" t="e">
        <f>#REF!</f>
        <v>#REF!</v>
      </c>
      <c r="C407" t="e">
        <f>#REF!</f>
        <v>#REF!</v>
      </c>
      <c r="D407" t="e">
        <f>#REF!</f>
        <v>#REF!</v>
      </c>
      <c r="E407" t="e">
        <f>#REF!</f>
        <v>#REF!</v>
      </c>
      <c r="G407" t="e">
        <f t="shared" si="31"/>
        <v>#REF!</v>
      </c>
      <c r="H407" t="e">
        <f t="shared" si="32"/>
        <v>#REF!</v>
      </c>
      <c r="I407" s="141" t="e">
        <f t="shared" si="33"/>
        <v>#REF!</v>
      </c>
      <c r="J407" t="e">
        <f t="shared" si="34"/>
        <v>#REF!</v>
      </c>
      <c r="K407" s="141" t="e">
        <f t="shared" si="35"/>
        <v>#REF!</v>
      </c>
    </row>
    <row r="408" spans="1:11" hidden="1" x14ac:dyDescent="0.25">
      <c r="A408" t="e">
        <f>#REF!</f>
        <v>#REF!</v>
      </c>
      <c r="B408" t="e">
        <f>#REF!</f>
        <v>#REF!</v>
      </c>
      <c r="C408" t="e">
        <f>#REF!</f>
        <v>#REF!</v>
      </c>
      <c r="D408" t="e">
        <f>#REF!</f>
        <v>#REF!</v>
      </c>
      <c r="E408" t="e">
        <f>#REF!</f>
        <v>#REF!</v>
      </c>
      <c r="G408" t="e">
        <f t="shared" si="31"/>
        <v>#REF!</v>
      </c>
      <c r="H408" t="e">
        <f t="shared" si="32"/>
        <v>#REF!</v>
      </c>
      <c r="I408" s="141" t="e">
        <f t="shared" si="33"/>
        <v>#REF!</v>
      </c>
      <c r="J408" t="e">
        <f t="shared" si="34"/>
        <v>#REF!</v>
      </c>
      <c r="K408" s="141" t="e">
        <f t="shared" si="35"/>
        <v>#REF!</v>
      </c>
    </row>
    <row r="409" spans="1:11" hidden="1" x14ac:dyDescent="0.25">
      <c r="A409" t="e">
        <f>#REF!</f>
        <v>#REF!</v>
      </c>
      <c r="B409" t="e">
        <f>#REF!</f>
        <v>#REF!</v>
      </c>
      <c r="C409" t="e">
        <f>#REF!</f>
        <v>#REF!</v>
      </c>
      <c r="D409" t="e">
        <f>#REF!</f>
        <v>#REF!</v>
      </c>
      <c r="E409" t="e">
        <f>#REF!</f>
        <v>#REF!</v>
      </c>
      <c r="G409" t="e">
        <f t="shared" si="31"/>
        <v>#REF!</v>
      </c>
      <c r="H409" t="e">
        <f t="shared" si="32"/>
        <v>#REF!</v>
      </c>
      <c r="I409" s="141" t="e">
        <f t="shared" si="33"/>
        <v>#REF!</v>
      </c>
      <c r="J409" t="e">
        <f t="shared" si="34"/>
        <v>#REF!</v>
      </c>
      <c r="K409" s="141" t="e">
        <f t="shared" si="35"/>
        <v>#REF!</v>
      </c>
    </row>
    <row r="410" spans="1:11" hidden="1" x14ac:dyDescent="0.25">
      <c r="A410" t="e">
        <f>#REF!</f>
        <v>#REF!</v>
      </c>
      <c r="B410" t="e">
        <f>#REF!</f>
        <v>#REF!</v>
      </c>
      <c r="C410" t="e">
        <f>#REF!</f>
        <v>#REF!</v>
      </c>
      <c r="D410" t="e">
        <f>#REF!</f>
        <v>#REF!</v>
      </c>
      <c r="E410" t="e">
        <f>#REF!</f>
        <v>#REF!</v>
      </c>
      <c r="G410" t="e">
        <f t="shared" si="31"/>
        <v>#REF!</v>
      </c>
      <c r="H410" t="e">
        <f t="shared" si="32"/>
        <v>#REF!</v>
      </c>
      <c r="I410" s="141" t="e">
        <f t="shared" si="33"/>
        <v>#REF!</v>
      </c>
      <c r="J410" t="e">
        <f t="shared" si="34"/>
        <v>#REF!</v>
      </c>
      <c r="K410" s="141" t="e">
        <f t="shared" si="35"/>
        <v>#REF!</v>
      </c>
    </row>
    <row r="411" spans="1:11" hidden="1" x14ac:dyDescent="0.25">
      <c r="A411" t="e">
        <f>#REF!</f>
        <v>#REF!</v>
      </c>
      <c r="B411" t="e">
        <f>#REF!</f>
        <v>#REF!</v>
      </c>
      <c r="C411" t="e">
        <f>#REF!</f>
        <v>#REF!</v>
      </c>
      <c r="D411" t="e">
        <f>#REF!</f>
        <v>#REF!</v>
      </c>
      <c r="E411" t="e">
        <f>#REF!</f>
        <v>#REF!</v>
      </c>
      <c r="G411" t="e">
        <f t="shared" si="31"/>
        <v>#REF!</v>
      </c>
      <c r="H411" t="e">
        <f t="shared" si="32"/>
        <v>#REF!</v>
      </c>
      <c r="I411" s="141" t="e">
        <f t="shared" si="33"/>
        <v>#REF!</v>
      </c>
      <c r="J411" t="e">
        <f t="shared" si="34"/>
        <v>#REF!</v>
      </c>
      <c r="K411" s="141" t="e">
        <f t="shared" si="35"/>
        <v>#REF!</v>
      </c>
    </row>
    <row r="412" spans="1:11" hidden="1" x14ac:dyDescent="0.25">
      <c r="A412" t="e">
        <f>#REF!</f>
        <v>#REF!</v>
      </c>
      <c r="B412" t="e">
        <f>#REF!</f>
        <v>#REF!</v>
      </c>
      <c r="C412" t="e">
        <f>#REF!</f>
        <v>#REF!</v>
      </c>
      <c r="D412" t="e">
        <f>#REF!</f>
        <v>#REF!</v>
      </c>
      <c r="E412" t="e">
        <f>#REF!</f>
        <v>#REF!</v>
      </c>
      <c r="G412" t="e">
        <f t="shared" si="31"/>
        <v>#REF!</v>
      </c>
      <c r="H412" t="e">
        <f t="shared" si="32"/>
        <v>#REF!</v>
      </c>
      <c r="I412" s="141" t="e">
        <f t="shared" si="33"/>
        <v>#REF!</v>
      </c>
      <c r="J412" t="e">
        <f t="shared" si="34"/>
        <v>#REF!</v>
      </c>
      <c r="K412" s="141" t="e">
        <f t="shared" si="35"/>
        <v>#REF!</v>
      </c>
    </row>
    <row r="413" spans="1:11" hidden="1" x14ac:dyDescent="0.25">
      <c r="A413" t="e">
        <f>#REF!</f>
        <v>#REF!</v>
      </c>
      <c r="B413" t="e">
        <f>#REF!</f>
        <v>#REF!</v>
      </c>
      <c r="C413" t="e">
        <f>#REF!</f>
        <v>#REF!</v>
      </c>
      <c r="D413" t="e">
        <f>#REF!</f>
        <v>#REF!</v>
      </c>
      <c r="E413" t="e">
        <f>#REF!</f>
        <v>#REF!</v>
      </c>
      <c r="G413" t="e">
        <f t="shared" si="31"/>
        <v>#REF!</v>
      </c>
      <c r="H413" t="e">
        <f t="shared" si="32"/>
        <v>#REF!</v>
      </c>
      <c r="I413" s="141" t="e">
        <f t="shared" si="33"/>
        <v>#REF!</v>
      </c>
      <c r="J413" t="e">
        <f t="shared" si="34"/>
        <v>#REF!</v>
      </c>
      <c r="K413" s="141" t="e">
        <f t="shared" si="35"/>
        <v>#REF!</v>
      </c>
    </row>
    <row r="414" spans="1:11" hidden="1" x14ac:dyDescent="0.25">
      <c r="A414" t="e">
        <f>#REF!</f>
        <v>#REF!</v>
      </c>
      <c r="B414" t="e">
        <f>#REF!</f>
        <v>#REF!</v>
      </c>
      <c r="C414" t="e">
        <f>#REF!</f>
        <v>#REF!</v>
      </c>
      <c r="D414" t="e">
        <f>#REF!</f>
        <v>#REF!</v>
      </c>
      <c r="E414" t="e">
        <f>#REF!</f>
        <v>#REF!</v>
      </c>
      <c r="G414" t="e">
        <f t="shared" si="31"/>
        <v>#REF!</v>
      </c>
      <c r="H414" t="e">
        <f t="shared" si="32"/>
        <v>#REF!</v>
      </c>
      <c r="I414" s="141" t="e">
        <f t="shared" si="33"/>
        <v>#REF!</v>
      </c>
      <c r="J414" t="e">
        <f t="shared" si="34"/>
        <v>#REF!</v>
      </c>
      <c r="K414" s="141" t="e">
        <f t="shared" si="35"/>
        <v>#REF!</v>
      </c>
    </row>
    <row r="415" spans="1:11" hidden="1" x14ac:dyDescent="0.25">
      <c r="A415" t="e">
        <f>#REF!</f>
        <v>#REF!</v>
      </c>
      <c r="B415" t="e">
        <f>#REF!</f>
        <v>#REF!</v>
      </c>
      <c r="C415" t="e">
        <f>#REF!</f>
        <v>#REF!</v>
      </c>
      <c r="D415" t="e">
        <f>#REF!</f>
        <v>#REF!</v>
      </c>
      <c r="E415" t="e">
        <f>#REF!</f>
        <v>#REF!</v>
      </c>
      <c r="G415" t="e">
        <f t="shared" si="31"/>
        <v>#REF!</v>
      </c>
      <c r="H415" t="e">
        <f t="shared" si="32"/>
        <v>#REF!</v>
      </c>
      <c r="I415" s="141" t="e">
        <f t="shared" si="33"/>
        <v>#REF!</v>
      </c>
      <c r="J415" t="e">
        <f t="shared" si="34"/>
        <v>#REF!</v>
      </c>
      <c r="K415" s="141" t="e">
        <f t="shared" si="35"/>
        <v>#REF!</v>
      </c>
    </row>
    <row r="416" spans="1:11" hidden="1" x14ac:dyDescent="0.25">
      <c r="A416" t="e">
        <f>#REF!</f>
        <v>#REF!</v>
      </c>
      <c r="B416" t="e">
        <f>#REF!</f>
        <v>#REF!</v>
      </c>
      <c r="C416" t="e">
        <f>#REF!</f>
        <v>#REF!</v>
      </c>
      <c r="D416" t="e">
        <f>#REF!</f>
        <v>#REF!</v>
      </c>
      <c r="E416" t="e">
        <f>#REF!</f>
        <v>#REF!</v>
      </c>
      <c r="G416" t="e">
        <f t="shared" si="31"/>
        <v>#REF!</v>
      </c>
      <c r="H416" t="e">
        <f t="shared" si="32"/>
        <v>#REF!</v>
      </c>
      <c r="I416" s="141" t="e">
        <f t="shared" si="33"/>
        <v>#REF!</v>
      </c>
      <c r="J416" t="e">
        <f t="shared" si="34"/>
        <v>#REF!</v>
      </c>
      <c r="K416" s="141" t="e">
        <f t="shared" si="35"/>
        <v>#REF!</v>
      </c>
    </row>
    <row r="417" spans="1:11" hidden="1" x14ac:dyDescent="0.25">
      <c r="A417" t="e">
        <f>#REF!</f>
        <v>#REF!</v>
      </c>
      <c r="B417" t="e">
        <f>#REF!</f>
        <v>#REF!</v>
      </c>
      <c r="C417" t="e">
        <f>#REF!</f>
        <v>#REF!</v>
      </c>
      <c r="D417" t="e">
        <f>#REF!</f>
        <v>#REF!</v>
      </c>
      <c r="E417" t="e">
        <f>#REF!</f>
        <v>#REF!</v>
      </c>
      <c r="G417" t="e">
        <f t="shared" si="31"/>
        <v>#REF!</v>
      </c>
      <c r="H417" t="e">
        <f t="shared" si="32"/>
        <v>#REF!</v>
      </c>
      <c r="I417" s="141" t="e">
        <f t="shared" si="33"/>
        <v>#REF!</v>
      </c>
      <c r="J417" t="e">
        <f t="shared" si="34"/>
        <v>#REF!</v>
      </c>
      <c r="K417" s="141" t="e">
        <f t="shared" si="35"/>
        <v>#REF!</v>
      </c>
    </row>
    <row r="418" spans="1:11" hidden="1" x14ac:dyDescent="0.25">
      <c r="A418" t="e">
        <f>#REF!</f>
        <v>#REF!</v>
      </c>
      <c r="B418" t="e">
        <f>#REF!</f>
        <v>#REF!</v>
      </c>
      <c r="C418" t="e">
        <f>#REF!</f>
        <v>#REF!</v>
      </c>
      <c r="D418" t="e">
        <f>#REF!</f>
        <v>#REF!</v>
      </c>
      <c r="E418" t="e">
        <f>#REF!</f>
        <v>#REF!</v>
      </c>
      <c r="G418" t="e">
        <f t="shared" si="31"/>
        <v>#REF!</v>
      </c>
      <c r="H418" t="e">
        <f t="shared" si="32"/>
        <v>#REF!</v>
      </c>
      <c r="I418" s="141" t="e">
        <f t="shared" si="33"/>
        <v>#REF!</v>
      </c>
      <c r="J418" t="e">
        <f t="shared" si="34"/>
        <v>#REF!</v>
      </c>
      <c r="K418" s="141" t="e">
        <f t="shared" si="35"/>
        <v>#REF!</v>
      </c>
    </row>
    <row r="419" spans="1:11" hidden="1" x14ac:dyDescent="0.25">
      <c r="A419" t="e">
        <f>#REF!</f>
        <v>#REF!</v>
      </c>
      <c r="B419" t="e">
        <f>#REF!</f>
        <v>#REF!</v>
      </c>
      <c r="C419" t="e">
        <f>#REF!</f>
        <v>#REF!</v>
      </c>
      <c r="D419" t="e">
        <f>#REF!</f>
        <v>#REF!</v>
      </c>
      <c r="E419" t="e">
        <f>#REF!</f>
        <v>#REF!</v>
      </c>
      <c r="G419" t="e">
        <f t="shared" si="31"/>
        <v>#REF!</v>
      </c>
      <c r="H419" t="e">
        <f t="shared" si="32"/>
        <v>#REF!</v>
      </c>
      <c r="I419" s="141" t="e">
        <f t="shared" si="33"/>
        <v>#REF!</v>
      </c>
      <c r="J419" t="e">
        <f t="shared" si="34"/>
        <v>#REF!</v>
      </c>
      <c r="K419" s="141" t="e">
        <f t="shared" si="35"/>
        <v>#REF!</v>
      </c>
    </row>
    <row r="420" spans="1:11" hidden="1" x14ac:dyDescent="0.25">
      <c r="A420" t="e">
        <f>#REF!</f>
        <v>#REF!</v>
      </c>
      <c r="B420" t="e">
        <f>#REF!</f>
        <v>#REF!</v>
      </c>
      <c r="C420" t="e">
        <f>#REF!</f>
        <v>#REF!</v>
      </c>
      <c r="D420" t="e">
        <f>#REF!</f>
        <v>#REF!</v>
      </c>
      <c r="E420" t="e">
        <f>#REF!</f>
        <v>#REF!</v>
      </c>
      <c r="G420" t="e">
        <f t="shared" si="31"/>
        <v>#REF!</v>
      </c>
      <c r="H420" t="e">
        <f t="shared" si="32"/>
        <v>#REF!</v>
      </c>
      <c r="I420" s="141" t="e">
        <f t="shared" si="33"/>
        <v>#REF!</v>
      </c>
      <c r="J420" t="e">
        <f t="shared" si="34"/>
        <v>#REF!</v>
      </c>
      <c r="K420" s="141" t="e">
        <f t="shared" si="35"/>
        <v>#REF!</v>
      </c>
    </row>
    <row r="421" spans="1:11" hidden="1" x14ac:dyDescent="0.25">
      <c r="A421" t="e">
        <f>#REF!</f>
        <v>#REF!</v>
      </c>
      <c r="B421" t="e">
        <f>#REF!</f>
        <v>#REF!</v>
      </c>
      <c r="C421" t="e">
        <f>#REF!</f>
        <v>#REF!</v>
      </c>
      <c r="D421" t="e">
        <f>#REF!</f>
        <v>#REF!</v>
      </c>
      <c r="E421" t="e">
        <f>#REF!</f>
        <v>#REF!</v>
      </c>
      <c r="G421" t="e">
        <f t="shared" si="31"/>
        <v>#REF!</v>
      </c>
      <c r="H421" t="e">
        <f t="shared" si="32"/>
        <v>#REF!</v>
      </c>
      <c r="I421" s="141" t="e">
        <f t="shared" si="33"/>
        <v>#REF!</v>
      </c>
      <c r="J421" t="e">
        <f t="shared" si="34"/>
        <v>#REF!</v>
      </c>
      <c r="K421" s="141" t="e">
        <f t="shared" si="35"/>
        <v>#REF!</v>
      </c>
    </row>
    <row r="422" spans="1:11" hidden="1" x14ac:dyDescent="0.25">
      <c r="A422" t="e">
        <f>#REF!</f>
        <v>#REF!</v>
      </c>
      <c r="B422" t="e">
        <f>#REF!</f>
        <v>#REF!</v>
      </c>
      <c r="C422" t="e">
        <f>#REF!</f>
        <v>#REF!</v>
      </c>
      <c r="D422" t="e">
        <f>#REF!</f>
        <v>#REF!</v>
      </c>
      <c r="E422" t="e">
        <f>#REF!</f>
        <v>#REF!</v>
      </c>
      <c r="G422" t="e">
        <f t="shared" si="31"/>
        <v>#REF!</v>
      </c>
      <c r="H422" t="e">
        <f t="shared" si="32"/>
        <v>#REF!</v>
      </c>
      <c r="I422" s="141" t="e">
        <f t="shared" si="33"/>
        <v>#REF!</v>
      </c>
      <c r="J422" t="e">
        <f t="shared" si="34"/>
        <v>#REF!</v>
      </c>
      <c r="K422" s="141" t="e">
        <f t="shared" si="35"/>
        <v>#REF!</v>
      </c>
    </row>
    <row r="423" spans="1:11" hidden="1" x14ac:dyDescent="0.25">
      <c r="A423" t="e">
        <f>#REF!</f>
        <v>#REF!</v>
      </c>
      <c r="B423" t="e">
        <f>#REF!</f>
        <v>#REF!</v>
      </c>
      <c r="C423" t="e">
        <f>#REF!</f>
        <v>#REF!</v>
      </c>
      <c r="D423" t="e">
        <f>#REF!</f>
        <v>#REF!</v>
      </c>
      <c r="E423" t="e">
        <f>#REF!</f>
        <v>#REF!</v>
      </c>
      <c r="G423" t="e">
        <f t="shared" si="31"/>
        <v>#REF!</v>
      </c>
      <c r="H423" t="e">
        <f t="shared" si="32"/>
        <v>#REF!</v>
      </c>
      <c r="I423" s="141" t="e">
        <f t="shared" si="33"/>
        <v>#REF!</v>
      </c>
      <c r="J423" t="e">
        <f t="shared" si="34"/>
        <v>#REF!</v>
      </c>
      <c r="K423" s="141" t="e">
        <f t="shared" si="35"/>
        <v>#REF!</v>
      </c>
    </row>
    <row r="424" spans="1:11" hidden="1" x14ac:dyDescent="0.25">
      <c r="A424" t="e">
        <f>#REF!</f>
        <v>#REF!</v>
      </c>
      <c r="B424" t="e">
        <f>#REF!</f>
        <v>#REF!</v>
      </c>
      <c r="C424" t="e">
        <f>#REF!</f>
        <v>#REF!</v>
      </c>
      <c r="D424" t="e">
        <f>#REF!</f>
        <v>#REF!</v>
      </c>
      <c r="E424" t="e">
        <f>#REF!</f>
        <v>#REF!</v>
      </c>
      <c r="G424" t="e">
        <f t="shared" si="31"/>
        <v>#REF!</v>
      </c>
      <c r="H424" t="e">
        <f t="shared" si="32"/>
        <v>#REF!</v>
      </c>
      <c r="I424" s="141" t="e">
        <f t="shared" si="33"/>
        <v>#REF!</v>
      </c>
      <c r="J424" t="e">
        <f t="shared" si="34"/>
        <v>#REF!</v>
      </c>
      <c r="K424" s="141" t="e">
        <f t="shared" si="35"/>
        <v>#REF!</v>
      </c>
    </row>
    <row r="425" spans="1:11" hidden="1" x14ac:dyDescent="0.25">
      <c r="A425" t="e">
        <f>#REF!</f>
        <v>#REF!</v>
      </c>
      <c r="B425" t="e">
        <f>#REF!</f>
        <v>#REF!</v>
      </c>
      <c r="C425" t="e">
        <f>#REF!</f>
        <v>#REF!</v>
      </c>
      <c r="D425" t="e">
        <f>#REF!</f>
        <v>#REF!</v>
      </c>
      <c r="E425" t="e">
        <f>#REF!</f>
        <v>#REF!</v>
      </c>
      <c r="G425" t="e">
        <f t="shared" si="31"/>
        <v>#REF!</v>
      </c>
      <c r="H425" t="e">
        <f t="shared" si="32"/>
        <v>#REF!</v>
      </c>
      <c r="I425" s="141" t="e">
        <f t="shared" si="33"/>
        <v>#REF!</v>
      </c>
      <c r="J425" t="e">
        <f t="shared" si="34"/>
        <v>#REF!</v>
      </c>
      <c r="K425" s="141" t="e">
        <f t="shared" si="35"/>
        <v>#REF!</v>
      </c>
    </row>
    <row r="426" spans="1:11" hidden="1" x14ac:dyDescent="0.25">
      <c r="A426" t="e">
        <f>#REF!</f>
        <v>#REF!</v>
      </c>
      <c r="B426" t="e">
        <f>#REF!</f>
        <v>#REF!</v>
      </c>
      <c r="C426" t="e">
        <f>#REF!</f>
        <v>#REF!</v>
      </c>
      <c r="D426" t="e">
        <f>#REF!</f>
        <v>#REF!</v>
      </c>
      <c r="E426" t="e">
        <f>#REF!</f>
        <v>#REF!</v>
      </c>
      <c r="G426" t="e">
        <f t="shared" si="31"/>
        <v>#REF!</v>
      </c>
      <c r="H426" t="e">
        <f t="shared" si="32"/>
        <v>#REF!</v>
      </c>
      <c r="I426" s="141" t="e">
        <f t="shared" si="33"/>
        <v>#REF!</v>
      </c>
      <c r="J426" t="e">
        <f t="shared" si="34"/>
        <v>#REF!</v>
      </c>
      <c r="K426" s="141" t="e">
        <f t="shared" si="35"/>
        <v>#REF!</v>
      </c>
    </row>
    <row r="427" spans="1:11" hidden="1" x14ac:dyDescent="0.25">
      <c r="A427" t="e">
        <f>#REF!</f>
        <v>#REF!</v>
      </c>
      <c r="B427" t="e">
        <f>#REF!</f>
        <v>#REF!</v>
      </c>
      <c r="C427" t="e">
        <f>#REF!</f>
        <v>#REF!</v>
      </c>
      <c r="D427" t="e">
        <f>#REF!</f>
        <v>#REF!</v>
      </c>
      <c r="E427" t="e">
        <f>#REF!</f>
        <v>#REF!</v>
      </c>
      <c r="G427" t="e">
        <f t="shared" si="31"/>
        <v>#REF!</v>
      </c>
      <c r="H427" t="e">
        <f t="shared" si="32"/>
        <v>#REF!</v>
      </c>
      <c r="I427" s="141" t="e">
        <f t="shared" si="33"/>
        <v>#REF!</v>
      </c>
      <c r="J427" t="e">
        <f t="shared" si="34"/>
        <v>#REF!</v>
      </c>
      <c r="K427" s="141" t="e">
        <f t="shared" si="35"/>
        <v>#REF!</v>
      </c>
    </row>
    <row r="428" spans="1:11" hidden="1" x14ac:dyDescent="0.25">
      <c r="A428" t="e">
        <f>#REF!</f>
        <v>#REF!</v>
      </c>
      <c r="B428" t="e">
        <f>#REF!</f>
        <v>#REF!</v>
      </c>
      <c r="C428" t="e">
        <f>#REF!</f>
        <v>#REF!</v>
      </c>
      <c r="D428" t="e">
        <f>#REF!</f>
        <v>#REF!</v>
      </c>
      <c r="E428" t="e">
        <f>#REF!</f>
        <v>#REF!</v>
      </c>
      <c r="G428" t="e">
        <f t="shared" si="31"/>
        <v>#REF!</v>
      </c>
      <c r="H428" t="e">
        <f t="shared" si="32"/>
        <v>#REF!</v>
      </c>
      <c r="I428" s="141" t="e">
        <f t="shared" si="33"/>
        <v>#REF!</v>
      </c>
      <c r="J428" t="e">
        <f t="shared" si="34"/>
        <v>#REF!</v>
      </c>
      <c r="K428" s="141" t="e">
        <f t="shared" si="35"/>
        <v>#REF!</v>
      </c>
    </row>
    <row r="429" spans="1:11" hidden="1" x14ac:dyDescent="0.25">
      <c r="A429" t="e">
        <f>#REF!</f>
        <v>#REF!</v>
      </c>
      <c r="B429" t="e">
        <f>#REF!</f>
        <v>#REF!</v>
      </c>
      <c r="C429" t="e">
        <f>#REF!</f>
        <v>#REF!</v>
      </c>
      <c r="D429" t="e">
        <f>#REF!</f>
        <v>#REF!</v>
      </c>
      <c r="E429" t="e">
        <f>#REF!</f>
        <v>#REF!</v>
      </c>
      <c r="G429" t="e">
        <f t="shared" si="31"/>
        <v>#REF!</v>
      </c>
      <c r="H429" t="e">
        <f t="shared" si="32"/>
        <v>#REF!</v>
      </c>
      <c r="I429" s="141" t="e">
        <f t="shared" si="33"/>
        <v>#REF!</v>
      </c>
      <c r="J429" t="e">
        <f t="shared" si="34"/>
        <v>#REF!</v>
      </c>
      <c r="K429" s="141" t="e">
        <f t="shared" si="35"/>
        <v>#REF!</v>
      </c>
    </row>
    <row r="430" spans="1:11" hidden="1" x14ac:dyDescent="0.25">
      <c r="A430" t="e">
        <f>#REF!</f>
        <v>#REF!</v>
      </c>
      <c r="B430" t="e">
        <f>#REF!</f>
        <v>#REF!</v>
      </c>
      <c r="C430" t="e">
        <f>#REF!</f>
        <v>#REF!</v>
      </c>
      <c r="D430" t="e">
        <f>#REF!</f>
        <v>#REF!</v>
      </c>
      <c r="E430" t="e">
        <f>#REF!</f>
        <v>#REF!</v>
      </c>
      <c r="G430" t="e">
        <f t="shared" si="31"/>
        <v>#REF!</v>
      </c>
      <c r="H430" t="e">
        <f t="shared" si="32"/>
        <v>#REF!</v>
      </c>
      <c r="I430" s="141" t="e">
        <f t="shared" si="33"/>
        <v>#REF!</v>
      </c>
      <c r="J430" t="e">
        <f t="shared" si="34"/>
        <v>#REF!</v>
      </c>
      <c r="K430" s="141" t="e">
        <f t="shared" si="35"/>
        <v>#REF!</v>
      </c>
    </row>
    <row r="431" spans="1:11" hidden="1" x14ac:dyDescent="0.25">
      <c r="A431" t="e">
        <f>#REF!</f>
        <v>#REF!</v>
      </c>
      <c r="B431" t="e">
        <f>#REF!</f>
        <v>#REF!</v>
      </c>
      <c r="C431" t="e">
        <f>#REF!</f>
        <v>#REF!</v>
      </c>
      <c r="D431" t="e">
        <f>#REF!</f>
        <v>#REF!</v>
      </c>
      <c r="E431" t="e">
        <f>#REF!</f>
        <v>#REF!</v>
      </c>
      <c r="G431" t="e">
        <f t="shared" si="31"/>
        <v>#REF!</v>
      </c>
      <c r="H431" t="e">
        <f t="shared" si="32"/>
        <v>#REF!</v>
      </c>
      <c r="I431" s="141" t="e">
        <f t="shared" si="33"/>
        <v>#REF!</v>
      </c>
      <c r="J431" t="e">
        <f t="shared" si="34"/>
        <v>#REF!</v>
      </c>
      <c r="K431" s="141" t="e">
        <f t="shared" si="35"/>
        <v>#REF!</v>
      </c>
    </row>
    <row r="432" spans="1:11" hidden="1" x14ac:dyDescent="0.25">
      <c r="A432" t="e">
        <f>#REF!</f>
        <v>#REF!</v>
      </c>
      <c r="B432" t="e">
        <f>#REF!</f>
        <v>#REF!</v>
      </c>
      <c r="C432" t="e">
        <f>#REF!</f>
        <v>#REF!</v>
      </c>
      <c r="D432" t="e">
        <f>#REF!</f>
        <v>#REF!</v>
      </c>
      <c r="E432" t="e">
        <f>#REF!</f>
        <v>#REF!</v>
      </c>
      <c r="G432" t="e">
        <f t="shared" si="31"/>
        <v>#REF!</v>
      </c>
      <c r="H432" t="e">
        <f t="shared" si="32"/>
        <v>#REF!</v>
      </c>
      <c r="I432" s="141" t="e">
        <f t="shared" si="33"/>
        <v>#REF!</v>
      </c>
      <c r="J432" t="e">
        <f t="shared" si="34"/>
        <v>#REF!</v>
      </c>
      <c r="K432" s="141" t="e">
        <f t="shared" si="35"/>
        <v>#REF!</v>
      </c>
    </row>
    <row r="433" spans="1:11" hidden="1" x14ac:dyDescent="0.25">
      <c r="A433" t="e">
        <f>#REF!</f>
        <v>#REF!</v>
      </c>
      <c r="B433" t="e">
        <f>#REF!</f>
        <v>#REF!</v>
      </c>
      <c r="C433" t="e">
        <f>#REF!</f>
        <v>#REF!</v>
      </c>
      <c r="D433" t="e">
        <f>#REF!</f>
        <v>#REF!</v>
      </c>
      <c r="E433" t="e">
        <f>#REF!</f>
        <v>#REF!</v>
      </c>
      <c r="G433" t="e">
        <f t="shared" si="31"/>
        <v>#REF!</v>
      </c>
      <c r="H433" t="e">
        <f t="shared" si="32"/>
        <v>#REF!</v>
      </c>
      <c r="I433" s="141" t="e">
        <f t="shared" si="33"/>
        <v>#REF!</v>
      </c>
      <c r="J433" t="e">
        <f t="shared" si="34"/>
        <v>#REF!</v>
      </c>
      <c r="K433" s="141" t="e">
        <f t="shared" si="35"/>
        <v>#REF!</v>
      </c>
    </row>
    <row r="434" spans="1:11" hidden="1" x14ac:dyDescent="0.25">
      <c r="A434" t="e">
        <f>#REF!</f>
        <v>#REF!</v>
      </c>
      <c r="B434" t="e">
        <f>#REF!</f>
        <v>#REF!</v>
      </c>
      <c r="C434" t="e">
        <f>#REF!</f>
        <v>#REF!</v>
      </c>
      <c r="D434" t="e">
        <f>#REF!</f>
        <v>#REF!</v>
      </c>
      <c r="E434" t="e">
        <f>#REF!</f>
        <v>#REF!</v>
      </c>
      <c r="G434" t="e">
        <f t="shared" si="31"/>
        <v>#REF!</v>
      </c>
      <c r="H434" t="e">
        <f t="shared" si="32"/>
        <v>#REF!</v>
      </c>
      <c r="I434" s="141" t="e">
        <f t="shared" si="33"/>
        <v>#REF!</v>
      </c>
      <c r="J434" t="e">
        <f t="shared" si="34"/>
        <v>#REF!</v>
      </c>
      <c r="K434" s="141" t="e">
        <f t="shared" si="35"/>
        <v>#REF!</v>
      </c>
    </row>
    <row r="435" spans="1:11" hidden="1" x14ac:dyDescent="0.25">
      <c r="A435" t="e">
        <f>#REF!</f>
        <v>#REF!</v>
      </c>
      <c r="B435" t="e">
        <f>#REF!</f>
        <v>#REF!</v>
      </c>
      <c r="C435" t="e">
        <f>#REF!</f>
        <v>#REF!</v>
      </c>
      <c r="D435" t="e">
        <f>#REF!</f>
        <v>#REF!</v>
      </c>
      <c r="E435" t="e">
        <f>#REF!</f>
        <v>#REF!</v>
      </c>
      <c r="G435" t="e">
        <f t="shared" si="31"/>
        <v>#REF!</v>
      </c>
      <c r="H435" t="e">
        <f t="shared" si="32"/>
        <v>#REF!</v>
      </c>
      <c r="I435" s="141" t="e">
        <f t="shared" si="33"/>
        <v>#REF!</v>
      </c>
      <c r="J435" t="e">
        <f t="shared" si="34"/>
        <v>#REF!</v>
      </c>
      <c r="K435" s="141" t="e">
        <f t="shared" si="35"/>
        <v>#REF!</v>
      </c>
    </row>
    <row r="436" spans="1:11" hidden="1" x14ac:dyDescent="0.25">
      <c r="A436" t="e">
        <f>#REF!</f>
        <v>#REF!</v>
      </c>
      <c r="B436" t="e">
        <f>#REF!</f>
        <v>#REF!</v>
      </c>
      <c r="C436" t="e">
        <f>#REF!</f>
        <v>#REF!</v>
      </c>
      <c r="D436" t="e">
        <f>#REF!</f>
        <v>#REF!</v>
      </c>
      <c r="E436" t="e">
        <f>#REF!</f>
        <v>#REF!</v>
      </c>
      <c r="G436" t="e">
        <f t="shared" si="31"/>
        <v>#REF!</v>
      </c>
      <c r="H436" t="e">
        <f t="shared" si="32"/>
        <v>#REF!</v>
      </c>
      <c r="I436" s="141" t="e">
        <f t="shared" si="33"/>
        <v>#REF!</v>
      </c>
      <c r="J436" t="e">
        <f t="shared" si="34"/>
        <v>#REF!</v>
      </c>
      <c r="K436" s="141" t="e">
        <f t="shared" si="35"/>
        <v>#REF!</v>
      </c>
    </row>
    <row r="437" spans="1:11" hidden="1" x14ac:dyDescent="0.25">
      <c r="A437" t="e">
        <f>#REF!</f>
        <v>#REF!</v>
      </c>
      <c r="B437" t="e">
        <f>#REF!</f>
        <v>#REF!</v>
      </c>
      <c r="C437" t="e">
        <f>#REF!</f>
        <v>#REF!</v>
      </c>
      <c r="D437" t="e">
        <f>#REF!</f>
        <v>#REF!</v>
      </c>
      <c r="E437" t="e">
        <f>#REF!</f>
        <v>#REF!</v>
      </c>
      <c r="G437" t="e">
        <f t="shared" si="31"/>
        <v>#REF!</v>
      </c>
      <c r="H437" t="e">
        <f t="shared" si="32"/>
        <v>#REF!</v>
      </c>
      <c r="I437" s="141" t="e">
        <f t="shared" si="33"/>
        <v>#REF!</v>
      </c>
      <c r="J437" t="e">
        <f t="shared" si="34"/>
        <v>#REF!</v>
      </c>
      <c r="K437" s="141" t="e">
        <f t="shared" si="35"/>
        <v>#REF!</v>
      </c>
    </row>
    <row r="438" spans="1:11" hidden="1" x14ac:dyDescent="0.25">
      <c r="A438" t="e">
        <f>#REF!</f>
        <v>#REF!</v>
      </c>
      <c r="B438" t="e">
        <f>#REF!</f>
        <v>#REF!</v>
      </c>
      <c r="C438" t="e">
        <f>#REF!</f>
        <v>#REF!</v>
      </c>
      <c r="D438" t="e">
        <f>#REF!</f>
        <v>#REF!</v>
      </c>
      <c r="E438" t="e">
        <f>#REF!</f>
        <v>#REF!</v>
      </c>
      <c r="G438" t="e">
        <f t="shared" si="31"/>
        <v>#REF!</v>
      </c>
      <c r="H438" t="e">
        <f t="shared" si="32"/>
        <v>#REF!</v>
      </c>
      <c r="I438" s="141" t="e">
        <f t="shared" si="33"/>
        <v>#REF!</v>
      </c>
      <c r="J438" t="e">
        <f t="shared" si="34"/>
        <v>#REF!</v>
      </c>
      <c r="K438" s="141" t="e">
        <f t="shared" si="35"/>
        <v>#REF!</v>
      </c>
    </row>
    <row r="439" spans="1:11" hidden="1" x14ac:dyDescent="0.25">
      <c r="A439" t="e">
        <f>#REF!</f>
        <v>#REF!</v>
      </c>
      <c r="B439" t="e">
        <f>#REF!</f>
        <v>#REF!</v>
      </c>
      <c r="C439" t="e">
        <f>#REF!</f>
        <v>#REF!</v>
      </c>
      <c r="D439" t="e">
        <f>#REF!</f>
        <v>#REF!</v>
      </c>
      <c r="E439" t="e">
        <f>#REF!</f>
        <v>#REF!</v>
      </c>
      <c r="G439" t="e">
        <f t="shared" si="31"/>
        <v>#REF!</v>
      </c>
      <c r="H439" t="e">
        <f t="shared" si="32"/>
        <v>#REF!</v>
      </c>
      <c r="I439" s="141" t="e">
        <f t="shared" si="33"/>
        <v>#REF!</v>
      </c>
      <c r="J439" t="e">
        <f t="shared" si="34"/>
        <v>#REF!</v>
      </c>
      <c r="K439" s="141" t="e">
        <f t="shared" si="35"/>
        <v>#REF!</v>
      </c>
    </row>
    <row r="440" spans="1:11" hidden="1" x14ac:dyDescent="0.25">
      <c r="A440" t="e">
        <f>#REF!</f>
        <v>#REF!</v>
      </c>
      <c r="B440" t="e">
        <f>#REF!</f>
        <v>#REF!</v>
      </c>
      <c r="C440" t="e">
        <f>#REF!</f>
        <v>#REF!</v>
      </c>
      <c r="D440" t="e">
        <f>#REF!</f>
        <v>#REF!</v>
      </c>
      <c r="E440" t="e">
        <f>#REF!</f>
        <v>#REF!</v>
      </c>
      <c r="G440" t="e">
        <f t="shared" si="31"/>
        <v>#REF!</v>
      </c>
      <c r="H440" t="e">
        <f t="shared" si="32"/>
        <v>#REF!</v>
      </c>
      <c r="I440" s="141" t="e">
        <f t="shared" si="33"/>
        <v>#REF!</v>
      </c>
      <c r="J440" t="e">
        <f t="shared" si="34"/>
        <v>#REF!</v>
      </c>
      <c r="K440" s="141" t="e">
        <f t="shared" si="35"/>
        <v>#REF!</v>
      </c>
    </row>
    <row r="441" spans="1:11" hidden="1" x14ac:dyDescent="0.25">
      <c r="A441" t="e">
        <f>#REF!</f>
        <v>#REF!</v>
      </c>
      <c r="B441" t="e">
        <f>#REF!</f>
        <v>#REF!</v>
      </c>
      <c r="C441" t="e">
        <f>#REF!</f>
        <v>#REF!</v>
      </c>
      <c r="D441" t="e">
        <f>#REF!</f>
        <v>#REF!</v>
      </c>
      <c r="E441" t="e">
        <f>#REF!</f>
        <v>#REF!</v>
      </c>
      <c r="G441" t="e">
        <f t="shared" si="31"/>
        <v>#REF!</v>
      </c>
      <c r="H441" t="e">
        <f t="shared" si="32"/>
        <v>#REF!</v>
      </c>
      <c r="I441" s="141" t="e">
        <f t="shared" si="33"/>
        <v>#REF!</v>
      </c>
      <c r="J441" t="e">
        <f t="shared" si="34"/>
        <v>#REF!</v>
      </c>
      <c r="K441" s="141" t="e">
        <f t="shared" si="35"/>
        <v>#REF!</v>
      </c>
    </row>
    <row r="442" spans="1:11" hidden="1" x14ac:dyDescent="0.25">
      <c r="A442" t="e">
        <f>#REF!</f>
        <v>#REF!</v>
      </c>
      <c r="B442" t="e">
        <f>#REF!</f>
        <v>#REF!</v>
      </c>
      <c r="C442" t="e">
        <f>#REF!</f>
        <v>#REF!</v>
      </c>
      <c r="D442" t="e">
        <f>#REF!</f>
        <v>#REF!</v>
      </c>
      <c r="E442" t="e">
        <f>#REF!</f>
        <v>#REF!</v>
      </c>
      <c r="G442" t="e">
        <f t="shared" si="31"/>
        <v>#REF!</v>
      </c>
      <c r="H442" t="e">
        <f t="shared" si="32"/>
        <v>#REF!</v>
      </c>
      <c r="I442" s="141" t="e">
        <f t="shared" si="33"/>
        <v>#REF!</v>
      </c>
      <c r="J442" t="e">
        <f t="shared" si="34"/>
        <v>#REF!</v>
      </c>
      <c r="K442" s="141" t="e">
        <f t="shared" si="35"/>
        <v>#REF!</v>
      </c>
    </row>
    <row r="443" spans="1:11" hidden="1" x14ac:dyDescent="0.25">
      <c r="A443" t="e">
        <f>#REF!</f>
        <v>#REF!</v>
      </c>
      <c r="B443" t="e">
        <f>#REF!</f>
        <v>#REF!</v>
      </c>
      <c r="C443" t="e">
        <f>#REF!</f>
        <v>#REF!</v>
      </c>
      <c r="D443" t="e">
        <f>#REF!</f>
        <v>#REF!</v>
      </c>
      <c r="E443" t="e">
        <f>#REF!</f>
        <v>#REF!</v>
      </c>
      <c r="G443" t="e">
        <f t="shared" si="31"/>
        <v>#REF!</v>
      </c>
      <c r="H443" t="e">
        <f t="shared" si="32"/>
        <v>#REF!</v>
      </c>
      <c r="I443" s="141" t="e">
        <f t="shared" si="33"/>
        <v>#REF!</v>
      </c>
      <c r="J443" t="e">
        <f t="shared" si="34"/>
        <v>#REF!</v>
      </c>
      <c r="K443" s="141" t="e">
        <f t="shared" si="35"/>
        <v>#REF!</v>
      </c>
    </row>
    <row r="444" spans="1:11" hidden="1" x14ac:dyDescent="0.25">
      <c r="A444" t="e">
        <f>#REF!</f>
        <v>#REF!</v>
      </c>
      <c r="B444" t="e">
        <f>#REF!</f>
        <v>#REF!</v>
      </c>
      <c r="C444" t="e">
        <f>#REF!</f>
        <v>#REF!</v>
      </c>
      <c r="D444" t="e">
        <f>#REF!</f>
        <v>#REF!</v>
      </c>
      <c r="E444" t="e">
        <f>#REF!</f>
        <v>#REF!</v>
      </c>
      <c r="G444" t="e">
        <f t="shared" si="31"/>
        <v>#REF!</v>
      </c>
      <c r="H444" t="e">
        <f t="shared" si="32"/>
        <v>#REF!</v>
      </c>
      <c r="I444" s="141" t="e">
        <f t="shared" si="33"/>
        <v>#REF!</v>
      </c>
      <c r="J444" t="e">
        <f t="shared" si="34"/>
        <v>#REF!</v>
      </c>
      <c r="K444" s="141" t="e">
        <f t="shared" si="35"/>
        <v>#REF!</v>
      </c>
    </row>
    <row r="445" spans="1:11" hidden="1" x14ac:dyDescent="0.25">
      <c r="A445" t="e">
        <f>#REF!</f>
        <v>#REF!</v>
      </c>
      <c r="B445" t="e">
        <f>#REF!</f>
        <v>#REF!</v>
      </c>
      <c r="C445" t="e">
        <f>#REF!</f>
        <v>#REF!</v>
      </c>
      <c r="D445" t="e">
        <f>#REF!</f>
        <v>#REF!</v>
      </c>
      <c r="E445" t="e">
        <f>#REF!</f>
        <v>#REF!</v>
      </c>
      <c r="G445" t="e">
        <f t="shared" si="31"/>
        <v>#REF!</v>
      </c>
      <c r="H445" t="e">
        <f t="shared" si="32"/>
        <v>#REF!</v>
      </c>
      <c r="I445" s="141" t="e">
        <f t="shared" si="33"/>
        <v>#REF!</v>
      </c>
      <c r="J445" t="e">
        <f t="shared" si="34"/>
        <v>#REF!</v>
      </c>
      <c r="K445" s="141" t="e">
        <f t="shared" si="35"/>
        <v>#REF!</v>
      </c>
    </row>
    <row r="446" spans="1:11" hidden="1" x14ac:dyDescent="0.25">
      <c r="A446" t="e">
        <f>#REF!</f>
        <v>#REF!</v>
      </c>
      <c r="B446" t="e">
        <f>#REF!</f>
        <v>#REF!</v>
      </c>
      <c r="C446" t="e">
        <f>#REF!</f>
        <v>#REF!</v>
      </c>
      <c r="D446" t="e">
        <f>#REF!</f>
        <v>#REF!</v>
      </c>
      <c r="E446" t="e">
        <f>#REF!</f>
        <v>#REF!</v>
      </c>
      <c r="G446" t="e">
        <f t="shared" si="31"/>
        <v>#REF!</v>
      </c>
      <c r="H446" t="e">
        <f t="shared" si="32"/>
        <v>#REF!</v>
      </c>
      <c r="I446" s="141" t="e">
        <f t="shared" si="33"/>
        <v>#REF!</v>
      </c>
      <c r="J446" t="e">
        <f t="shared" si="34"/>
        <v>#REF!</v>
      </c>
      <c r="K446" s="141" t="e">
        <f t="shared" si="35"/>
        <v>#REF!</v>
      </c>
    </row>
    <row r="447" spans="1:11" hidden="1" x14ac:dyDescent="0.25">
      <c r="A447" t="e">
        <f>#REF!</f>
        <v>#REF!</v>
      </c>
      <c r="B447" t="e">
        <f>#REF!</f>
        <v>#REF!</v>
      </c>
      <c r="C447" t="e">
        <f>#REF!</f>
        <v>#REF!</v>
      </c>
      <c r="D447" t="e">
        <f>#REF!</f>
        <v>#REF!</v>
      </c>
      <c r="E447" t="e">
        <f>#REF!</f>
        <v>#REF!</v>
      </c>
      <c r="G447" t="e">
        <f t="shared" si="31"/>
        <v>#REF!</v>
      </c>
      <c r="H447" t="e">
        <f t="shared" si="32"/>
        <v>#REF!</v>
      </c>
      <c r="I447" s="141" t="e">
        <f t="shared" si="33"/>
        <v>#REF!</v>
      </c>
      <c r="J447" t="e">
        <f t="shared" si="34"/>
        <v>#REF!</v>
      </c>
      <c r="K447" s="141" t="e">
        <f t="shared" si="35"/>
        <v>#REF!</v>
      </c>
    </row>
    <row r="448" spans="1:11" hidden="1" x14ac:dyDescent="0.25">
      <c r="A448" t="e">
        <f>#REF!</f>
        <v>#REF!</v>
      </c>
      <c r="B448" t="e">
        <f>#REF!</f>
        <v>#REF!</v>
      </c>
      <c r="C448" t="e">
        <f>#REF!</f>
        <v>#REF!</v>
      </c>
      <c r="D448" t="e">
        <f>#REF!</f>
        <v>#REF!</v>
      </c>
      <c r="E448" t="e">
        <f>#REF!</f>
        <v>#REF!</v>
      </c>
      <c r="G448" t="e">
        <f t="shared" si="31"/>
        <v>#REF!</v>
      </c>
      <c r="H448" t="e">
        <f t="shared" si="32"/>
        <v>#REF!</v>
      </c>
      <c r="I448" s="141" t="e">
        <f t="shared" si="33"/>
        <v>#REF!</v>
      </c>
      <c r="J448" t="e">
        <f t="shared" si="34"/>
        <v>#REF!</v>
      </c>
      <c r="K448" s="141" t="e">
        <f t="shared" si="35"/>
        <v>#REF!</v>
      </c>
    </row>
    <row r="449" spans="1:11" hidden="1" x14ac:dyDescent="0.25">
      <c r="A449" t="e">
        <f>#REF!</f>
        <v>#REF!</v>
      </c>
      <c r="B449" t="e">
        <f>#REF!</f>
        <v>#REF!</v>
      </c>
      <c r="C449" t="e">
        <f>#REF!</f>
        <v>#REF!</v>
      </c>
      <c r="D449" t="e">
        <f>#REF!</f>
        <v>#REF!</v>
      </c>
      <c r="E449" t="e">
        <f>#REF!</f>
        <v>#REF!</v>
      </c>
      <c r="G449" t="e">
        <f t="shared" si="31"/>
        <v>#REF!</v>
      </c>
      <c r="H449" t="e">
        <f t="shared" si="32"/>
        <v>#REF!</v>
      </c>
      <c r="I449" s="141" t="e">
        <f t="shared" si="33"/>
        <v>#REF!</v>
      </c>
      <c r="J449" t="e">
        <f t="shared" si="34"/>
        <v>#REF!</v>
      </c>
      <c r="K449" s="141" t="e">
        <f t="shared" si="35"/>
        <v>#REF!</v>
      </c>
    </row>
    <row r="450" spans="1:11" hidden="1" x14ac:dyDescent="0.25">
      <c r="A450" t="e">
        <f>#REF!</f>
        <v>#REF!</v>
      </c>
      <c r="B450" t="e">
        <f>#REF!</f>
        <v>#REF!</v>
      </c>
      <c r="C450" t="e">
        <f>#REF!</f>
        <v>#REF!</v>
      </c>
      <c r="D450" t="e">
        <f>#REF!</f>
        <v>#REF!</v>
      </c>
      <c r="E450" t="e">
        <f>#REF!</f>
        <v>#REF!</v>
      </c>
      <c r="G450" t="e">
        <f t="shared" ref="G450:G513" si="36">A450</f>
        <v>#REF!</v>
      </c>
      <c r="H450" t="e">
        <f t="shared" ref="H450:H513" si="37">B450</f>
        <v>#REF!</v>
      </c>
      <c r="I450" s="141" t="e">
        <f t="shared" ref="I450:I513" si="38">C450</f>
        <v>#REF!</v>
      </c>
      <c r="J450" t="e">
        <f t="shared" ref="J450:J513" si="39">D450</f>
        <v>#REF!</v>
      </c>
      <c r="K450" s="141" t="e">
        <f t="shared" ref="K450:K513" si="40">E450</f>
        <v>#REF!</v>
      </c>
    </row>
    <row r="451" spans="1:11" hidden="1" x14ac:dyDescent="0.25">
      <c r="A451" t="e">
        <f>#REF!</f>
        <v>#REF!</v>
      </c>
      <c r="B451" t="e">
        <f>#REF!</f>
        <v>#REF!</v>
      </c>
      <c r="C451" t="e">
        <f>#REF!</f>
        <v>#REF!</v>
      </c>
      <c r="D451" t="e">
        <f>#REF!</f>
        <v>#REF!</v>
      </c>
      <c r="E451" t="e">
        <f>#REF!</f>
        <v>#REF!</v>
      </c>
      <c r="G451" t="e">
        <f t="shared" si="36"/>
        <v>#REF!</v>
      </c>
      <c r="H451" t="e">
        <f t="shared" si="37"/>
        <v>#REF!</v>
      </c>
      <c r="I451" s="141" t="e">
        <f t="shared" si="38"/>
        <v>#REF!</v>
      </c>
      <c r="J451" t="e">
        <f t="shared" si="39"/>
        <v>#REF!</v>
      </c>
      <c r="K451" s="141" t="e">
        <f t="shared" si="40"/>
        <v>#REF!</v>
      </c>
    </row>
    <row r="452" spans="1:11" hidden="1" x14ac:dyDescent="0.25">
      <c r="A452" t="e">
        <f>#REF!</f>
        <v>#REF!</v>
      </c>
      <c r="B452" t="e">
        <f>#REF!</f>
        <v>#REF!</v>
      </c>
      <c r="C452" t="e">
        <f>#REF!</f>
        <v>#REF!</v>
      </c>
      <c r="D452" t="e">
        <f>#REF!</f>
        <v>#REF!</v>
      </c>
      <c r="E452" t="e">
        <f>#REF!</f>
        <v>#REF!</v>
      </c>
      <c r="G452" t="e">
        <f t="shared" si="36"/>
        <v>#REF!</v>
      </c>
      <c r="H452" t="e">
        <f t="shared" si="37"/>
        <v>#REF!</v>
      </c>
      <c r="I452" s="141" t="e">
        <f t="shared" si="38"/>
        <v>#REF!</v>
      </c>
      <c r="J452" t="e">
        <f t="shared" si="39"/>
        <v>#REF!</v>
      </c>
      <c r="K452" s="141" t="e">
        <f t="shared" si="40"/>
        <v>#REF!</v>
      </c>
    </row>
    <row r="453" spans="1:11" hidden="1" x14ac:dyDescent="0.25">
      <c r="A453" t="e">
        <f>#REF!</f>
        <v>#REF!</v>
      </c>
      <c r="B453" t="e">
        <f>#REF!</f>
        <v>#REF!</v>
      </c>
      <c r="C453" t="e">
        <f>#REF!</f>
        <v>#REF!</v>
      </c>
      <c r="D453" t="e">
        <f>#REF!</f>
        <v>#REF!</v>
      </c>
      <c r="E453" t="e">
        <f>#REF!</f>
        <v>#REF!</v>
      </c>
      <c r="G453" t="e">
        <f t="shared" si="36"/>
        <v>#REF!</v>
      </c>
      <c r="H453" t="e">
        <f t="shared" si="37"/>
        <v>#REF!</v>
      </c>
      <c r="I453" s="141" t="e">
        <f t="shared" si="38"/>
        <v>#REF!</v>
      </c>
      <c r="J453" t="e">
        <f t="shared" si="39"/>
        <v>#REF!</v>
      </c>
      <c r="K453" s="141" t="e">
        <f t="shared" si="40"/>
        <v>#REF!</v>
      </c>
    </row>
    <row r="454" spans="1:11" hidden="1" x14ac:dyDescent="0.25">
      <c r="A454" t="e">
        <f>#REF!</f>
        <v>#REF!</v>
      </c>
      <c r="B454" t="e">
        <f>#REF!</f>
        <v>#REF!</v>
      </c>
      <c r="C454" t="e">
        <f>#REF!</f>
        <v>#REF!</v>
      </c>
      <c r="D454" t="e">
        <f>#REF!</f>
        <v>#REF!</v>
      </c>
      <c r="E454" t="e">
        <f>#REF!</f>
        <v>#REF!</v>
      </c>
      <c r="G454" t="e">
        <f t="shared" si="36"/>
        <v>#REF!</v>
      </c>
      <c r="H454" t="e">
        <f t="shared" si="37"/>
        <v>#REF!</v>
      </c>
      <c r="I454" s="141" t="e">
        <f t="shared" si="38"/>
        <v>#REF!</v>
      </c>
      <c r="J454" t="e">
        <f t="shared" si="39"/>
        <v>#REF!</v>
      </c>
      <c r="K454" s="141" t="e">
        <f t="shared" si="40"/>
        <v>#REF!</v>
      </c>
    </row>
    <row r="455" spans="1:11" hidden="1" x14ac:dyDescent="0.25">
      <c r="A455" t="e">
        <f>#REF!</f>
        <v>#REF!</v>
      </c>
      <c r="B455" t="e">
        <f>#REF!</f>
        <v>#REF!</v>
      </c>
      <c r="C455" t="e">
        <f>#REF!</f>
        <v>#REF!</v>
      </c>
      <c r="D455" t="e">
        <f>#REF!</f>
        <v>#REF!</v>
      </c>
      <c r="E455" t="e">
        <f>#REF!</f>
        <v>#REF!</v>
      </c>
      <c r="G455" t="e">
        <f t="shared" si="36"/>
        <v>#REF!</v>
      </c>
      <c r="H455" t="e">
        <f t="shared" si="37"/>
        <v>#REF!</v>
      </c>
      <c r="I455" s="141" t="e">
        <f t="shared" si="38"/>
        <v>#REF!</v>
      </c>
      <c r="J455" t="e">
        <f t="shared" si="39"/>
        <v>#REF!</v>
      </c>
      <c r="K455" s="141" t="e">
        <f t="shared" si="40"/>
        <v>#REF!</v>
      </c>
    </row>
    <row r="456" spans="1:11" hidden="1" x14ac:dyDescent="0.25">
      <c r="A456" t="e">
        <f>#REF!</f>
        <v>#REF!</v>
      </c>
      <c r="B456" t="e">
        <f>#REF!</f>
        <v>#REF!</v>
      </c>
      <c r="C456" t="e">
        <f>#REF!</f>
        <v>#REF!</v>
      </c>
      <c r="D456" t="e">
        <f>#REF!</f>
        <v>#REF!</v>
      </c>
      <c r="E456" t="e">
        <f>#REF!</f>
        <v>#REF!</v>
      </c>
      <c r="G456" t="e">
        <f t="shared" si="36"/>
        <v>#REF!</v>
      </c>
      <c r="H456" t="e">
        <f t="shared" si="37"/>
        <v>#REF!</v>
      </c>
      <c r="I456" s="141" t="e">
        <f t="shared" si="38"/>
        <v>#REF!</v>
      </c>
      <c r="J456" t="e">
        <f t="shared" si="39"/>
        <v>#REF!</v>
      </c>
      <c r="K456" s="141" t="e">
        <f t="shared" si="40"/>
        <v>#REF!</v>
      </c>
    </row>
    <row r="457" spans="1:11" hidden="1" x14ac:dyDescent="0.25">
      <c r="A457" t="e">
        <f>#REF!</f>
        <v>#REF!</v>
      </c>
      <c r="B457" t="e">
        <f>#REF!</f>
        <v>#REF!</v>
      </c>
      <c r="C457" t="e">
        <f>#REF!</f>
        <v>#REF!</v>
      </c>
      <c r="D457" t="e">
        <f>#REF!</f>
        <v>#REF!</v>
      </c>
      <c r="E457" t="e">
        <f>#REF!</f>
        <v>#REF!</v>
      </c>
      <c r="G457" t="e">
        <f t="shared" si="36"/>
        <v>#REF!</v>
      </c>
      <c r="H457" t="e">
        <f t="shared" si="37"/>
        <v>#REF!</v>
      </c>
      <c r="I457" s="141" t="e">
        <f t="shared" si="38"/>
        <v>#REF!</v>
      </c>
      <c r="J457" t="e">
        <f t="shared" si="39"/>
        <v>#REF!</v>
      </c>
      <c r="K457" s="141" t="e">
        <f t="shared" si="40"/>
        <v>#REF!</v>
      </c>
    </row>
    <row r="458" spans="1:11" hidden="1" x14ac:dyDescent="0.25">
      <c r="A458" t="e">
        <f>#REF!</f>
        <v>#REF!</v>
      </c>
      <c r="B458" t="e">
        <f>#REF!</f>
        <v>#REF!</v>
      </c>
      <c r="C458" t="e">
        <f>#REF!</f>
        <v>#REF!</v>
      </c>
      <c r="D458" t="e">
        <f>#REF!</f>
        <v>#REF!</v>
      </c>
      <c r="E458" t="e">
        <f>#REF!</f>
        <v>#REF!</v>
      </c>
      <c r="G458" t="e">
        <f t="shared" si="36"/>
        <v>#REF!</v>
      </c>
      <c r="H458" t="e">
        <f t="shared" si="37"/>
        <v>#REF!</v>
      </c>
      <c r="I458" s="141" t="e">
        <f t="shared" si="38"/>
        <v>#REF!</v>
      </c>
      <c r="J458" t="e">
        <f t="shared" si="39"/>
        <v>#REF!</v>
      </c>
      <c r="K458" s="141" t="e">
        <f t="shared" si="40"/>
        <v>#REF!</v>
      </c>
    </row>
    <row r="459" spans="1:11" hidden="1" x14ac:dyDescent="0.25">
      <c r="A459" t="e">
        <f>#REF!</f>
        <v>#REF!</v>
      </c>
      <c r="B459" t="e">
        <f>#REF!</f>
        <v>#REF!</v>
      </c>
      <c r="C459" t="e">
        <f>#REF!</f>
        <v>#REF!</v>
      </c>
      <c r="D459" t="e">
        <f>#REF!</f>
        <v>#REF!</v>
      </c>
      <c r="E459" t="e">
        <f>#REF!</f>
        <v>#REF!</v>
      </c>
      <c r="G459" t="e">
        <f t="shared" si="36"/>
        <v>#REF!</v>
      </c>
      <c r="H459" t="e">
        <f t="shared" si="37"/>
        <v>#REF!</v>
      </c>
      <c r="I459" s="141" t="e">
        <f t="shared" si="38"/>
        <v>#REF!</v>
      </c>
      <c r="J459" t="e">
        <f t="shared" si="39"/>
        <v>#REF!</v>
      </c>
      <c r="K459" s="141" t="e">
        <f t="shared" si="40"/>
        <v>#REF!</v>
      </c>
    </row>
    <row r="460" spans="1:11" hidden="1" x14ac:dyDescent="0.25">
      <c r="A460" t="e">
        <f>#REF!</f>
        <v>#REF!</v>
      </c>
      <c r="B460" t="e">
        <f>#REF!</f>
        <v>#REF!</v>
      </c>
      <c r="C460" t="e">
        <f>#REF!</f>
        <v>#REF!</v>
      </c>
      <c r="D460" t="e">
        <f>#REF!</f>
        <v>#REF!</v>
      </c>
      <c r="E460" t="e">
        <f>#REF!</f>
        <v>#REF!</v>
      </c>
      <c r="G460" t="e">
        <f t="shared" si="36"/>
        <v>#REF!</v>
      </c>
      <c r="H460" t="e">
        <f t="shared" si="37"/>
        <v>#REF!</v>
      </c>
      <c r="I460" s="141" t="e">
        <f t="shared" si="38"/>
        <v>#REF!</v>
      </c>
      <c r="J460" t="e">
        <f t="shared" si="39"/>
        <v>#REF!</v>
      </c>
      <c r="K460" s="141" t="e">
        <f t="shared" si="40"/>
        <v>#REF!</v>
      </c>
    </row>
    <row r="461" spans="1:11" hidden="1" x14ac:dyDescent="0.25">
      <c r="A461" t="e">
        <f>#REF!</f>
        <v>#REF!</v>
      </c>
      <c r="B461" t="e">
        <f>#REF!</f>
        <v>#REF!</v>
      </c>
      <c r="C461" t="e">
        <f>#REF!</f>
        <v>#REF!</v>
      </c>
      <c r="D461" t="e">
        <f>#REF!</f>
        <v>#REF!</v>
      </c>
      <c r="E461" t="e">
        <f>#REF!</f>
        <v>#REF!</v>
      </c>
      <c r="G461" t="e">
        <f t="shared" si="36"/>
        <v>#REF!</v>
      </c>
      <c r="H461" t="e">
        <f t="shared" si="37"/>
        <v>#REF!</v>
      </c>
      <c r="I461" s="141" t="e">
        <f t="shared" si="38"/>
        <v>#REF!</v>
      </c>
      <c r="J461" t="e">
        <f t="shared" si="39"/>
        <v>#REF!</v>
      </c>
      <c r="K461" s="141" t="e">
        <f t="shared" si="40"/>
        <v>#REF!</v>
      </c>
    </row>
    <row r="462" spans="1:11" hidden="1" x14ac:dyDescent="0.25">
      <c r="A462" t="e">
        <f>#REF!</f>
        <v>#REF!</v>
      </c>
      <c r="B462" t="e">
        <f>#REF!</f>
        <v>#REF!</v>
      </c>
      <c r="C462" t="e">
        <f>#REF!</f>
        <v>#REF!</v>
      </c>
      <c r="D462" t="e">
        <f>#REF!</f>
        <v>#REF!</v>
      </c>
      <c r="E462" t="e">
        <f>#REF!</f>
        <v>#REF!</v>
      </c>
      <c r="G462" t="e">
        <f t="shared" si="36"/>
        <v>#REF!</v>
      </c>
      <c r="H462" t="e">
        <f t="shared" si="37"/>
        <v>#REF!</v>
      </c>
      <c r="I462" s="141" t="e">
        <f t="shared" si="38"/>
        <v>#REF!</v>
      </c>
      <c r="J462" t="e">
        <f t="shared" si="39"/>
        <v>#REF!</v>
      </c>
      <c r="K462" s="141" t="e">
        <f t="shared" si="40"/>
        <v>#REF!</v>
      </c>
    </row>
    <row r="463" spans="1:11" hidden="1" x14ac:dyDescent="0.25">
      <c r="A463" t="e">
        <f>#REF!</f>
        <v>#REF!</v>
      </c>
      <c r="B463" t="e">
        <f>#REF!</f>
        <v>#REF!</v>
      </c>
      <c r="C463" t="e">
        <f>#REF!</f>
        <v>#REF!</v>
      </c>
      <c r="D463" t="e">
        <f>#REF!</f>
        <v>#REF!</v>
      </c>
      <c r="E463" t="e">
        <f>#REF!</f>
        <v>#REF!</v>
      </c>
      <c r="G463" t="e">
        <f t="shared" si="36"/>
        <v>#REF!</v>
      </c>
      <c r="H463" t="e">
        <f t="shared" si="37"/>
        <v>#REF!</v>
      </c>
      <c r="I463" s="141" t="e">
        <f t="shared" si="38"/>
        <v>#REF!</v>
      </c>
      <c r="J463" t="e">
        <f t="shared" si="39"/>
        <v>#REF!</v>
      </c>
      <c r="K463" s="141" t="e">
        <f t="shared" si="40"/>
        <v>#REF!</v>
      </c>
    </row>
    <row r="464" spans="1:11" hidden="1" x14ac:dyDescent="0.25">
      <c r="A464" t="e">
        <f>#REF!</f>
        <v>#REF!</v>
      </c>
      <c r="B464" t="e">
        <f>#REF!</f>
        <v>#REF!</v>
      </c>
      <c r="C464" t="e">
        <f>#REF!</f>
        <v>#REF!</v>
      </c>
      <c r="D464" t="e">
        <f>#REF!</f>
        <v>#REF!</v>
      </c>
      <c r="E464" t="e">
        <f>#REF!</f>
        <v>#REF!</v>
      </c>
      <c r="G464" t="e">
        <f t="shared" si="36"/>
        <v>#REF!</v>
      </c>
      <c r="H464" t="e">
        <f t="shared" si="37"/>
        <v>#REF!</v>
      </c>
      <c r="I464" s="141" t="e">
        <f t="shared" si="38"/>
        <v>#REF!</v>
      </c>
      <c r="J464" t="e">
        <f t="shared" si="39"/>
        <v>#REF!</v>
      </c>
      <c r="K464" s="141" t="e">
        <f t="shared" si="40"/>
        <v>#REF!</v>
      </c>
    </row>
    <row r="465" spans="1:11" hidden="1" x14ac:dyDescent="0.25">
      <c r="A465" t="e">
        <f>#REF!</f>
        <v>#REF!</v>
      </c>
      <c r="B465" t="e">
        <f>#REF!</f>
        <v>#REF!</v>
      </c>
      <c r="C465" t="e">
        <f>#REF!</f>
        <v>#REF!</v>
      </c>
      <c r="D465" t="e">
        <f>#REF!</f>
        <v>#REF!</v>
      </c>
      <c r="E465" t="e">
        <f>#REF!</f>
        <v>#REF!</v>
      </c>
      <c r="G465" t="e">
        <f t="shared" si="36"/>
        <v>#REF!</v>
      </c>
      <c r="H465" t="e">
        <f t="shared" si="37"/>
        <v>#REF!</v>
      </c>
      <c r="I465" s="141" t="e">
        <f t="shared" si="38"/>
        <v>#REF!</v>
      </c>
      <c r="J465" t="e">
        <f t="shared" si="39"/>
        <v>#REF!</v>
      </c>
      <c r="K465" s="141" t="e">
        <f t="shared" si="40"/>
        <v>#REF!</v>
      </c>
    </row>
    <row r="466" spans="1:11" hidden="1" x14ac:dyDescent="0.25">
      <c r="A466" t="e">
        <f>#REF!</f>
        <v>#REF!</v>
      </c>
      <c r="B466" t="e">
        <f>#REF!</f>
        <v>#REF!</v>
      </c>
      <c r="C466" t="e">
        <f>#REF!</f>
        <v>#REF!</v>
      </c>
      <c r="D466" t="e">
        <f>#REF!</f>
        <v>#REF!</v>
      </c>
      <c r="E466" t="e">
        <f>#REF!</f>
        <v>#REF!</v>
      </c>
      <c r="G466" t="e">
        <f t="shared" si="36"/>
        <v>#REF!</v>
      </c>
      <c r="H466" t="e">
        <f t="shared" si="37"/>
        <v>#REF!</v>
      </c>
      <c r="I466" s="141" t="e">
        <f t="shared" si="38"/>
        <v>#REF!</v>
      </c>
      <c r="J466" t="e">
        <f t="shared" si="39"/>
        <v>#REF!</v>
      </c>
      <c r="K466" s="141" t="e">
        <f t="shared" si="40"/>
        <v>#REF!</v>
      </c>
    </row>
    <row r="467" spans="1:11" hidden="1" x14ac:dyDescent="0.25">
      <c r="A467" t="e">
        <f>#REF!</f>
        <v>#REF!</v>
      </c>
      <c r="B467" t="e">
        <f>#REF!</f>
        <v>#REF!</v>
      </c>
      <c r="C467" t="e">
        <f>#REF!</f>
        <v>#REF!</v>
      </c>
      <c r="D467" t="e">
        <f>#REF!</f>
        <v>#REF!</v>
      </c>
      <c r="E467" t="e">
        <f>#REF!</f>
        <v>#REF!</v>
      </c>
      <c r="G467" t="e">
        <f t="shared" si="36"/>
        <v>#REF!</v>
      </c>
      <c r="H467" t="e">
        <f t="shared" si="37"/>
        <v>#REF!</v>
      </c>
      <c r="I467" s="141" t="e">
        <f t="shared" si="38"/>
        <v>#REF!</v>
      </c>
      <c r="J467" t="e">
        <f t="shared" si="39"/>
        <v>#REF!</v>
      </c>
      <c r="K467" s="141" t="e">
        <f t="shared" si="40"/>
        <v>#REF!</v>
      </c>
    </row>
    <row r="468" spans="1:11" hidden="1" x14ac:dyDescent="0.25">
      <c r="A468" t="e">
        <f>#REF!</f>
        <v>#REF!</v>
      </c>
      <c r="B468" t="e">
        <f>#REF!</f>
        <v>#REF!</v>
      </c>
      <c r="C468" t="e">
        <f>#REF!</f>
        <v>#REF!</v>
      </c>
      <c r="D468" t="e">
        <f>#REF!</f>
        <v>#REF!</v>
      </c>
      <c r="E468" t="e">
        <f>#REF!</f>
        <v>#REF!</v>
      </c>
      <c r="G468" t="e">
        <f t="shared" si="36"/>
        <v>#REF!</v>
      </c>
      <c r="H468" t="e">
        <f t="shared" si="37"/>
        <v>#REF!</v>
      </c>
      <c r="I468" s="141" t="e">
        <f t="shared" si="38"/>
        <v>#REF!</v>
      </c>
      <c r="J468" t="e">
        <f t="shared" si="39"/>
        <v>#REF!</v>
      </c>
      <c r="K468" s="141" t="e">
        <f t="shared" si="40"/>
        <v>#REF!</v>
      </c>
    </row>
    <row r="469" spans="1:11" hidden="1" x14ac:dyDescent="0.25">
      <c r="A469" t="e">
        <f>#REF!</f>
        <v>#REF!</v>
      </c>
      <c r="B469" t="e">
        <f>#REF!</f>
        <v>#REF!</v>
      </c>
      <c r="C469" t="e">
        <f>#REF!</f>
        <v>#REF!</v>
      </c>
      <c r="D469" t="e">
        <f>#REF!</f>
        <v>#REF!</v>
      </c>
      <c r="E469" t="e">
        <f>#REF!</f>
        <v>#REF!</v>
      </c>
      <c r="G469" t="e">
        <f t="shared" si="36"/>
        <v>#REF!</v>
      </c>
      <c r="H469" t="e">
        <f t="shared" si="37"/>
        <v>#REF!</v>
      </c>
      <c r="I469" s="141" t="e">
        <f t="shared" si="38"/>
        <v>#REF!</v>
      </c>
      <c r="J469" t="e">
        <f t="shared" si="39"/>
        <v>#REF!</v>
      </c>
      <c r="K469" s="141" t="e">
        <f t="shared" si="40"/>
        <v>#REF!</v>
      </c>
    </row>
    <row r="470" spans="1:11" hidden="1" x14ac:dyDescent="0.25">
      <c r="A470" t="e">
        <f>#REF!</f>
        <v>#REF!</v>
      </c>
      <c r="B470" t="e">
        <f>#REF!</f>
        <v>#REF!</v>
      </c>
      <c r="C470" t="e">
        <f>#REF!</f>
        <v>#REF!</v>
      </c>
      <c r="D470" t="e">
        <f>#REF!</f>
        <v>#REF!</v>
      </c>
      <c r="E470" t="e">
        <f>#REF!</f>
        <v>#REF!</v>
      </c>
      <c r="G470" t="e">
        <f t="shared" si="36"/>
        <v>#REF!</v>
      </c>
      <c r="H470" t="e">
        <f t="shared" si="37"/>
        <v>#REF!</v>
      </c>
      <c r="I470" s="141" t="e">
        <f t="shared" si="38"/>
        <v>#REF!</v>
      </c>
      <c r="J470" t="e">
        <f t="shared" si="39"/>
        <v>#REF!</v>
      </c>
      <c r="K470" s="141" t="e">
        <f t="shared" si="40"/>
        <v>#REF!</v>
      </c>
    </row>
    <row r="471" spans="1:11" hidden="1" x14ac:dyDescent="0.25">
      <c r="A471" t="e">
        <f>#REF!</f>
        <v>#REF!</v>
      </c>
      <c r="B471" t="e">
        <f>#REF!</f>
        <v>#REF!</v>
      </c>
      <c r="C471" t="e">
        <f>#REF!</f>
        <v>#REF!</v>
      </c>
      <c r="D471" t="e">
        <f>#REF!</f>
        <v>#REF!</v>
      </c>
      <c r="E471" t="e">
        <f>#REF!</f>
        <v>#REF!</v>
      </c>
      <c r="G471" t="e">
        <f t="shared" si="36"/>
        <v>#REF!</v>
      </c>
      <c r="H471" t="e">
        <f t="shared" si="37"/>
        <v>#REF!</v>
      </c>
      <c r="I471" s="141" t="e">
        <f t="shared" si="38"/>
        <v>#REF!</v>
      </c>
      <c r="J471" t="e">
        <f t="shared" si="39"/>
        <v>#REF!</v>
      </c>
      <c r="K471" s="141" t="e">
        <f t="shared" si="40"/>
        <v>#REF!</v>
      </c>
    </row>
    <row r="472" spans="1:11" hidden="1" x14ac:dyDescent="0.25">
      <c r="A472" t="e">
        <f>#REF!</f>
        <v>#REF!</v>
      </c>
      <c r="B472" t="e">
        <f>#REF!</f>
        <v>#REF!</v>
      </c>
      <c r="C472" t="e">
        <f>#REF!</f>
        <v>#REF!</v>
      </c>
      <c r="D472" t="e">
        <f>#REF!</f>
        <v>#REF!</v>
      </c>
      <c r="E472" t="e">
        <f>#REF!</f>
        <v>#REF!</v>
      </c>
      <c r="G472" t="e">
        <f t="shared" si="36"/>
        <v>#REF!</v>
      </c>
      <c r="H472" t="e">
        <f t="shared" si="37"/>
        <v>#REF!</v>
      </c>
      <c r="I472" s="141" t="e">
        <f t="shared" si="38"/>
        <v>#REF!</v>
      </c>
      <c r="J472" t="e">
        <f t="shared" si="39"/>
        <v>#REF!</v>
      </c>
      <c r="K472" s="141" t="e">
        <f t="shared" si="40"/>
        <v>#REF!</v>
      </c>
    </row>
    <row r="473" spans="1:11" hidden="1" x14ac:dyDescent="0.25">
      <c r="A473" t="e">
        <f>#REF!</f>
        <v>#REF!</v>
      </c>
      <c r="B473" t="e">
        <f>#REF!</f>
        <v>#REF!</v>
      </c>
      <c r="C473" t="e">
        <f>#REF!</f>
        <v>#REF!</v>
      </c>
      <c r="D473" t="e">
        <f>#REF!</f>
        <v>#REF!</v>
      </c>
      <c r="E473" t="e">
        <f>#REF!</f>
        <v>#REF!</v>
      </c>
      <c r="G473" t="e">
        <f t="shared" si="36"/>
        <v>#REF!</v>
      </c>
      <c r="H473" t="e">
        <f t="shared" si="37"/>
        <v>#REF!</v>
      </c>
      <c r="I473" s="141" t="e">
        <f t="shared" si="38"/>
        <v>#REF!</v>
      </c>
      <c r="J473" t="e">
        <f t="shared" si="39"/>
        <v>#REF!</v>
      </c>
      <c r="K473" s="141" t="e">
        <f t="shared" si="40"/>
        <v>#REF!</v>
      </c>
    </row>
    <row r="474" spans="1:11" hidden="1" x14ac:dyDescent="0.25">
      <c r="A474" t="e">
        <f>#REF!</f>
        <v>#REF!</v>
      </c>
      <c r="B474" t="e">
        <f>#REF!</f>
        <v>#REF!</v>
      </c>
      <c r="C474" t="e">
        <f>#REF!</f>
        <v>#REF!</v>
      </c>
      <c r="D474" t="e">
        <f>#REF!</f>
        <v>#REF!</v>
      </c>
      <c r="E474" t="e">
        <f>#REF!</f>
        <v>#REF!</v>
      </c>
      <c r="G474" t="e">
        <f t="shared" si="36"/>
        <v>#REF!</v>
      </c>
      <c r="H474" t="e">
        <f t="shared" si="37"/>
        <v>#REF!</v>
      </c>
      <c r="I474" s="141" t="e">
        <f t="shared" si="38"/>
        <v>#REF!</v>
      </c>
      <c r="J474" t="e">
        <f t="shared" si="39"/>
        <v>#REF!</v>
      </c>
      <c r="K474" s="141" t="e">
        <f t="shared" si="40"/>
        <v>#REF!</v>
      </c>
    </row>
    <row r="475" spans="1:11" hidden="1" x14ac:dyDescent="0.25">
      <c r="A475" t="e">
        <f>#REF!</f>
        <v>#REF!</v>
      </c>
      <c r="B475" t="e">
        <f>#REF!</f>
        <v>#REF!</v>
      </c>
      <c r="C475" t="e">
        <f>#REF!</f>
        <v>#REF!</v>
      </c>
      <c r="D475" t="e">
        <f>#REF!</f>
        <v>#REF!</v>
      </c>
      <c r="E475" t="e">
        <f>#REF!</f>
        <v>#REF!</v>
      </c>
      <c r="G475" t="e">
        <f t="shared" si="36"/>
        <v>#REF!</v>
      </c>
      <c r="H475" t="e">
        <f t="shared" si="37"/>
        <v>#REF!</v>
      </c>
      <c r="I475" s="141" t="e">
        <f t="shared" si="38"/>
        <v>#REF!</v>
      </c>
      <c r="J475" t="e">
        <f t="shared" si="39"/>
        <v>#REF!</v>
      </c>
      <c r="K475" s="141" t="e">
        <f t="shared" si="40"/>
        <v>#REF!</v>
      </c>
    </row>
    <row r="476" spans="1:11" hidden="1" x14ac:dyDescent="0.25">
      <c r="A476" t="e">
        <f>#REF!</f>
        <v>#REF!</v>
      </c>
      <c r="B476" t="e">
        <f>#REF!</f>
        <v>#REF!</v>
      </c>
      <c r="C476" t="e">
        <f>#REF!</f>
        <v>#REF!</v>
      </c>
      <c r="D476" t="e">
        <f>#REF!</f>
        <v>#REF!</v>
      </c>
      <c r="E476" t="e">
        <f>#REF!</f>
        <v>#REF!</v>
      </c>
      <c r="G476" t="e">
        <f t="shared" si="36"/>
        <v>#REF!</v>
      </c>
      <c r="H476" t="e">
        <f t="shared" si="37"/>
        <v>#REF!</v>
      </c>
      <c r="I476" s="141" t="e">
        <f t="shared" si="38"/>
        <v>#REF!</v>
      </c>
      <c r="J476" t="e">
        <f t="shared" si="39"/>
        <v>#REF!</v>
      </c>
      <c r="K476" s="141" t="e">
        <f t="shared" si="40"/>
        <v>#REF!</v>
      </c>
    </row>
    <row r="477" spans="1:11" hidden="1" x14ac:dyDescent="0.25">
      <c r="A477" t="e">
        <f>#REF!</f>
        <v>#REF!</v>
      </c>
      <c r="B477" t="e">
        <f>#REF!</f>
        <v>#REF!</v>
      </c>
      <c r="C477" t="e">
        <f>#REF!</f>
        <v>#REF!</v>
      </c>
      <c r="D477" t="e">
        <f>#REF!</f>
        <v>#REF!</v>
      </c>
      <c r="E477" t="e">
        <f>#REF!</f>
        <v>#REF!</v>
      </c>
      <c r="G477" t="e">
        <f t="shared" si="36"/>
        <v>#REF!</v>
      </c>
      <c r="H477" t="e">
        <f t="shared" si="37"/>
        <v>#REF!</v>
      </c>
      <c r="I477" s="141" t="e">
        <f t="shared" si="38"/>
        <v>#REF!</v>
      </c>
      <c r="J477" t="e">
        <f t="shared" si="39"/>
        <v>#REF!</v>
      </c>
      <c r="K477" s="141" t="e">
        <f t="shared" si="40"/>
        <v>#REF!</v>
      </c>
    </row>
    <row r="478" spans="1:11" hidden="1" x14ac:dyDescent="0.25">
      <c r="A478" t="e">
        <f>#REF!</f>
        <v>#REF!</v>
      </c>
      <c r="B478" t="e">
        <f>#REF!</f>
        <v>#REF!</v>
      </c>
      <c r="C478" t="e">
        <f>#REF!</f>
        <v>#REF!</v>
      </c>
      <c r="D478" t="e">
        <f>#REF!</f>
        <v>#REF!</v>
      </c>
      <c r="E478" t="e">
        <f>#REF!</f>
        <v>#REF!</v>
      </c>
      <c r="G478" t="e">
        <f t="shared" si="36"/>
        <v>#REF!</v>
      </c>
      <c r="H478" t="e">
        <f t="shared" si="37"/>
        <v>#REF!</v>
      </c>
      <c r="I478" s="141" t="e">
        <f t="shared" si="38"/>
        <v>#REF!</v>
      </c>
      <c r="J478" t="e">
        <f t="shared" si="39"/>
        <v>#REF!</v>
      </c>
      <c r="K478" s="141" t="e">
        <f t="shared" si="40"/>
        <v>#REF!</v>
      </c>
    </row>
    <row r="479" spans="1:11" hidden="1" x14ac:dyDescent="0.25">
      <c r="A479" t="e">
        <f>#REF!</f>
        <v>#REF!</v>
      </c>
      <c r="B479" t="e">
        <f>#REF!</f>
        <v>#REF!</v>
      </c>
      <c r="C479" t="e">
        <f>#REF!</f>
        <v>#REF!</v>
      </c>
      <c r="D479" t="e">
        <f>#REF!</f>
        <v>#REF!</v>
      </c>
      <c r="E479" t="e">
        <f>#REF!</f>
        <v>#REF!</v>
      </c>
      <c r="G479" t="e">
        <f t="shared" si="36"/>
        <v>#REF!</v>
      </c>
      <c r="H479" t="e">
        <f t="shared" si="37"/>
        <v>#REF!</v>
      </c>
      <c r="I479" s="141" t="e">
        <f t="shared" si="38"/>
        <v>#REF!</v>
      </c>
      <c r="J479" t="e">
        <f t="shared" si="39"/>
        <v>#REF!</v>
      </c>
      <c r="K479" s="141" t="e">
        <f t="shared" si="40"/>
        <v>#REF!</v>
      </c>
    </row>
    <row r="480" spans="1:11" hidden="1" x14ac:dyDescent="0.25">
      <c r="A480" t="e">
        <f>#REF!</f>
        <v>#REF!</v>
      </c>
      <c r="B480" t="e">
        <f>#REF!</f>
        <v>#REF!</v>
      </c>
      <c r="C480" t="e">
        <f>#REF!</f>
        <v>#REF!</v>
      </c>
      <c r="D480" t="e">
        <f>#REF!</f>
        <v>#REF!</v>
      </c>
      <c r="E480" t="e">
        <f>#REF!</f>
        <v>#REF!</v>
      </c>
      <c r="G480" t="e">
        <f t="shared" si="36"/>
        <v>#REF!</v>
      </c>
      <c r="H480" t="e">
        <f t="shared" si="37"/>
        <v>#REF!</v>
      </c>
      <c r="I480" s="141" t="e">
        <f t="shared" si="38"/>
        <v>#REF!</v>
      </c>
      <c r="J480" t="e">
        <f t="shared" si="39"/>
        <v>#REF!</v>
      </c>
      <c r="K480" s="141" t="e">
        <f t="shared" si="40"/>
        <v>#REF!</v>
      </c>
    </row>
    <row r="481" spans="1:11" hidden="1" x14ac:dyDescent="0.25">
      <c r="A481" t="e">
        <f>#REF!</f>
        <v>#REF!</v>
      </c>
      <c r="B481" t="e">
        <f>#REF!</f>
        <v>#REF!</v>
      </c>
      <c r="C481" t="e">
        <f>#REF!</f>
        <v>#REF!</v>
      </c>
      <c r="D481" t="e">
        <f>#REF!</f>
        <v>#REF!</v>
      </c>
      <c r="E481" t="e">
        <f>#REF!</f>
        <v>#REF!</v>
      </c>
      <c r="G481" t="e">
        <f t="shared" si="36"/>
        <v>#REF!</v>
      </c>
      <c r="H481" t="e">
        <f t="shared" si="37"/>
        <v>#REF!</v>
      </c>
      <c r="I481" s="141" t="e">
        <f t="shared" si="38"/>
        <v>#REF!</v>
      </c>
      <c r="J481" t="e">
        <f t="shared" si="39"/>
        <v>#REF!</v>
      </c>
      <c r="K481" s="141" t="e">
        <f t="shared" si="40"/>
        <v>#REF!</v>
      </c>
    </row>
    <row r="482" spans="1:11" hidden="1" x14ac:dyDescent="0.25">
      <c r="A482" t="e">
        <f>#REF!</f>
        <v>#REF!</v>
      </c>
      <c r="B482" t="e">
        <f>#REF!</f>
        <v>#REF!</v>
      </c>
      <c r="C482" t="e">
        <f>#REF!</f>
        <v>#REF!</v>
      </c>
      <c r="D482" t="e">
        <f>#REF!</f>
        <v>#REF!</v>
      </c>
      <c r="E482" t="e">
        <f>#REF!</f>
        <v>#REF!</v>
      </c>
      <c r="G482" t="e">
        <f t="shared" si="36"/>
        <v>#REF!</v>
      </c>
      <c r="H482" t="e">
        <f t="shared" si="37"/>
        <v>#REF!</v>
      </c>
      <c r="I482" s="141" t="e">
        <f t="shared" si="38"/>
        <v>#REF!</v>
      </c>
      <c r="J482" t="e">
        <f t="shared" si="39"/>
        <v>#REF!</v>
      </c>
      <c r="K482" s="141" t="e">
        <f t="shared" si="40"/>
        <v>#REF!</v>
      </c>
    </row>
    <row r="483" spans="1:11" hidden="1" x14ac:dyDescent="0.25">
      <c r="A483" t="e">
        <f>#REF!</f>
        <v>#REF!</v>
      </c>
      <c r="B483" t="e">
        <f>#REF!</f>
        <v>#REF!</v>
      </c>
      <c r="C483" t="e">
        <f>#REF!</f>
        <v>#REF!</v>
      </c>
      <c r="D483" t="e">
        <f>#REF!</f>
        <v>#REF!</v>
      </c>
      <c r="E483" t="e">
        <f>#REF!</f>
        <v>#REF!</v>
      </c>
      <c r="G483" t="e">
        <f t="shared" si="36"/>
        <v>#REF!</v>
      </c>
      <c r="H483" t="e">
        <f t="shared" si="37"/>
        <v>#REF!</v>
      </c>
      <c r="I483" s="141" t="e">
        <f t="shared" si="38"/>
        <v>#REF!</v>
      </c>
      <c r="J483" t="e">
        <f t="shared" si="39"/>
        <v>#REF!</v>
      </c>
      <c r="K483" s="141" t="e">
        <f t="shared" si="40"/>
        <v>#REF!</v>
      </c>
    </row>
    <row r="484" spans="1:11" hidden="1" x14ac:dyDescent="0.25">
      <c r="A484" t="e">
        <f>#REF!</f>
        <v>#REF!</v>
      </c>
      <c r="B484" t="e">
        <f>#REF!</f>
        <v>#REF!</v>
      </c>
      <c r="C484" t="e">
        <f>#REF!</f>
        <v>#REF!</v>
      </c>
      <c r="D484" t="e">
        <f>#REF!</f>
        <v>#REF!</v>
      </c>
      <c r="E484" t="e">
        <f>#REF!</f>
        <v>#REF!</v>
      </c>
      <c r="G484" t="e">
        <f t="shared" si="36"/>
        <v>#REF!</v>
      </c>
      <c r="H484" t="e">
        <f t="shared" si="37"/>
        <v>#REF!</v>
      </c>
      <c r="I484" s="141" t="e">
        <f t="shared" si="38"/>
        <v>#REF!</v>
      </c>
      <c r="J484" t="e">
        <f t="shared" si="39"/>
        <v>#REF!</v>
      </c>
      <c r="K484" s="141" t="e">
        <f t="shared" si="40"/>
        <v>#REF!</v>
      </c>
    </row>
    <row r="485" spans="1:11" hidden="1" x14ac:dyDescent="0.25">
      <c r="A485" t="e">
        <f>#REF!</f>
        <v>#REF!</v>
      </c>
      <c r="B485" t="e">
        <f>#REF!</f>
        <v>#REF!</v>
      </c>
      <c r="C485" t="e">
        <f>#REF!</f>
        <v>#REF!</v>
      </c>
      <c r="D485" t="e">
        <f>#REF!</f>
        <v>#REF!</v>
      </c>
      <c r="E485" t="e">
        <f>#REF!</f>
        <v>#REF!</v>
      </c>
      <c r="G485" t="e">
        <f t="shared" si="36"/>
        <v>#REF!</v>
      </c>
      <c r="H485" t="e">
        <f t="shared" si="37"/>
        <v>#REF!</v>
      </c>
      <c r="I485" s="141" t="e">
        <f t="shared" si="38"/>
        <v>#REF!</v>
      </c>
      <c r="J485" t="e">
        <f t="shared" si="39"/>
        <v>#REF!</v>
      </c>
      <c r="K485" s="141" t="e">
        <f t="shared" si="40"/>
        <v>#REF!</v>
      </c>
    </row>
    <row r="486" spans="1:11" hidden="1" x14ac:dyDescent="0.25">
      <c r="A486" t="e">
        <f>#REF!</f>
        <v>#REF!</v>
      </c>
      <c r="B486" t="e">
        <f>#REF!</f>
        <v>#REF!</v>
      </c>
      <c r="C486" t="e">
        <f>#REF!</f>
        <v>#REF!</v>
      </c>
      <c r="D486" t="e">
        <f>#REF!</f>
        <v>#REF!</v>
      </c>
      <c r="E486" t="e">
        <f>#REF!</f>
        <v>#REF!</v>
      </c>
      <c r="G486" t="e">
        <f t="shared" si="36"/>
        <v>#REF!</v>
      </c>
      <c r="H486" t="e">
        <f t="shared" si="37"/>
        <v>#REF!</v>
      </c>
      <c r="I486" s="141" t="e">
        <f t="shared" si="38"/>
        <v>#REF!</v>
      </c>
      <c r="J486" t="e">
        <f t="shared" si="39"/>
        <v>#REF!</v>
      </c>
      <c r="K486" s="141" t="e">
        <f t="shared" si="40"/>
        <v>#REF!</v>
      </c>
    </row>
    <row r="487" spans="1:11" hidden="1" x14ac:dyDescent="0.25">
      <c r="A487" t="e">
        <f>#REF!</f>
        <v>#REF!</v>
      </c>
      <c r="B487" t="e">
        <f>#REF!</f>
        <v>#REF!</v>
      </c>
      <c r="C487" t="e">
        <f>#REF!</f>
        <v>#REF!</v>
      </c>
      <c r="D487" t="e">
        <f>#REF!</f>
        <v>#REF!</v>
      </c>
      <c r="E487" t="e">
        <f>#REF!</f>
        <v>#REF!</v>
      </c>
      <c r="G487" t="e">
        <f t="shared" si="36"/>
        <v>#REF!</v>
      </c>
      <c r="H487" t="e">
        <f t="shared" si="37"/>
        <v>#REF!</v>
      </c>
      <c r="I487" s="141" t="e">
        <f t="shared" si="38"/>
        <v>#REF!</v>
      </c>
      <c r="J487" t="e">
        <f t="shared" si="39"/>
        <v>#REF!</v>
      </c>
      <c r="K487" s="141" t="e">
        <f t="shared" si="40"/>
        <v>#REF!</v>
      </c>
    </row>
    <row r="488" spans="1:11" hidden="1" x14ac:dyDescent="0.25">
      <c r="A488" t="e">
        <f>#REF!</f>
        <v>#REF!</v>
      </c>
      <c r="B488" t="e">
        <f>#REF!</f>
        <v>#REF!</v>
      </c>
      <c r="C488" t="e">
        <f>#REF!</f>
        <v>#REF!</v>
      </c>
      <c r="D488" t="e">
        <f>#REF!</f>
        <v>#REF!</v>
      </c>
      <c r="E488" t="e">
        <f>#REF!</f>
        <v>#REF!</v>
      </c>
      <c r="G488" t="e">
        <f t="shared" si="36"/>
        <v>#REF!</v>
      </c>
      <c r="H488" t="e">
        <f t="shared" si="37"/>
        <v>#REF!</v>
      </c>
      <c r="I488" s="141" t="e">
        <f t="shared" si="38"/>
        <v>#REF!</v>
      </c>
      <c r="J488" t="e">
        <f t="shared" si="39"/>
        <v>#REF!</v>
      </c>
      <c r="K488" s="141" t="e">
        <f t="shared" si="40"/>
        <v>#REF!</v>
      </c>
    </row>
    <row r="489" spans="1:11" hidden="1" x14ac:dyDescent="0.25">
      <c r="A489" t="e">
        <f>#REF!</f>
        <v>#REF!</v>
      </c>
      <c r="B489" t="e">
        <f>#REF!</f>
        <v>#REF!</v>
      </c>
      <c r="C489" t="e">
        <f>#REF!</f>
        <v>#REF!</v>
      </c>
      <c r="D489" t="e">
        <f>#REF!</f>
        <v>#REF!</v>
      </c>
      <c r="E489" t="e">
        <f>#REF!</f>
        <v>#REF!</v>
      </c>
      <c r="G489" t="e">
        <f t="shared" si="36"/>
        <v>#REF!</v>
      </c>
      <c r="H489" t="e">
        <f t="shared" si="37"/>
        <v>#REF!</v>
      </c>
      <c r="I489" s="141" t="e">
        <f t="shared" si="38"/>
        <v>#REF!</v>
      </c>
      <c r="J489" t="e">
        <f t="shared" si="39"/>
        <v>#REF!</v>
      </c>
      <c r="K489" s="141" t="e">
        <f t="shared" si="40"/>
        <v>#REF!</v>
      </c>
    </row>
    <row r="490" spans="1:11" hidden="1" x14ac:dyDescent="0.25">
      <c r="A490" t="e">
        <f>#REF!</f>
        <v>#REF!</v>
      </c>
      <c r="B490" t="e">
        <f>#REF!</f>
        <v>#REF!</v>
      </c>
      <c r="C490" t="e">
        <f>#REF!</f>
        <v>#REF!</v>
      </c>
      <c r="D490" t="e">
        <f>#REF!</f>
        <v>#REF!</v>
      </c>
      <c r="E490" t="e">
        <f>#REF!</f>
        <v>#REF!</v>
      </c>
      <c r="G490" t="e">
        <f t="shared" si="36"/>
        <v>#REF!</v>
      </c>
      <c r="H490" t="e">
        <f t="shared" si="37"/>
        <v>#REF!</v>
      </c>
      <c r="I490" s="141" t="e">
        <f t="shared" si="38"/>
        <v>#REF!</v>
      </c>
      <c r="J490" t="e">
        <f t="shared" si="39"/>
        <v>#REF!</v>
      </c>
      <c r="K490" s="141" t="e">
        <f t="shared" si="40"/>
        <v>#REF!</v>
      </c>
    </row>
    <row r="491" spans="1:11" hidden="1" x14ac:dyDescent="0.25">
      <c r="A491" t="e">
        <f>#REF!</f>
        <v>#REF!</v>
      </c>
      <c r="B491" t="e">
        <f>#REF!</f>
        <v>#REF!</v>
      </c>
      <c r="C491" t="e">
        <f>#REF!</f>
        <v>#REF!</v>
      </c>
      <c r="D491" t="e">
        <f>#REF!</f>
        <v>#REF!</v>
      </c>
      <c r="E491" t="e">
        <f>#REF!</f>
        <v>#REF!</v>
      </c>
      <c r="G491" t="e">
        <f t="shared" si="36"/>
        <v>#REF!</v>
      </c>
      <c r="H491" t="e">
        <f t="shared" si="37"/>
        <v>#REF!</v>
      </c>
      <c r="I491" s="141" t="e">
        <f t="shared" si="38"/>
        <v>#REF!</v>
      </c>
      <c r="J491" t="e">
        <f t="shared" si="39"/>
        <v>#REF!</v>
      </c>
      <c r="K491" s="141" t="e">
        <f t="shared" si="40"/>
        <v>#REF!</v>
      </c>
    </row>
    <row r="492" spans="1:11" hidden="1" x14ac:dyDescent="0.25">
      <c r="A492" t="e">
        <f>#REF!</f>
        <v>#REF!</v>
      </c>
      <c r="B492" t="e">
        <f>#REF!</f>
        <v>#REF!</v>
      </c>
      <c r="C492" t="e">
        <f>#REF!</f>
        <v>#REF!</v>
      </c>
      <c r="D492" t="e">
        <f>#REF!</f>
        <v>#REF!</v>
      </c>
      <c r="E492" t="e">
        <f>#REF!</f>
        <v>#REF!</v>
      </c>
      <c r="G492" t="e">
        <f t="shared" si="36"/>
        <v>#REF!</v>
      </c>
      <c r="H492" t="e">
        <f t="shared" si="37"/>
        <v>#REF!</v>
      </c>
      <c r="I492" s="141" t="e">
        <f t="shared" si="38"/>
        <v>#REF!</v>
      </c>
      <c r="J492" t="e">
        <f t="shared" si="39"/>
        <v>#REF!</v>
      </c>
      <c r="K492" s="141" t="e">
        <f t="shared" si="40"/>
        <v>#REF!</v>
      </c>
    </row>
    <row r="493" spans="1:11" hidden="1" x14ac:dyDescent="0.25">
      <c r="A493" t="e">
        <f>#REF!</f>
        <v>#REF!</v>
      </c>
      <c r="B493" t="e">
        <f>#REF!</f>
        <v>#REF!</v>
      </c>
      <c r="C493" t="e">
        <f>#REF!</f>
        <v>#REF!</v>
      </c>
      <c r="D493" t="e">
        <f>#REF!</f>
        <v>#REF!</v>
      </c>
      <c r="E493" t="e">
        <f>#REF!</f>
        <v>#REF!</v>
      </c>
      <c r="G493" t="e">
        <f t="shared" si="36"/>
        <v>#REF!</v>
      </c>
      <c r="H493" t="e">
        <f t="shared" si="37"/>
        <v>#REF!</v>
      </c>
      <c r="I493" s="141" t="e">
        <f t="shared" si="38"/>
        <v>#REF!</v>
      </c>
      <c r="J493" t="e">
        <f t="shared" si="39"/>
        <v>#REF!</v>
      </c>
      <c r="K493" s="141" t="e">
        <f t="shared" si="40"/>
        <v>#REF!</v>
      </c>
    </row>
    <row r="494" spans="1:11" hidden="1" x14ac:dyDescent="0.25">
      <c r="A494" t="e">
        <f>#REF!</f>
        <v>#REF!</v>
      </c>
      <c r="B494" t="e">
        <f>#REF!</f>
        <v>#REF!</v>
      </c>
      <c r="C494" t="e">
        <f>#REF!</f>
        <v>#REF!</v>
      </c>
      <c r="D494" t="e">
        <f>#REF!</f>
        <v>#REF!</v>
      </c>
      <c r="E494" t="e">
        <f>#REF!</f>
        <v>#REF!</v>
      </c>
      <c r="G494" t="e">
        <f t="shared" si="36"/>
        <v>#REF!</v>
      </c>
      <c r="H494" t="e">
        <f t="shared" si="37"/>
        <v>#REF!</v>
      </c>
      <c r="I494" s="141" t="e">
        <f t="shared" si="38"/>
        <v>#REF!</v>
      </c>
      <c r="J494" t="e">
        <f t="shared" si="39"/>
        <v>#REF!</v>
      </c>
      <c r="K494" s="141" t="e">
        <f t="shared" si="40"/>
        <v>#REF!</v>
      </c>
    </row>
    <row r="495" spans="1:11" hidden="1" x14ac:dyDescent="0.25">
      <c r="A495" t="e">
        <f>#REF!</f>
        <v>#REF!</v>
      </c>
      <c r="B495" t="e">
        <f>#REF!</f>
        <v>#REF!</v>
      </c>
      <c r="C495" t="e">
        <f>#REF!</f>
        <v>#REF!</v>
      </c>
      <c r="D495" t="e">
        <f>#REF!</f>
        <v>#REF!</v>
      </c>
      <c r="E495" t="e">
        <f>#REF!</f>
        <v>#REF!</v>
      </c>
      <c r="G495" t="e">
        <f t="shared" si="36"/>
        <v>#REF!</v>
      </c>
      <c r="H495" t="e">
        <f t="shared" si="37"/>
        <v>#REF!</v>
      </c>
      <c r="I495" s="141" t="e">
        <f t="shared" si="38"/>
        <v>#REF!</v>
      </c>
      <c r="J495" t="e">
        <f t="shared" si="39"/>
        <v>#REF!</v>
      </c>
      <c r="K495" s="141" t="e">
        <f t="shared" si="40"/>
        <v>#REF!</v>
      </c>
    </row>
    <row r="496" spans="1:11" hidden="1" x14ac:dyDescent="0.25">
      <c r="A496" t="e">
        <f>#REF!</f>
        <v>#REF!</v>
      </c>
      <c r="B496" t="e">
        <f>#REF!</f>
        <v>#REF!</v>
      </c>
      <c r="C496" t="e">
        <f>#REF!</f>
        <v>#REF!</v>
      </c>
      <c r="D496" t="e">
        <f>#REF!</f>
        <v>#REF!</v>
      </c>
      <c r="E496" t="e">
        <f>#REF!</f>
        <v>#REF!</v>
      </c>
      <c r="G496" t="e">
        <f t="shared" si="36"/>
        <v>#REF!</v>
      </c>
      <c r="H496" t="e">
        <f t="shared" si="37"/>
        <v>#REF!</v>
      </c>
      <c r="I496" s="141" t="e">
        <f t="shared" si="38"/>
        <v>#REF!</v>
      </c>
      <c r="J496" t="e">
        <f t="shared" si="39"/>
        <v>#REF!</v>
      </c>
      <c r="K496" s="141" t="e">
        <f t="shared" si="40"/>
        <v>#REF!</v>
      </c>
    </row>
    <row r="497" spans="1:11" hidden="1" x14ac:dyDescent="0.25">
      <c r="A497" t="e">
        <f>#REF!</f>
        <v>#REF!</v>
      </c>
      <c r="B497" t="e">
        <f>#REF!</f>
        <v>#REF!</v>
      </c>
      <c r="C497" t="e">
        <f>#REF!</f>
        <v>#REF!</v>
      </c>
      <c r="D497" t="e">
        <f>#REF!</f>
        <v>#REF!</v>
      </c>
      <c r="E497" t="e">
        <f>#REF!</f>
        <v>#REF!</v>
      </c>
      <c r="G497" t="e">
        <f t="shared" si="36"/>
        <v>#REF!</v>
      </c>
      <c r="H497" t="e">
        <f t="shared" si="37"/>
        <v>#REF!</v>
      </c>
      <c r="I497" s="141" t="e">
        <f t="shared" si="38"/>
        <v>#REF!</v>
      </c>
      <c r="J497" t="e">
        <f t="shared" si="39"/>
        <v>#REF!</v>
      </c>
      <c r="K497" s="141" t="e">
        <f t="shared" si="40"/>
        <v>#REF!</v>
      </c>
    </row>
    <row r="498" spans="1:11" hidden="1" x14ac:dyDescent="0.25">
      <c r="A498" t="e">
        <f>#REF!</f>
        <v>#REF!</v>
      </c>
      <c r="B498" t="e">
        <f>#REF!</f>
        <v>#REF!</v>
      </c>
      <c r="C498" t="e">
        <f>#REF!</f>
        <v>#REF!</v>
      </c>
      <c r="D498" t="e">
        <f>#REF!</f>
        <v>#REF!</v>
      </c>
      <c r="E498" t="e">
        <f>#REF!</f>
        <v>#REF!</v>
      </c>
      <c r="G498" t="e">
        <f t="shared" si="36"/>
        <v>#REF!</v>
      </c>
      <c r="H498" t="e">
        <f t="shared" si="37"/>
        <v>#REF!</v>
      </c>
      <c r="I498" s="141" t="e">
        <f t="shared" si="38"/>
        <v>#REF!</v>
      </c>
      <c r="J498" t="e">
        <f t="shared" si="39"/>
        <v>#REF!</v>
      </c>
      <c r="K498" s="141" t="e">
        <f t="shared" si="40"/>
        <v>#REF!</v>
      </c>
    </row>
    <row r="499" spans="1:11" hidden="1" x14ac:dyDescent="0.25">
      <c r="A499" t="e">
        <f>#REF!</f>
        <v>#REF!</v>
      </c>
      <c r="B499" t="e">
        <f>#REF!</f>
        <v>#REF!</v>
      </c>
      <c r="C499" t="e">
        <f>#REF!</f>
        <v>#REF!</v>
      </c>
      <c r="D499" t="e">
        <f>#REF!</f>
        <v>#REF!</v>
      </c>
      <c r="E499" t="e">
        <f>#REF!</f>
        <v>#REF!</v>
      </c>
      <c r="G499" t="e">
        <f t="shared" si="36"/>
        <v>#REF!</v>
      </c>
      <c r="H499" t="e">
        <f t="shared" si="37"/>
        <v>#REF!</v>
      </c>
      <c r="I499" s="141" t="e">
        <f t="shared" si="38"/>
        <v>#REF!</v>
      </c>
      <c r="J499" t="e">
        <f t="shared" si="39"/>
        <v>#REF!</v>
      </c>
      <c r="K499" s="141" t="e">
        <f t="shared" si="40"/>
        <v>#REF!</v>
      </c>
    </row>
    <row r="500" spans="1:11" hidden="1" x14ac:dyDescent="0.25">
      <c r="A500" t="e">
        <f>#REF!</f>
        <v>#REF!</v>
      </c>
      <c r="B500" t="e">
        <f>#REF!</f>
        <v>#REF!</v>
      </c>
      <c r="C500" t="e">
        <f>#REF!</f>
        <v>#REF!</v>
      </c>
      <c r="D500" t="e">
        <f>#REF!</f>
        <v>#REF!</v>
      </c>
      <c r="E500" t="e">
        <f>#REF!</f>
        <v>#REF!</v>
      </c>
      <c r="G500" t="e">
        <f t="shared" si="36"/>
        <v>#REF!</v>
      </c>
      <c r="H500" t="e">
        <f t="shared" si="37"/>
        <v>#REF!</v>
      </c>
      <c r="I500" s="141" t="e">
        <f t="shared" si="38"/>
        <v>#REF!</v>
      </c>
      <c r="J500" t="e">
        <f t="shared" si="39"/>
        <v>#REF!</v>
      </c>
      <c r="K500" s="141" t="e">
        <f t="shared" si="40"/>
        <v>#REF!</v>
      </c>
    </row>
    <row r="501" spans="1:11" hidden="1" x14ac:dyDescent="0.25">
      <c r="A501" t="e">
        <f>#REF!</f>
        <v>#REF!</v>
      </c>
      <c r="B501" t="e">
        <f>#REF!</f>
        <v>#REF!</v>
      </c>
      <c r="C501" t="e">
        <f>#REF!</f>
        <v>#REF!</v>
      </c>
      <c r="D501" t="e">
        <f>#REF!</f>
        <v>#REF!</v>
      </c>
      <c r="E501" t="e">
        <f>#REF!</f>
        <v>#REF!</v>
      </c>
      <c r="G501" t="e">
        <f t="shared" si="36"/>
        <v>#REF!</v>
      </c>
      <c r="H501" t="e">
        <f t="shared" si="37"/>
        <v>#REF!</v>
      </c>
      <c r="I501" s="141" t="e">
        <f t="shared" si="38"/>
        <v>#REF!</v>
      </c>
      <c r="J501" t="e">
        <f t="shared" si="39"/>
        <v>#REF!</v>
      </c>
      <c r="K501" s="141" t="e">
        <f t="shared" si="40"/>
        <v>#REF!</v>
      </c>
    </row>
    <row r="502" spans="1:11" hidden="1" x14ac:dyDescent="0.25">
      <c r="A502" t="e">
        <f>#REF!</f>
        <v>#REF!</v>
      </c>
      <c r="B502" t="e">
        <f>#REF!</f>
        <v>#REF!</v>
      </c>
      <c r="C502" t="e">
        <f>#REF!</f>
        <v>#REF!</v>
      </c>
      <c r="D502" t="e">
        <f>#REF!</f>
        <v>#REF!</v>
      </c>
      <c r="E502" t="e">
        <f>#REF!</f>
        <v>#REF!</v>
      </c>
      <c r="G502" t="e">
        <f t="shared" si="36"/>
        <v>#REF!</v>
      </c>
      <c r="H502" t="e">
        <f t="shared" si="37"/>
        <v>#REF!</v>
      </c>
      <c r="I502" s="141" t="e">
        <f t="shared" si="38"/>
        <v>#REF!</v>
      </c>
      <c r="J502" t="e">
        <f t="shared" si="39"/>
        <v>#REF!</v>
      </c>
      <c r="K502" s="141" t="e">
        <f t="shared" si="40"/>
        <v>#REF!</v>
      </c>
    </row>
    <row r="503" spans="1:11" hidden="1" x14ac:dyDescent="0.25">
      <c r="A503" t="e">
        <f>#REF!</f>
        <v>#REF!</v>
      </c>
      <c r="B503" t="e">
        <f>#REF!</f>
        <v>#REF!</v>
      </c>
      <c r="C503" t="e">
        <f>#REF!</f>
        <v>#REF!</v>
      </c>
      <c r="D503" t="e">
        <f>#REF!</f>
        <v>#REF!</v>
      </c>
      <c r="E503" t="e">
        <f>#REF!</f>
        <v>#REF!</v>
      </c>
      <c r="G503" t="e">
        <f t="shared" si="36"/>
        <v>#REF!</v>
      </c>
      <c r="H503" t="e">
        <f t="shared" si="37"/>
        <v>#REF!</v>
      </c>
      <c r="I503" s="141" t="e">
        <f t="shared" si="38"/>
        <v>#REF!</v>
      </c>
      <c r="J503" t="e">
        <f t="shared" si="39"/>
        <v>#REF!</v>
      </c>
      <c r="K503" s="141" t="e">
        <f t="shared" si="40"/>
        <v>#REF!</v>
      </c>
    </row>
    <row r="504" spans="1:11" hidden="1" x14ac:dyDescent="0.25">
      <c r="A504" t="e">
        <f>#REF!</f>
        <v>#REF!</v>
      </c>
      <c r="B504" t="e">
        <f>#REF!</f>
        <v>#REF!</v>
      </c>
      <c r="C504" t="e">
        <f>#REF!</f>
        <v>#REF!</v>
      </c>
      <c r="D504" t="e">
        <f>#REF!</f>
        <v>#REF!</v>
      </c>
      <c r="E504" t="e">
        <f>#REF!</f>
        <v>#REF!</v>
      </c>
      <c r="G504" t="e">
        <f t="shared" si="36"/>
        <v>#REF!</v>
      </c>
      <c r="H504" t="e">
        <f t="shared" si="37"/>
        <v>#REF!</v>
      </c>
      <c r="I504" s="141" t="e">
        <f t="shared" si="38"/>
        <v>#REF!</v>
      </c>
      <c r="J504" t="e">
        <f t="shared" si="39"/>
        <v>#REF!</v>
      </c>
      <c r="K504" s="141" t="e">
        <f t="shared" si="40"/>
        <v>#REF!</v>
      </c>
    </row>
    <row r="505" spans="1:11" hidden="1" x14ac:dyDescent="0.25">
      <c r="A505" t="e">
        <f>#REF!</f>
        <v>#REF!</v>
      </c>
      <c r="B505" t="e">
        <f>#REF!</f>
        <v>#REF!</v>
      </c>
      <c r="C505" t="e">
        <f>#REF!</f>
        <v>#REF!</v>
      </c>
      <c r="D505" t="e">
        <f>#REF!</f>
        <v>#REF!</v>
      </c>
      <c r="E505" t="e">
        <f>#REF!</f>
        <v>#REF!</v>
      </c>
      <c r="G505" t="e">
        <f t="shared" si="36"/>
        <v>#REF!</v>
      </c>
      <c r="H505" t="e">
        <f t="shared" si="37"/>
        <v>#REF!</v>
      </c>
      <c r="I505" s="141" t="e">
        <f t="shared" si="38"/>
        <v>#REF!</v>
      </c>
      <c r="J505" t="e">
        <f t="shared" si="39"/>
        <v>#REF!</v>
      </c>
      <c r="K505" s="141" t="e">
        <f t="shared" si="40"/>
        <v>#REF!</v>
      </c>
    </row>
    <row r="506" spans="1:11" hidden="1" x14ac:dyDescent="0.25">
      <c r="A506" t="e">
        <f>#REF!</f>
        <v>#REF!</v>
      </c>
      <c r="B506" t="e">
        <f>#REF!</f>
        <v>#REF!</v>
      </c>
      <c r="C506" t="e">
        <f>#REF!</f>
        <v>#REF!</v>
      </c>
      <c r="D506" t="e">
        <f>#REF!</f>
        <v>#REF!</v>
      </c>
      <c r="E506" t="e">
        <f>#REF!</f>
        <v>#REF!</v>
      </c>
      <c r="G506" t="e">
        <f t="shared" si="36"/>
        <v>#REF!</v>
      </c>
      <c r="H506" t="e">
        <f t="shared" si="37"/>
        <v>#REF!</v>
      </c>
      <c r="I506" s="141" t="e">
        <f t="shared" si="38"/>
        <v>#REF!</v>
      </c>
      <c r="J506" t="e">
        <f t="shared" si="39"/>
        <v>#REF!</v>
      </c>
      <c r="K506" s="141" t="e">
        <f t="shared" si="40"/>
        <v>#REF!</v>
      </c>
    </row>
    <row r="507" spans="1:11" hidden="1" x14ac:dyDescent="0.25">
      <c r="A507" t="e">
        <f>#REF!</f>
        <v>#REF!</v>
      </c>
      <c r="B507" t="e">
        <f>#REF!</f>
        <v>#REF!</v>
      </c>
      <c r="C507" t="e">
        <f>#REF!</f>
        <v>#REF!</v>
      </c>
      <c r="D507" t="e">
        <f>#REF!</f>
        <v>#REF!</v>
      </c>
      <c r="E507" t="e">
        <f>#REF!</f>
        <v>#REF!</v>
      </c>
      <c r="G507" t="e">
        <f t="shared" si="36"/>
        <v>#REF!</v>
      </c>
      <c r="H507" t="e">
        <f t="shared" si="37"/>
        <v>#REF!</v>
      </c>
      <c r="I507" s="141" t="e">
        <f t="shared" si="38"/>
        <v>#REF!</v>
      </c>
      <c r="J507" t="e">
        <f t="shared" si="39"/>
        <v>#REF!</v>
      </c>
      <c r="K507" s="141" t="e">
        <f t="shared" si="40"/>
        <v>#REF!</v>
      </c>
    </row>
    <row r="508" spans="1:11" hidden="1" x14ac:dyDescent="0.25">
      <c r="A508" t="e">
        <f>#REF!</f>
        <v>#REF!</v>
      </c>
      <c r="B508" t="e">
        <f>#REF!</f>
        <v>#REF!</v>
      </c>
      <c r="C508" t="e">
        <f>#REF!</f>
        <v>#REF!</v>
      </c>
      <c r="D508" t="e">
        <f>#REF!</f>
        <v>#REF!</v>
      </c>
      <c r="E508" t="e">
        <f>#REF!</f>
        <v>#REF!</v>
      </c>
      <c r="G508" t="e">
        <f t="shared" si="36"/>
        <v>#REF!</v>
      </c>
      <c r="H508" t="e">
        <f t="shared" si="37"/>
        <v>#REF!</v>
      </c>
      <c r="I508" s="141" t="e">
        <f t="shared" si="38"/>
        <v>#REF!</v>
      </c>
      <c r="J508" t="e">
        <f t="shared" si="39"/>
        <v>#REF!</v>
      </c>
      <c r="K508" s="141" t="e">
        <f t="shared" si="40"/>
        <v>#REF!</v>
      </c>
    </row>
    <row r="509" spans="1:11" hidden="1" x14ac:dyDescent="0.25">
      <c r="A509" t="e">
        <f>#REF!</f>
        <v>#REF!</v>
      </c>
      <c r="B509" t="e">
        <f>#REF!</f>
        <v>#REF!</v>
      </c>
      <c r="C509" t="e">
        <f>#REF!</f>
        <v>#REF!</v>
      </c>
      <c r="D509" t="e">
        <f>#REF!</f>
        <v>#REF!</v>
      </c>
      <c r="E509" t="e">
        <f>#REF!</f>
        <v>#REF!</v>
      </c>
      <c r="G509" t="e">
        <f t="shared" si="36"/>
        <v>#REF!</v>
      </c>
      <c r="H509" t="e">
        <f t="shared" si="37"/>
        <v>#REF!</v>
      </c>
      <c r="I509" s="141" t="e">
        <f t="shared" si="38"/>
        <v>#REF!</v>
      </c>
      <c r="J509" t="e">
        <f t="shared" si="39"/>
        <v>#REF!</v>
      </c>
      <c r="K509" s="141" t="e">
        <f t="shared" si="40"/>
        <v>#REF!</v>
      </c>
    </row>
    <row r="510" spans="1:11" hidden="1" x14ac:dyDescent="0.25">
      <c r="A510" t="e">
        <f>#REF!</f>
        <v>#REF!</v>
      </c>
      <c r="B510" t="e">
        <f>#REF!</f>
        <v>#REF!</v>
      </c>
      <c r="C510" t="e">
        <f>#REF!</f>
        <v>#REF!</v>
      </c>
      <c r="D510" t="e">
        <f>#REF!</f>
        <v>#REF!</v>
      </c>
      <c r="E510" t="e">
        <f>#REF!</f>
        <v>#REF!</v>
      </c>
      <c r="G510" t="e">
        <f t="shared" si="36"/>
        <v>#REF!</v>
      </c>
      <c r="H510" t="e">
        <f t="shared" si="37"/>
        <v>#REF!</v>
      </c>
      <c r="I510" s="141" t="e">
        <f t="shared" si="38"/>
        <v>#REF!</v>
      </c>
      <c r="J510" t="e">
        <f t="shared" si="39"/>
        <v>#REF!</v>
      </c>
      <c r="K510" s="141" t="e">
        <f t="shared" si="40"/>
        <v>#REF!</v>
      </c>
    </row>
    <row r="511" spans="1:11" hidden="1" x14ac:dyDescent="0.25">
      <c r="A511" t="e">
        <f>#REF!</f>
        <v>#REF!</v>
      </c>
      <c r="B511" t="e">
        <f>#REF!</f>
        <v>#REF!</v>
      </c>
      <c r="C511" t="e">
        <f>#REF!</f>
        <v>#REF!</v>
      </c>
      <c r="D511" t="e">
        <f>#REF!</f>
        <v>#REF!</v>
      </c>
      <c r="E511" t="e">
        <f>#REF!</f>
        <v>#REF!</v>
      </c>
      <c r="G511" t="e">
        <f t="shared" si="36"/>
        <v>#REF!</v>
      </c>
      <c r="H511" t="e">
        <f t="shared" si="37"/>
        <v>#REF!</v>
      </c>
      <c r="I511" s="141" t="e">
        <f t="shared" si="38"/>
        <v>#REF!</v>
      </c>
      <c r="J511" t="e">
        <f t="shared" si="39"/>
        <v>#REF!</v>
      </c>
      <c r="K511" s="141" t="e">
        <f t="shared" si="40"/>
        <v>#REF!</v>
      </c>
    </row>
    <row r="512" spans="1:11" hidden="1" x14ac:dyDescent="0.25">
      <c r="A512" t="e">
        <f>#REF!</f>
        <v>#REF!</v>
      </c>
      <c r="B512" t="e">
        <f>#REF!</f>
        <v>#REF!</v>
      </c>
      <c r="C512" t="e">
        <f>#REF!</f>
        <v>#REF!</v>
      </c>
      <c r="D512" t="e">
        <f>#REF!</f>
        <v>#REF!</v>
      </c>
      <c r="E512" t="e">
        <f>#REF!</f>
        <v>#REF!</v>
      </c>
      <c r="G512" t="e">
        <f t="shared" si="36"/>
        <v>#REF!</v>
      </c>
      <c r="H512" t="e">
        <f t="shared" si="37"/>
        <v>#REF!</v>
      </c>
      <c r="I512" s="141" t="e">
        <f t="shared" si="38"/>
        <v>#REF!</v>
      </c>
      <c r="J512" t="e">
        <f t="shared" si="39"/>
        <v>#REF!</v>
      </c>
      <c r="K512" s="141" t="e">
        <f t="shared" si="40"/>
        <v>#REF!</v>
      </c>
    </row>
    <row r="513" spans="1:11" hidden="1" x14ac:dyDescent="0.25">
      <c r="A513" t="e">
        <f>#REF!</f>
        <v>#REF!</v>
      </c>
      <c r="B513" t="e">
        <f>#REF!</f>
        <v>#REF!</v>
      </c>
      <c r="C513" t="e">
        <f>#REF!</f>
        <v>#REF!</v>
      </c>
      <c r="D513" t="e">
        <f>#REF!</f>
        <v>#REF!</v>
      </c>
      <c r="E513" t="e">
        <f>#REF!</f>
        <v>#REF!</v>
      </c>
      <c r="G513" t="e">
        <f t="shared" si="36"/>
        <v>#REF!</v>
      </c>
      <c r="H513" t="e">
        <f t="shared" si="37"/>
        <v>#REF!</v>
      </c>
      <c r="I513" s="141" t="e">
        <f t="shared" si="38"/>
        <v>#REF!</v>
      </c>
      <c r="J513" t="e">
        <f t="shared" si="39"/>
        <v>#REF!</v>
      </c>
      <c r="K513" s="141" t="e">
        <f t="shared" si="40"/>
        <v>#REF!</v>
      </c>
    </row>
    <row r="514" spans="1:11" hidden="1" x14ac:dyDescent="0.25">
      <c r="A514" t="e">
        <f>#REF!</f>
        <v>#REF!</v>
      </c>
      <c r="B514" t="e">
        <f>#REF!</f>
        <v>#REF!</v>
      </c>
      <c r="C514" t="e">
        <f>#REF!</f>
        <v>#REF!</v>
      </c>
      <c r="D514" t="e">
        <f>#REF!</f>
        <v>#REF!</v>
      </c>
      <c r="E514" t="e">
        <f>#REF!</f>
        <v>#REF!</v>
      </c>
      <c r="G514" t="e">
        <f t="shared" ref="G514:G577" si="41">A514</f>
        <v>#REF!</v>
      </c>
      <c r="H514" t="e">
        <f t="shared" ref="H514:H577" si="42">B514</f>
        <v>#REF!</v>
      </c>
      <c r="I514" s="141" t="e">
        <f t="shared" ref="I514:I577" si="43">C514</f>
        <v>#REF!</v>
      </c>
      <c r="J514" t="e">
        <f t="shared" ref="J514:J577" si="44">D514</f>
        <v>#REF!</v>
      </c>
      <c r="K514" s="141" t="e">
        <f t="shared" ref="K514:K577" si="45">E514</f>
        <v>#REF!</v>
      </c>
    </row>
    <row r="515" spans="1:11" hidden="1" x14ac:dyDescent="0.25">
      <c r="A515" t="e">
        <f>#REF!</f>
        <v>#REF!</v>
      </c>
      <c r="B515" t="e">
        <f>#REF!</f>
        <v>#REF!</v>
      </c>
      <c r="C515" t="e">
        <f>#REF!</f>
        <v>#REF!</v>
      </c>
      <c r="D515" t="e">
        <f>#REF!</f>
        <v>#REF!</v>
      </c>
      <c r="E515" t="e">
        <f>#REF!</f>
        <v>#REF!</v>
      </c>
      <c r="G515" t="e">
        <f t="shared" si="41"/>
        <v>#REF!</v>
      </c>
      <c r="H515" t="e">
        <f t="shared" si="42"/>
        <v>#REF!</v>
      </c>
      <c r="I515" s="141" t="e">
        <f t="shared" si="43"/>
        <v>#REF!</v>
      </c>
      <c r="J515" t="e">
        <f t="shared" si="44"/>
        <v>#REF!</v>
      </c>
      <c r="K515" s="141" t="e">
        <f t="shared" si="45"/>
        <v>#REF!</v>
      </c>
    </row>
    <row r="516" spans="1:11" hidden="1" x14ac:dyDescent="0.25">
      <c r="A516" t="e">
        <f>#REF!</f>
        <v>#REF!</v>
      </c>
      <c r="B516" t="e">
        <f>#REF!</f>
        <v>#REF!</v>
      </c>
      <c r="C516" t="e">
        <f>#REF!</f>
        <v>#REF!</v>
      </c>
      <c r="D516" t="e">
        <f>#REF!</f>
        <v>#REF!</v>
      </c>
      <c r="E516" t="e">
        <f>#REF!</f>
        <v>#REF!</v>
      </c>
      <c r="G516" t="e">
        <f t="shared" si="41"/>
        <v>#REF!</v>
      </c>
      <c r="H516" t="e">
        <f t="shared" si="42"/>
        <v>#REF!</v>
      </c>
      <c r="I516" s="141" t="e">
        <f t="shared" si="43"/>
        <v>#REF!</v>
      </c>
      <c r="J516" t="e">
        <f t="shared" si="44"/>
        <v>#REF!</v>
      </c>
      <c r="K516" s="141" t="e">
        <f t="shared" si="45"/>
        <v>#REF!</v>
      </c>
    </row>
    <row r="517" spans="1:11" hidden="1" x14ac:dyDescent="0.25">
      <c r="A517" t="e">
        <f>#REF!</f>
        <v>#REF!</v>
      </c>
      <c r="B517" t="e">
        <f>#REF!</f>
        <v>#REF!</v>
      </c>
      <c r="C517" t="e">
        <f>#REF!</f>
        <v>#REF!</v>
      </c>
      <c r="D517" t="e">
        <f>#REF!</f>
        <v>#REF!</v>
      </c>
      <c r="E517" t="e">
        <f>#REF!</f>
        <v>#REF!</v>
      </c>
      <c r="G517" t="e">
        <f t="shared" si="41"/>
        <v>#REF!</v>
      </c>
      <c r="H517" t="e">
        <f t="shared" si="42"/>
        <v>#REF!</v>
      </c>
      <c r="I517" s="141" t="e">
        <f t="shared" si="43"/>
        <v>#REF!</v>
      </c>
      <c r="J517" t="e">
        <f t="shared" si="44"/>
        <v>#REF!</v>
      </c>
      <c r="K517" s="141" t="e">
        <f t="shared" si="45"/>
        <v>#REF!</v>
      </c>
    </row>
    <row r="518" spans="1:11" hidden="1" x14ac:dyDescent="0.25">
      <c r="A518" t="e">
        <f>#REF!</f>
        <v>#REF!</v>
      </c>
      <c r="B518" t="e">
        <f>#REF!</f>
        <v>#REF!</v>
      </c>
      <c r="C518" t="e">
        <f>#REF!</f>
        <v>#REF!</v>
      </c>
      <c r="D518" t="e">
        <f>#REF!</f>
        <v>#REF!</v>
      </c>
      <c r="E518" t="e">
        <f>#REF!</f>
        <v>#REF!</v>
      </c>
      <c r="G518" t="e">
        <f t="shared" si="41"/>
        <v>#REF!</v>
      </c>
      <c r="H518" t="e">
        <f t="shared" si="42"/>
        <v>#REF!</v>
      </c>
      <c r="I518" s="141" t="e">
        <f t="shared" si="43"/>
        <v>#REF!</v>
      </c>
      <c r="J518" t="e">
        <f t="shared" si="44"/>
        <v>#REF!</v>
      </c>
      <c r="K518" s="141" t="e">
        <f t="shared" si="45"/>
        <v>#REF!</v>
      </c>
    </row>
    <row r="519" spans="1:11" hidden="1" x14ac:dyDescent="0.25">
      <c r="A519" t="e">
        <f>#REF!</f>
        <v>#REF!</v>
      </c>
      <c r="B519" t="e">
        <f>#REF!</f>
        <v>#REF!</v>
      </c>
      <c r="C519" t="e">
        <f>#REF!</f>
        <v>#REF!</v>
      </c>
      <c r="D519" t="e">
        <f>#REF!</f>
        <v>#REF!</v>
      </c>
      <c r="E519" t="e">
        <f>#REF!</f>
        <v>#REF!</v>
      </c>
      <c r="G519" t="e">
        <f t="shared" si="41"/>
        <v>#REF!</v>
      </c>
      <c r="H519" t="e">
        <f t="shared" si="42"/>
        <v>#REF!</v>
      </c>
      <c r="I519" s="141" t="e">
        <f t="shared" si="43"/>
        <v>#REF!</v>
      </c>
      <c r="J519" t="e">
        <f t="shared" si="44"/>
        <v>#REF!</v>
      </c>
      <c r="K519" s="141" t="e">
        <f t="shared" si="45"/>
        <v>#REF!</v>
      </c>
    </row>
    <row r="520" spans="1:11" hidden="1" x14ac:dyDescent="0.25">
      <c r="A520" t="e">
        <f>#REF!</f>
        <v>#REF!</v>
      </c>
      <c r="B520" t="e">
        <f>#REF!</f>
        <v>#REF!</v>
      </c>
      <c r="C520" t="e">
        <f>#REF!</f>
        <v>#REF!</v>
      </c>
      <c r="D520" t="e">
        <f>#REF!</f>
        <v>#REF!</v>
      </c>
      <c r="E520" t="e">
        <f>#REF!</f>
        <v>#REF!</v>
      </c>
      <c r="G520" t="e">
        <f t="shared" si="41"/>
        <v>#REF!</v>
      </c>
      <c r="H520" t="e">
        <f t="shared" si="42"/>
        <v>#REF!</v>
      </c>
      <c r="I520" s="141" t="e">
        <f t="shared" si="43"/>
        <v>#REF!</v>
      </c>
      <c r="J520" t="e">
        <f t="shared" si="44"/>
        <v>#REF!</v>
      </c>
      <c r="K520" s="141" t="e">
        <f t="shared" si="45"/>
        <v>#REF!</v>
      </c>
    </row>
    <row r="521" spans="1:11" hidden="1" x14ac:dyDescent="0.25">
      <c r="A521" t="e">
        <f>#REF!</f>
        <v>#REF!</v>
      </c>
      <c r="B521" t="e">
        <f>#REF!</f>
        <v>#REF!</v>
      </c>
      <c r="C521" t="e">
        <f>#REF!</f>
        <v>#REF!</v>
      </c>
      <c r="D521" t="e">
        <f>#REF!</f>
        <v>#REF!</v>
      </c>
      <c r="E521" t="e">
        <f>#REF!</f>
        <v>#REF!</v>
      </c>
      <c r="G521" t="e">
        <f t="shared" si="41"/>
        <v>#REF!</v>
      </c>
      <c r="H521" t="e">
        <f t="shared" si="42"/>
        <v>#REF!</v>
      </c>
      <c r="I521" s="141" t="e">
        <f t="shared" si="43"/>
        <v>#REF!</v>
      </c>
      <c r="J521" t="e">
        <f t="shared" si="44"/>
        <v>#REF!</v>
      </c>
      <c r="K521" s="141" t="e">
        <f t="shared" si="45"/>
        <v>#REF!</v>
      </c>
    </row>
    <row r="522" spans="1:11" hidden="1" x14ac:dyDescent="0.25">
      <c r="A522" t="e">
        <f>#REF!</f>
        <v>#REF!</v>
      </c>
      <c r="B522" t="e">
        <f>#REF!</f>
        <v>#REF!</v>
      </c>
      <c r="C522" t="e">
        <f>#REF!</f>
        <v>#REF!</v>
      </c>
      <c r="D522" t="e">
        <f>#REF!</f>
        <v>#REF!</v>
      </c>
      <c r="E522" t="e">
        <f>#REF!</f>
        <v>#REF!</v>
      </c>
      <c r="G522" t="e">
        <f t="shared" si="41"/>
        <v>#REF!</v>
      </c>
      <c r="H522" t="e">
        <f t="shared" si="42"/>
        <v>#REF!</v>
      </c>
      <c r="I522" s="141" t="e">
        <f t="shared" si="43"/>
        <v>#REF!</v>
      </c>
      <c r="J522" t="e">
        <f t="shared" si="44"/>
        <v>#REF!</v>
      </c>
      <c r="K522" s="141" t="e">
        <f t="shared" si="45"/>
        <v>#REF!</v>
      </c>
    </row>
    <row r="523" spans="1:11" hidden="1" x14ac:dyDescent="0.25">
      <c r="A523" t="e">
        <f>#REF!</f>
        <v>#REF!</v>
      </c>
      <c r="B523" t="e">
        <f>#REF!</f>
        <v>#REF!</v>
      </c>
      <c r="C523" t="e">
        <f>#REF!</f>
        <v>#REF!</v>
      </c>
      <c r="D523" t="e">
        <f>#REF!</f>
        <v>#REF!</v>
      </c>
      <c r="E523" t="e">
        <f>#REF!</f>
        <v>#REF!</v>
      </c>
      <c r="G523" t="e">
        <f t="shared" si="41"/>
        <v>#REF!</v>
      </c>
      <c r="H523" t="e">
        <f t="shared" si="42"/>
        <v>#REF!</v>
      </c>
      <c r="I523" s="141" t="e">
        <f t="shared" si="43"/>
        <v>#REF!</v>
      </c>
      <c r="J523" t="e">
        <f t="shared" si="44"/>
        <v>#REF!</v>
      </c>
      <c r="K523" s="141" t="e">
        <f t="shared" si="45"/>
        <v>#REF!</v>
      </c>
    </row>
    <row r="524" spans="1:11" hidden="1" x14ac:dyDescent="0.25">
      <c r="A524" t="e">
        <f>#REF!</f>
        <v>#REF!</v>
      </c>
      <c r="B524" t="e">
        <f>#REF!</f>
        <v>#REF!</v>
      </c>
      <c r="C524" t="e">
        <f>#REF!</f>
        <v>#REF!</v>
      </c>
      <c r="D524" t="e">
        <f>#REF!</f>
        <v>#REF!</v>
      </c>
      <c r="E524" t="e">
        <f>#REF!</f>
        <v>#REF!</v>
      </c>
      <c r="G524" t="e">
        <f t="shared" si="41"/>
        <v>#REF!</v>
      </c>
      <c r="H524" t="e">
        <f t="shared" si="42"/>
        <v>#REF!</v>
      </c>
      <c r="I524" s="141" t="e">
        <f t="shared" si="43"/>
        <v>#REF!</v>
      </c>
      <c r="J524" t="e">
        <f t="shared" si="44"/>
        <v>#REF!</v>
      </c>
      <c r="K524" s="141" t="e">
        <f t="shared" si="45"/>
        <v>#REF!</v>
      </c>
    </row>
    <row r="525" spans="1:11" hidden="1" x14ac:dyDescent="0.25">
      <c r="A525" t="e">
        <f>#REF!</f>
        <v>#REF!</v>
      </c>
      <c r="B525" t="e">
        <f>#REF!</f>
        <v>#REF!</v>
      </c>
      <c r="C525" t="e">
        <f>#REF!</f>
        <v>#REF!</v>
      </c>
      <c r="D525" t="e">
        <f>#REF!</f>
        <v>#REF!</v>
      </c>
      <c r="E525" t="e">
        <f>#REF!</f>
        <v>#REF!</v>
      </c>
      <c r="G525" t="e">
        <f t="shared" si="41"/>
        <v>#REF!</v>
      </c>
      <c r="H525" t="e">
        <f t="shared" si="42"/>
        <v>#REF!</v>
      </c>
      <c r="I525" s="141" t="e">
        <f t="shared" si="43"/>
        <v>#REF!</v>
      </c>
      <c r="J525" t="e">
        <f t="shared" si="44"/>
        <v>#REF!</v>
      </c>
      <c r="K525" s="141" t="e">
        <f t="shared" si="45"/>
        <v>#REF!</v>
      </c>
    </row>
    <row r="526" spans="1:11" hidden="1" x14ac:dyDescent="0.25">
      <c r="A526" t="e">
        <f>#REF!</f>
        <v>#REF!</v>
      </c>
      <c r="B526" t="e">
        <f>#REF!</f>
        <v>#REF!</v>
      </c>
      <c r="C526" t="e">
        <f>#REF!</f>
        <v>#REF!</v>
      </c>
      <c r="D526" t="e">
        <f>#REF!</f>
        <v>#REF!</v>
      </c>
      <c r="E526" t="e">
        <f>#REF!</f>
        <v>#REF!</v>
      </c>
      <c r="G526" t="e">
        <f t="shared" si="41"/>
        <v>#REF!</v>
      </c>
      <c r="H526" t="e">
        <f t="shared" si="42"/>
        <v>#REF!</v>
      </c>
      <c r="I526" s="141" t="e">
        <f t="shared" si="43"/>
        <v>#REF!</v>
      </c>
      <c r="J526" t="e">
        <f t="shared" si="44"/>
        <v>#REF!</v>
      </c>
      <c r="K526" s="141" t="e">
        <f t="shared" si="45"/>
        <v>#REF!</v>
      </c>
    </row>
    <row r="527" spans="1:11" hidden="1" x14ac:dyDescent="0.25">
      <c r="A527" t="e">
        <f>#REF!</f>
        <v>#REF!</v>
      </c>
      <c r="B527" t="e">
        <f>#REF!</f>
        <v>#REF!</v>
      </c>
      <c r="C527" t="e">
        <f>#REF!</f>
        <v>#REF!</v>
      </c>
      <c r="D527" t="e">
        <f>#REF!</f>
        <v>#REF!</v>
      </c>
      <c r="E527" t="e">
        <f>#REF!</f>
        <v>#REF!</v>
      </c>
      <c r="G527" t="e">
        <f t="shared" si="41"/>
        <v>#REF!</v>
      </c>
      <c r="H527" t="e">
        <f t="shared" si="42"/>
        <v>#REF!</v>
      </c>
      <c r="I527" s="141" t="e">
        <f t="shared" si="43"/>
        <v>#REF!</v>
      </c>
      <c r="J527" t="e">
        <f t="shared" si="44"/>
        <v>#REF!</v>
      </c>
      <c r="K527" s="141" t="e">
        <f t="shared" si="45"/>
        <v>#REF!</v>
      </c>
    </row>
    <row r="528" spans="1:11" hidden="1" x14ac:dyDescent="0.25">
      <c r="A528" t="e">
        <f>#REF!</f>
        <v>#REF!</v>
      </c>
      <c r="B528" t="e">
        <f>#REF!</f>
        <v>#REF!</v>
      </c>
      <c r="C528" t="e">
        <f>#REF!</f>
        <v>#REF!</v>
      </c>
      <c r="D528" t="e">
        <f>#REF!</f>
        <v>#REF!</v>
      </c>
      <c r="E528" t="e">
        <f>#REF!</f>
        <v>#REF!</v>
      </c>
      <c r="G528" t="e">
        <f t="shared" si="41"/>
        <v>#REF!</v>
      </c>
      <c r="H528" t="e">
        <f t="shared" si="42"/>
        <v>#REF!</v>
      </c>
      <c r="I528" s="141" t="e">
        <f t="shared" si="43"/>
        <v>#REF!</v>
      </c>
      <c r="J528" t="e">
        <f t="shared" si="44"/>
        <v>#REF!</v>
      </c>
      <c r="K528" s="141" t="e">
        <f t="shared" si="45"/>
        <v>#REF!</v>
      </c>
    </row>
    <row r="529" spans="1:11" hidden="1" x14ac:dyDescent="0.25">
      <c r="A529" t="e">
        <f>#REF!</f>
        <v>#REF!</v>
      </c>
      <c r="B529" t="e">
        <f>#REF!</f>
        <v>#REF!</v>
      </c>
      <c r="C529" t="e">
        <f>#REF!</f>
        <v>#REF!</v>
      </c>
      <c r="D529" t="e">
        <f>#REF!</f>
        <v>#REF!</v>
      </c>
      <c r="E529" t="e">
        <f>#REF!</f>
        <v>#REF!</v>
      </c>
      <c r="G529" t="e">
        <f t="shared" si="41"/>
        <v>#REF!</v>
      </c>
      <c r="H529" t="e">
        <f t="shared" si="42"/>
        <v>#REF!</v>
      </c>
      <c r="I529" s="141" t="e">
        <f t="shared" si="43"/>
        <v>#REF!</v>
      </c>
      <c r="J529" t="e">
        <f t="shared" si="44"/>
        <v>#REF!</v>
      </c>
      <c r="K529" s="141" t="e">
        <f t="shared" si="45"/>
        <v>#REF!</v>
      </c>
    </row>
    <row r="530" spans="1:11" hidden="1" x14ac:dyDescent="0.25">
      <c r="A530" t="e">
        <f>#REF!</f>
        <v>#REF!</v>
      </c>
      <c r="B530" t="e">
        <f>#REF!</f>
        <v>#REF!</v>
      </c>
      <c r="C530" t="e">
        <f>#REF!</f>
        <v>#REF!</v>
      </c>
      <c r="D530" t="e">
        <f>#REF!</f>
        <v>#REF!</v>
      </c>
      <c r="E530" t="e">
        <f>#REF!</f>
        <v>#REF!</v>
      </c>
      <c r="G530" t="e">
        <f t="shared" si="41"/>
        <v>#REF!</v>
      </c>
      <c r="H530" t="e">
        <f t="shared" si="42"/>
        <v>#REF!</v>
      </c>
      <c r="I530" s="141" t="e">
        <f t="shared" si="43"/>
        <v>#REF!</v>
      </c>
      <c r="J530" t="e">
        <f t="shared" si="44"/>
        <v>#REF!</v>
      </c>
      <c r="K530" s="141" t="e">
        <f t="shared" si="45"/>
        <v>#REF!</v>
      </c>
    </row>
    <row r="531" spans="1:11" hidden="1" x14ac:dyDescent="0.25">
      <c r="A531" t="e">
        <f>#REF!</f>
        <v>#REF!</v>
      </c>
      <c r="B531" t="e">
        <f>#REF!</f>
        <v>#REF!</v>
      </c>
      <c r="C531" t="e">
        <f>#REF!</f>
        <v>#REF!</v>
      </c>
      <c r="D531" t="e">
        <f>#REF!</f>
        <v>#REF!</v>
      </c>
      <c r="E531" t="e">
        <f>#REF!</f>
        <v>#REF!</v>
      </c>
      <c r="G531" t="e">
        <f t="shared" si="41"/>
        <v>#REF!</v>
      </c>
      <c r="H531" t="e">
        <f t="shared" si="42"/>
        <v>#REF!</v>
      </c>
      <c r="I531" s="141" t="e">
        <f t="shared" si="43"/>
        <v>#REF!</v>
      </c>
      <c r="J531" t="e">
        <f t="shared" si="44"/>
        <v>#REF!</v>
      </c>
      <c r="K531" s="141" t="e">
        <f t="shared" si="45"/>
        <v>#REF!</v>
      </c>
    </row>
    <row r="532" spans="1:11" hidden="1" x14ac:dyDescent="0.25">
      <c r="A532" t="e">
        <f>#REF!</f>
        <v>#REF!</v>
      </c>
      <c r="B532" t="e">
        <f>#REF!</f>
        <v>#REF!</v>
      </c>
      <c r="C532" t="e">
        <f>#REF!</f>
        <v>#REF!</v>
      </c>
      <c r="D532" t="e">
        <f>#REF!</f>
        <v>#REF!</v>
      </c>
      <c r="E532" t="e">
        <f>#REF!</f>
        <v>#REF!</v>
      </c>
      <c r="G532" t="e">
        <f t="shared" si="41"/>
        <v>#REF!</v>
      </c>
      <c r="H532" t="e">
        <f t="shared" si="42"/>
        <v>#REF!</v>
      </c>
      <c r="I532" s="141" t="e">
        <f t="shared" si="43"/>
        <v>#REF!</v>
      </c>
      <c r="J532" t="e">
        <f t="shared" si="44"/>
        <v>#REF!</v>
      </c>
      <c r="K532" s="141" t="e">
        <f t="shared" si="45"/>
        <v>#REF!</v>
      </c>
    </row>
    <row r="533" spans="1:11" hidden="1" x14ac:dyDescent="0.25">
      <c r="A533" t="e">
        <f>#REF!</f>
        <v>#REF!</v>
      </c>
      <c r="B533" t="e">
        <f>#REF!</f>
        <v>#REF!</v>
      </c>
      <c r="C533" t="e">
        <f>#REF!</f>
        <v>#REF!</v>
      </c>
      <c r="D533" t="e">
        <f>#REF!</f>
        <v>#REF!</v>
      </c>
      <c r="E533" t="e">
        <f>#REF!</f>
        <v>#REF!</v>
      </c>
      <c r="G533" t="e">
        <f t="shared" si="41"/>
        <v>#REF!</v>
      </c>
      <c r="H533" t="e">
        <f t="shared" si="42"/>
        <v>#REF!</v>
      </c>
      <c r="I533" s="141" t="e">
        <f t="shared" si="43"/>
        <v>#REF!</v>
      </c>
      <c r="J533" t="e">
        <f t="shared" si="44"/>
        <v>#REF!</v>
      </c>
      <c r="K533" s="141" t="e">
        <f t="shared" si="45"/>
        <v>#REF!</v>
      </c>
    </row>
    <row r="534" spans="1:11" hidden="1" x14ac:dyDescent="0.25">
      <c r="A534" t="e">
        <f>#REF!</f>
        <v>#REF!</v>
      </c>
      <c r="B534" t="e">
        <f>#REF!</f>
        <v>#REF!</v>
      </c>
      <c r="C534" t="e">
        <f>#REF!</f>
        <v>#REF!</v>
      </c>
      <c r="D534" t="e">
        <f>#REF!</f>
        <v>#REF!</v>
      </c>
      <c r="E534" t="e">
        <f>#REF!</f>
        <v>#REF!</v>
      </c>
      <c r="G534" t="e">
        <f t="shared" si="41"/>
        <v>#REF!</v>
      </c>
      <c r="H534" t="e">
        <f t="shared" si="42"/>
        <v>#REF!</v>
      </c>
      <c r="I534" s="141" t="e">
        <f t="shared" si="43"/>
        <v>#REF!</v>
      </c>
      <c r="J534" t="e">
        <f t="shared" si="44"/>
        <v>#REF!</v>
      </c>
      <c r="K534" s="141" t="e">
        <f t="shared" si="45"/>
        <v>#REF!</v>
      </c>
    </row>
    <row r="535" spans="1:11" hidden="1" x14ac:dyDescent="0.25">
      <c r="A535" t="e">
        <f>#REF!</f>
        <v>#REF!</v>
      </c>
      <c r="B535" t="e">
        <f>#REF!</f>
        <v>#REF!</v>
      </c>
      <c r="C535" t="e">
        <f>#REF!</f>
        <v>#REF!</v>
      </c>
      <c r="D535" t="e">
        <f>#REF!</f>
        <v>#REF!</v>
      </c>
      <c r="E535" t="e">
        <f>#REF!</f>
        <v>#REF!</v>
      </c>
      <c r="G535" t="e">
        <f t="shared" si="41"/>
        <v>#REF!</v>
      </c>
      <c r="H535" t="e">
        <f t="shared" si="42"/>
        <v>#REF!</v>
      </c>
      <c r="I535" s="141" t="e">
        <f t="shared" si="43"/>
        <v>#REF!</v>
      </c>
      <c r="J535" t="e">
        <f t="shared" si="44"/>
        <v>#REF!</v>
      </c>
      <c r="K535" s="141" t="e">
        <f t="shared" si="45"/>
        <v>#REF!</v>
      </c>
    </row>
    <row r="536" spans="1:11" hidden="1" x14ac:dyDescent="0.25">
      <c r="A536" t="e">
        <f>#REF!</f>
        <v>#REF!</v>
      </c>
      <c r="B536" t="e">
        <f>#REF!</f>
        <v>#REF!</v>
      </c>
      <c r="C536" t="e">
        <f>#REF!</f>
        <v>#REF!</v>
      </c>
      <c r="D536" t="e">
        <f>#REF!</f>
        <v>#REF!</v>
      </c>
      <c r="E536" t="e">
        <f>#REF!</f>
        <v>#REF!</v>
      </c>
      <c r="G536" t="e">
        <f t="shared" si="41"/>
        <v>#REF!</v>
      </c>
      <c r="H536" t="e">
        <f t="shared" si="42"/>
        <v>#REF!</v>
      </c>
      <c r="I536" s="141" t="e">
        <f t="shared" si="43"/>
        <v>#REF!</v>
      </c>
      <c r="J536" t="e">
        <f t="shared" si="44"/>
        <v>#REF!</v>
      </c>
      <c r="K536" s="141" t="e">
        <f t="shared" si="45"/>
        <v>#REF!</v>
      </c>
    </row>
    <row r="537" spans="1:11" hidden="1" x14ac:dyDescent="0.25">
      <c r="A537" t="e">
        <f>#REF!</f>
        <v>#REF!</v>
      </c>
      <c r="B537" t="e">
        <f>#REF!</f>
        <v>#REF!</v>
      </c>
      <c r="C537" t="e">
        <f>#REF!</f>
        <v>#REF!</v>
      </c>
      <c r="D537" t="e">
        <f>#REF!</f>
        <v>#REF!</v>
      </c>
      <c r="E537" t="e">
        <f>#REF!</f>
        <v>#REF!</v>
      </c>
      <c r="G537" t="e">
        <f t="shared" si="41"/>
        <v>#REF!</v>
      </c>
      <c r="H537" t="e">
        <f t="shared" si="42"/>
        <v>#REF!</v>
      </c>
      <c r="I537" s="141" t="e">
        <f t="shared" si="43"/>
        <v>#REF!</v>
      </c>
      <c r="J537" t="e">
        <f t="shared" si="44"/>
        <v>#REF!</v>
      </c>
      <c r="K537" s="141" t="e">
        <f t="shared" si="45"/>
        <v>#REF!</v>
      </c>
    </row>
    <row r="538" spans="1:11" hidden="1" x14ac:dyDescent="0.25">
      <c r="A538" t="e">
        <f>#REF!</f>
        <v>#REF!</v>
      </c>
      <c r="B538" t="e">
        <f>#REF!</f>
        <v>#REF!</v>
      </c>
      <c r="C538" t="e">
        <f>#REF!</f>
        <v>#REF!</v>
      </c>
      <c r="D538" t="e">
        <f>#REF!</f>
        <v>#REF!</v>
      </c>
      <c r="E538" t="e">
        <f>#REF!</f>
        <v>#REF!</v>
      </c>
      <c r="G538" t="e">
        <f t="shared" si="41"/>
        <v>#REF!</v>
      </c>
      <c r="H538" t="e">
        <f t="shared" si="42"/>
        <v>#REF!</v>
      </c>
      <c r="I538" s="141" t="e">
        <f t="shared" si="43"/>
        <v>#REF!</v>
      </c>
      <c r="J538" t="e">
        <f t="shared" si="44"/>
        <v>#REF!</v>
      </c>
      <c r="K538" s="141" t="e">
        <f t="shared" si="45"/>
        <v>#REF!</v>
      </c>
    </row>
    <row r="539" spans="1:11" hidden="1" x14ac:dyDescent="0.25">
      <c r="A539" t="e">
        <f>#REF!</f>
        <v>#REF!</v>
      </c>
      <c r="B539" t="e">
        <f>#REF!</f>
        <v>#REF!</v>
      </c>
      <c r="C539" t="e">
        <f>#REF!</f>
        <v>#REF!</v>
      </c>
      <c r="D539" t="e">
        <f>#REF!</f>
        <v>#REF!</v>
      </c>
      <c r="E539" t="e">
        <f>#REF!</f>
        <v>#REF!</v>
      </c>
      <c r="G539" t="e">
        <f t="shared" si="41"/>
        <v>#REF!</v>
      </c>
      <c r="H539" t="e">
        <f t="shared" si="42"/>
        <v>#REF!</v>
      </c>
      <c r="I539" s="141" t="e">
        <f t="shared" si="43"/>
        <v>#REF!</v>
      </c>
      <c r="J539" t="e">
        <f t="shared" si="44"/>
        <v>#REF!</v>
      </c>
      <c r="K539" s="141" t="e">
        <f t="shared" si="45"/>
        <v>#REF!</v>
      </c>
    </row>
    <row r="540" spans="1:11" hidden="1" x14ac:dyDescent="0.25">
      <c r="A540" t="e">
        <f>#REF!</f>
        <v>#REF!</v>
      </c>
      <c r="B540" t="e">
        <f>#REF!</f>
        <v>#REF!</v>
      </c>
      <c r="C540" t="e">
        <f>#REF!</f>
        <v>#REF!</v>
      </c>
      <c r="D540" t="e">
        <f>#REF!</f>
        <v>#REF!</v>
      </c>
      <c r="E540" t="e">
        <f>#REF!</f>
        <v>#REF!</v>
      </c>
      <c r="G540" t="e">
        <f t="shared" si="41"/>
        <v>#REF!</v>
      </c>
      <c r="H540" t="e">
        <f t="shared" si="42"/>
        <v>#REF!</v>
      </c>
      <c r="I540" s="141" t="e">
        <f t="shared" si="43"/>
        <v>#REF!</v>
      </c>
      <c r="J540" t="e">
        <f t="shared" si="44"/>
        <v>#REF!</v>
      </c>
      <c r="K540" s="141" t="e">
        <f t="shared" si="45"/>
        <v>#REF!</v>
      </c>
    </row>
    <row r="541" spans="1:11" hidden="1" x14ac:dyDescent="0.25">
      <c r="A541" t="e">
        <f>#REF!</f>
        <v>#REF!</v>
      </c>
      <c r="B541" t="e">
        <f>#REF!</f>
        <v>#REF!</v>
      </c>
      <c r="C541" t="e">
        <f>#REF!</f>
        <v>#REF!</v>
      </c>
      <c r="D541" t="e">
        <f>#REF!</f>
        <v>#REF!</v>
      </c>
      <c r="E541" t="e">
        <f>#REF!</f>
        <v>#REF!</v>
      </c>
      <c r="G541" t="e">
        <f t="shared" si="41"/>
        <v>#REF!</v>
      </c>
      <c r="H541" t="e">
        <f t="shared" si="42"/>
        <v>#REF!</v>
      </c>
      <c r="I541" s="141" t="e">
        <f t="shared" si="43"/>
        <v>#REF!</v>
      </c>
      <c r="J541" t="e">
        <f t="shared" si="44"/>
        <v>#REF!</v>
      </c>
      <c r="K541" s="141" t="e">
        <f t="shared" si="45"/>
        <v>#REF!</v>
      </c>
    </row>
    <row r="542" spans="1:11" hidden="1" x14ac:dyDescent="0.25">
      <c r="A542" t="e">
        <f>#REF!</f>
        <v>#REF!</v>
      </c>
      <c r="B542" t="e">
        <f>#REF!</f>
        <v>#REF!</v>
      </c>
      <c r="C542" t="e">
        <f>#REF!</f>
        <v>#REF!</v>
      </c>
      <c r="D542" t="e">
        <f>#REF!</f>
        <v>#REF!</v>
      </c>
      <c r="E542" t="e">
        <f>#REF!</f>
        <v>#REF!</v>
      </c>
      <c r="G542" t="e">
        <f t="shared" si="41"/>
        <v>#REF!</v>
      </c>
      <c r="H542" t="e">
        <f t="shared" si="42"/>
        <v>#REF!</v>
      </c>
      <c r="I542" s="141" t="e">
        <f t="shared" si="43"/>
        <v>#REF!</v>
      </c>
      <c r="J542" t="e">
        <f t="shared" si="44"/>
        <v>#REF!</v>
      </c>
      <c r="K542" s="141" t="e">
        <f t="shared" si="45"/>
        <v>#REF!</v>
      </c>
    </row>
    <row r="543" spans="1:11" hidden="1" x14ac:dyDescent="0.25">
      <c r="A543" t="e">
        <f>#REF!</f>
        <v>#REF!</v>
      </c>
      <c r="B543" t="e">
        <f>#REF!</f>
        <v>#REF!</v>
      </c>
      <c r="C543" t="e">
        <f>#REF!</f>
        <v>#REF!</v>
      </c>
      <c r="D543" t="e">
        <f>#REF!</f>
        <v>#REF!</v>
      </c>
      <c r="E543" t="e">
        <f>#REF!</f>
        <v>#REF!</v>
      </c>
      <c r="G543" t="e">
        <f t="shared" si="41"/>
        <v>#REF!</v>
      </c>
      <c r="H543" t="e">
        <f t="shared" si="42"/>
        <v>#REF!</v>
      </c>
      <c r="I543" s="141" t="e">
        <f t="shared" si="43"/>
        <v>#REF!</v>
      </c>
      <c r="J543" t="e">
        <f t="shared" si="44"/>
        <v>#REF!</v>
      </c>
      <c r="K543" s="141" t="e">
        <f t="shared" si="45"/>
        <v>#REF!</v>
      </c>
    </row>
    <row r="544" spans="1:11" hidden="1" x14ac:dyDescent="0.25">
      <c r="A544" t="e">
        <f>#REF!</f>
        <v>#REF!</v>
      </c>
      <c r="B544" t="e">
        <f>#REF!</f>
        <v>#REF!</v>
      </c>
      <c r="C544" t="e">
        <f>#REF!</f>
        <v>#REF!</v>
      </c>
      <c r="D544" t="e">
        <f>#REF!</f>
        <v>#REF!</v>
      </c>
      <c r="E544" t="e">
        <f>#REF!</f>
        <v>#REF!</v>
      </c>
      <c r="G544" t="e">
        <f t="shared" si="41"/>
        <v>#REF!</v>
      </c>
      <c r="H544" t="e">
        <f t="shared" si="42"/>
        <v>#REF!</v>
      </c>
      <c r="I544" s="141" t="e">
        <f t="shared" si="43"/>
        <v>#REF!</v>
      </c>
      <c r="J544" t="e">
        <f t="shared" si="44"/>
        <v>#REF!</v>
      </c>
      <c r="K544" s="141" t="e">
        <f t="shared" si="45"/>
        <v>#REF!</v>
      </c>
    </row>
    <row r="545" spans="1:11" hidden="1" x14ac:dyDescent="0.25">
      <c r="A545" t="e">
        <f>#REF!</f>
        <v>#REF!</v>
      </c>
      <c r="B545" t="e">
        <f>#REF!</f>
        <v>#REF!</v>
      </c>
      <c r="C545" t="e">
        <f>#REF!</f>
        <v>#REF!</v>
      </c>
      <c r="D545" t="e">
        <f>#REF!</f>
        <v>#REF!</v>
      </c>
      <c r="E545" t="e">
        <f>#REF!</f>
        <v>#REF!</v>
      </c>
      <c r="G545" t="e">
        <f t="shared" si="41"/>
        <v>#REF!</v>
      </c>
      <c r="H545" t="e">
        <f t="shared" si="42"/>
        <v>#REF!</v>
      </c>
      <c r="I545" s="141" t="e">
        <f t="shared" si="43"/>
        <v>#REF!</v>
      </c>
      <c r="J545" t="e">
        <f t="shared" si="44"/>
        <v>#REF!</v>
      </c>
      <c r="K545" s="141" t="e">
        <f t="shared" si="45"/>
        <v>#REF!</v>
      </c>
    </row>
    <row r="546" spans="1:11" hidden="1" x14ac:dyDescent="0.25">
      <c r="A546" t="e">
        <f>#REF!</f>
        <v>#REF!</v>
      </c>
      <c r="B546" t="e">
        <f>#REF!</f>
        <v>#REF!</v>
      </c>
      <c r="C546" t="e">
        <f>#REF!</f>
        <v>#REF!</v>
      </c>
      <c r="D546" t="e">
        <f>#REF!</f>
        <v>#REF!</v>
      </c>
      <c r="E546" t="e">
        <f>#REF!</f>
        <v>#REF!</v>
      </c>
      <c r="G546" t="e">
        <f t="shared" si="41"/>
        <v>#REF!</v>
      </c>
      <c r="H546" t="e">
        <f t="shared" si="42"/>
        <v>#REF!</v>
      </c>
      <c r="I546" s="141" t="e">
        <f t="shared" si="43"/>
        <v>#REF!</v>
      </c>
      <c r="J546" t="e">
        <f t="shared" si="44"/>
        <v>#REF!</v>
      </c>
      <c r="K546" s="141" t="e">
        <f t="shared" si="45"/>
        <v>#REF!</v>
      </c>
    </row>
    <row r="547" spans="1:11" hidden="1" x14ac:dyDescent="0.25">
      <c r="A547" t="e">
        <f>#REF!</f>
        <v>#REF!</v>
      </c>
      <c r="B547" t="e">
        <f>#REF!</f>
        <v>#REF!</v>
      </c>
      <c r="C547" t="e">
        <f>#REF!</f>
        <v>#REF!</v>
      </c>
      <c r="D547" t="e">
        <f>#REF!</f>
        <v>#REF!</v>
      </c>
      <c r="E547" t="e">
        <f>#REF!</f>
        <v>#REF!</v>
      </c>
      <c r="G547" t="e">
        <f t="shared" si="41"/>
        <v>#REF!</v>
      </c>
      <c r="H547" t="e">
        <f t="shared" si="42"/>
        <v>#REF!</v>
      </c>
      <c r="I547" s="141" t="e">
        <f t="shared" si="43"/>
        <v>#REF!</v>
      </c>
      <c r="J547" t="e">
        <f t="shared" si="44"/>
        <v>#REF!</v>
      </c>
      <c r="K547" s="141" t="e">
        <f t="shared" si="45"/>
        <v>#REF!</v>
      </c>
    </row>
    <row r="548" spans="1:11" hidden="1" x14ac:dyDescent="0.25">
      <c r="A548" t="e">
        <f>#REF!</f>
        <v>#REF!</v>
      </c>
      <c r="B548" t="e">
        <f>#REF!</f>
        <v>#REF!</v>
      </c>
      <c r="C548" t="e">
        <f>#REF!</f>
        <v>#REF!</v>
      </c>
      <c r="D548" t="e">
        <f>#REF!</f>
        <v>#REF!</v>
      </c>
      <c r="E548" t="e">
        <f>#REF!</f>
        <v>#REF!</v>
      </c>
      <c r="G548" t="e">
        <f t="shared" si="41"/>
        <v>#REF!</v>
      </c>
      <c r="H548" t="e">
        <f t="shared" si="42"/>
        <v>#REF!</v>
      </c>
      <c r="I548" s="141" t="e">
        <f t="shared" si="43"/>
        <v>#REF!</v>
      </c>
      <c r="J548" t="e">
        <f t="shared" si="44"/>
        <v>#REF!</v>
      </c>
      <c r="K548" s="141" t="e">
        <f t="shared" si="45"/>
        <v>#REF!</v>
      </c>
    </row>
    <row r="549" spans="1:11" hidden="1" x14ac:dyDescent="0.25">
      <c r="A549" t="e">
        <f>#REF!</f>
        <v>#REF!</v>
      </c>
      <c r="B549" t="e">
        <f>#REF!</f>
        <v>#REF!</v>
      </c>
      <c r="C549" t="e">
        <f>#REF!</f>
        <v>#REF!</v>
      </c>
      <c r="D549" t="e">
        <f>#REF!</f>
        <v>#REF!</v>
      </c>
      <c r="E549" t="e">
        <f>#REF!</f>
        <v>#REF!</v>
      </c>
      <c r="G549" t="e">
        <f t="shared" si="41"/>
        <v>#REF!</v>
      </c>
      <c r="H549" t="e">
        <f t="shared" si="42"/>
        <v>#REF!</v>
      </c>
      <c r="I549" s="141" t="e">
        <f t="shared" si="43"/>
        <v>#REF!</v>
      </c>
      <c r="J549" t="e">
        <f t="shared" si="44"/>
        <v>#REF!</v>
      </c>
      <c r="K549" s="141" t="e">
        <f t="shared" si="45"/>
        <v>#REF!</v>
      </c>
    </row>
    <row r="550" spans="1:11" hidden="1" x14ac:dyDescent="0.25">
      <c r="A550" t="e">
        <f>#REF!</f>
        <v>#REF!</v>
      </c>
      <c r="B550" t="e">
        <f>#REF!</f>
        <v>#REF!</v>
      </c>
      <c r="C550" t="e">
        <f>#REF!</f>
        <v>#REF!</v>
      </c>
      <c r="D550" t="e">
        <f>#REF!</f>
        <v>#REF!</v>
      </c>
      <c r="E550" t="e">
        <f>#REF!</f>
        <v>#REF!</v>
      </c>
      <c r="G550" t="e">
        <f t="shared" si="41"/>
        <v>#REF!</v>
      </c>
      <c r="H550" t="e">
        <f t="shared" si="42"/>
        <v>#REF!</v>
      </c>
      <c r="I550" s="141" t="e">
        <f t="shared" si="43"/>
        <v>#REF!</v>
      </c>
      <c r="J550" t="e">
        <f t="shared" si="44"/>
        <v>#REF!</v>
      </c>
      <c r="K550" s="141" t="e">
        <f t="shared" si="45"/>
        <v>#REF!</v>
      </c>
    </row>
    <row r="551" spans="1:11" hidden="1" x14ac:dyDescent="0.25">
      <c r="A551" t="e">
        <f>#REF!</f>
        <v>#REF!</v>
      </c>
      <c r="B551" t="e">
        <f>#REF!</f>
        <v>#REF!</v>
      </c>
      <c r="C551" t="e">
        <f>#REF!</f>
        <v>#REF!</v>
      </c>
      <c r="D551" t="e">
        <f>#REF!</f>
        <v>#REF!</v>
      </c>
      <c r="E551" t="e">
        <f>#REF!</f>
        <v>#REF!</v>
      </c>
      <c r="G551" t="e">
        <f t="shared" si="41"/>
        <v>#REF!</v>
      </c>
      <c r="H551" t="e">
        <f t="shared" si="42"/>
        <v>#REF!</v>
      </c>
      <c r="I551" s="141" t="e">
        <f t="shared" si="43"/>
        <v>#REF!</v>
      </c>
      <c r="J551" t="e">
        <f t="shared" si="44"/>
        <v>#REF!</v>
      </c>
      <c r="K551" s="141" t="e">
        <f t="shared" si="45"/>
        <v>#REF!</v>
      </c>
    </row>
    <row r="552" spans="1:11" hidden="1" x14ac:dyDescent="0.25">
      <c r="A552" t="e">
        <f>#REF!</f>
        <v>#REF!</v>
      </c>
      <c r="B552" t="e">
        <f>#REF!</f>
        <v>#REF!</v>
      </c>
      <c r="C552" t="e">
        <f>#REF!</f>
        <v>#REF!</v>
      </c>
      <c r="D552" t="e">
        <f>#REF!</f>
        <v>#REF!</v>
      </c>
      <c r="E552" t="e">
        <f>#REF!</f>
        <v>#REF!</v>
      </c>
      <c r="G552" t="e">
        <f t="shared" si="41"/>
        <v>#REF!</v>
      </c>
      <c r="H552" t="e">
        <f t="shared" si="42"/>
        <v>#REF!</v>
      </c>
      <c r="I552" s="141" t="e">
        <f t="shared" si="43"/>
        <v>#REF!</v>
      </c>
      <c r="J552" t="e">
        <f t="shared" si="44"/>
        <v>#REF!</v>
      </c>
      <c r="K552" s="141" t="e">
        <f t="shared" si="45"/>
        <v>#REF!</v>
      </c>
    </row>
    <row r="553" spans="1:11" hidden="1" x14ac:dyDescent="0.25">
      <c r="A553" t="e">
        <f>#REF!</f>
        <v>#REF!</v>
      </c>
      <c r="B553" t="e">
        <f>#REF!</f>
        <v>#REF!</v>
      </c>
      <c r="C553" t="e">
        <f>#REF!</f>
        <v>#REF!</v>
      </c>
      <c r="D553" t="e">
        <f>#REF!</f>
        <v>#REF!</v>
      </c>
      <c r="E553" t="e">
        <f>#REF!</f>
        <v>#REF!</v>
      </c>
      <c r="G553" t="e">
        <f t="shared" si="41"/>
        <v>#REF!</v>
      </c>
      <c r="H553" t="e">
        <f t="shared" si="42"/>
        <v>#REF!</v>
      </c>
      <c r="I553" s="141" t="e">
        <f t="shared" si="43"/>
        <v>#REF!</v>
      </c>
      <c r="J553" t="e">
        <f t="shared" si="44"/>
        <v>#REF!</v>
      </c>
      <c r="K553" s="141" t="e">
        <f t="shared" si="45"/>
        <v>#REF!</v>
      </c>
    </row>
    <row r="554" spans="1:11" hidden="1" x14ac:dyDescent="0.25">
      <c r="A554" t="e">
        <f>#REF!</f>
        <v>#REF!</v>
      </c>
      <c r="B554" t="e">
        <f>#REF!</f>
        <v>#REF!</v>
      </c>
      <c r="C554" t="e">
        <f>#REF!</f>
        <v>#REF!</v>
      </c>
      <c r="D554" t="e">
        <f>#REF!</f>
        <v>#REF!</v>
      </c>
      <c r="E554" t="e">
        <f>#REF!</f>
        <v>#REF!</v>
      </c>
      <c r="G554" t="e">
        <f t="shared" si="41"/>
        <v>#REF!</v>
      </c>
      <c r="H554" t="e">
        <f t="shared" si="42"/>
        <v>#REF!</v>
      </c>
      <c r="I554" s="141" t="e">
        <f t="shared" si="43"/>
        <v>#REF!</v>
      </c>
      <c r="J554" t="e">
        <f t="shared" si="44"/>
        <v>#REF!</v>
      </c>
      <c r="K554" s="141" t="e">
        <f t="shared" si="45"/>
        <v>#REF!</v>
      </c>
    </row>
    <row r="555" spans="1:11" hidden="1" x14ac:dyDescent="0.25">
      <c r="A555" t="e">
        <f>#REF!</f>
        <v>#REF!</v>
      </c>
      <c r="B555" t="e">
        <f>#REF!</f>
        <v>#REF!</v>
      </c>
      <c r="C555" t="e">
        <f>#REF!</f>
        <v>#REF!</v>
      </c>
      <c r="D555" t="e">
        <f>#REF!</f>
        <v>#REF!</v>
      </c>
      <c r="E555" t="e">
        <f>#REF!</f>
        <v>#REF!</v>
      </c>
      <c r="G555" t="e">
        <f t="shared" si="41"/>
        <v>#REF!</v>
      </c>
      <c r="H555" t="e">
        <f t="shared" si="42"/>
        <v>#REF!</v>
      </c>
      <c r="I555" s="141" t="e">
        <f t="shared" si="43"/>
        <v>#REF!</v>
      </c>
      <c r="J555" t="e">
        <f t="shared" si="44"/>
        <v>#REF!</v>
      </c>
      <c r="K555" s="141" t="e">
        <f t="shared" si="45"/>
        <v>#REF!</v>
      </c>
    </row>
    <row r="556" spans="1:11" hidden="1" x14ac:dyDescent="0.25">
      <c r="A556" t="e">
        <f>#REF!</f>
        <v>#REF!</v>
      </c>
      <c r="B556" t="e">
        <f>#REF!</f>
        <v>#REF!</v>
      </c>
      <c r="C556" t="e">
        <f>#REF!</f>
        <v>#REF!</v>
      </c>
      <c r="D556" t="e">
        <f>#REF!</f>
        <v>#REF!</v>
      </c>
      <c r="E556" t="e">
        <f>#REF!</f>
        <v>#REF!</v>
      </c>
      <c r="G556" t="e">
        <f t="shared" si="41"/>
        <v>#REF!</v>
      </c>
      <c r="H556" t="e">
        <f t="shared" si="42"/>
        <v>#REF!</v>
      </c>
      <c r="I556" s="141" t="e">
        <f t="shared" si="43"/>
        <v>#REF!</v>
      </c>
      <c r="J556" t="e">
        <f t="shared" si="44"/>
        <v>#REF!</v>
      </c>
      <c r="K556" s="141" t="e">
        <f t="shared" si="45"/>
        <v>#REF!</v>
      </c>
    </row>
    <row r="557" spans="1:11" hidden="1" x14ac:dyDescent="0.25">
      <c r="A557" t="e">
        <f>#REF!</f>
        <v>#REF!</v>
      </c>
      <c r="B557" t="e">
        <f>#REF!</f>
        <v>#REF!</v>
      </c>
      <c r="C557" t="e">
        <f>#REF!</f>
        <v>#REF!</v>
      </c>
      <c r="D557" t="e">
        <f>#REF!</f>
        <v>#REF!</v>
      </c>
      <c r="E557" t="e">
        <f>#REF!</f>
        <v>#REF!</v>
      </c>
      <c r="G557" t="e">
        <f t="shared" si="41"/>
        <v>#REF!</v>
      </c>
      <c r="H557" t="e">
        <f t="shared" si="42"/>
        <v>#REF!</v>
      </c>
      <c r="I557" s="141" t="e">
        <f t="shared" si="43"/>
        <v>#REF!</v>
      </c>
      <c r="J557" t="e">
        <f t="shared" si="44"/>
        <v>#REF!</v>
      </c>
      <c r="K557" s="141" t="e">
        <f t="shared" si="45"/>
        <v>#REF!</v>
      </c>
    </row>
    <row r="558" spans="1:11" hidden="1" x14ac:dyDescent="0.25">
      <c r="A558" t="e">
        <f>#REF!</f>
        <v>#REF!</v>
      </c>
      <c r="B558" t="e">
        <f>#REF!</f>
        <v>#REF!</v>
      </c>
      <c r="C558" t="e">
        <f>#REF!</f>
        <v>#REF!</v>
      </c>
      <c r="D558" t="e">
        <f>#REF!</f>
        <v>#REF!</v>
      </c>
      <c r="E558" t="e">
        <f>#REF!</f>
        <v>#REF!</v>
      </c>
      <c r="G558" t="e">
        <f t="shared" si="41"/>
        <v>#REF!</v>
      </c>
      <c r="H558" t="e">
        <f t="shared" si="42"/>
        <v>#REF!</v>
      </c>
      <c r="I558" s="141" t="e">
        <f t="shared" si="43"/>
        <v>#REF!</v>
      </c>
      <c r="J558" t="e">
        <f t="shared" si="44"/>
        <v>#REF!</v>
      </c>
      <c r="K558" s="141" t="e">
        <f t="shared" si="45"/>
        <v>#REF!</v>
      </c>
    </row>
    <row r="559" spans="1:11" hidden="1" x14ac:dyDescent="0.25">
      <c r="A559" t="e">
        <f>#REF!</f>
        <v>#REF!</v>
      </c>
      <c r="B559" t="e">
        <f>#REF!</f>
        <v>#REF!</v>
      </c>
      <c r="C559" t="e">
        <f>#REF!</f>
        <v>#REF!</v>
      </c>
      <c r="D559" t="e">
        <f>#REF!</f>
        <v>#REF!</v>
      </c>
      <c r="E559" t="e">
        <f>#REF!</f>
        <v>#REF!</v>
      </c>
      <c r="G559" t="e">
        <f t="shared" si="41"/>
        <v>#REF!</v>
      </c>
      <c r="H559" t="e">
        <f t="shared" si="42"/>
        <v>#REF!</v>
      </c>
      <c r="I559" s="141" t="e">
        <f t="shared" si="43"/>
        <v>#REF!</v>
      </c>
      <c r="J559" t="e">
        <f t="shared" si="44"/>
        <v>#REF!</v>
      </c>
      <c r="K559" s="141" t="e">
        <f t="shared" si="45"/>
        <v>#REF!</v>
      </c>
    </row>
    <row r="560" spans="1:11" hidden="1" x14ac:dyDescent="0.25">
      <c r="A560" t="e">
        <f>#REF!</f>
        <v>#REF!</v>
      </c>
      <c r="B560" t="e">
        <f>#REF!</f>
        <v>#REF!</v>
      </c>
      <c r="C560" t="e">
        <f>#REF!</f>
        <v>#REF!</v>
      </c>
      <c r="D560" t="e">
        <f>#REF!</f>
        <v>#REF!</v>
      </c>
      <c r="E560" t="e">
        <f>#REF!</f>
        <v>#REF!</v>
      </c>
      <c r="G560" t="e">
        <f t="shared" si="41"/>
        <v>#REF!</v>
      </c>
      <c r="H560" t="e">
        <f t="shared" si="42"/>
        <v>#REF!</v>
      </c>
      <c r="I560" s="141" t="e">
        <f t="shared" si="43"/>
        <v>#REF!</v>
      </c>
      <c r="J560" t="e">
        <f t="shared" si="44"/>
        <v>#REF!</v>
      </c>
      <c r="K560" s="141" t="e">
        <f t="shared" si="45"/>
        <v>#REF!</v>
      </c>
    </row>
    <row r="561" spans="1:11" hidden="1" x14ac:dyDescent="0.25">
      <c r="A561" t="e">
        <f>#REF!</f>
        <v>#REF!</v>
      </c>
      <c r="B561" t="e">
        <f>#REF!</f>
        <v>#REF!</v>
      </c>
      <c r="C561" t="e">
        <f>#REF!</f>
        <v>#REF!</v>
      </c>
      <c r="D561" t="e">
        <f>#REF!</f>
        <v>#REF!</v>
      </c>
      <c r="E561" t="e">
        <f>#REF!</f>
        <v>#REF!</v>
      </c>
      <c r="G561" t="e">
        <f t="shared" si="41"/>
        <v>#REF!</v>
      </c>
      <c r="H561" t="e">
        <f t="shared" si="42"/>
        <v>#REF!</v>
      </c>
      <c r="I561" s="141" t="e">
        <f t="shared" si="43"/>
        <v>#REF!</v>
      </c>
      <c r="J561" t="e">
        <f t="shared" si="44"/>
        <v>#REF!</v>
      </c>
      <c r="K561" s="141" t="e">
        <f t="shared" si="45"/>
        <v>#REF!</v>
      </c>
    </row>
    <row r="562" spans="1:11" hidden="1" x14ac:dyDescent="0.25">
      <c r="A562" t="e">
        <f>#REF!</f>
        <v>#REF!</v>
      </c>
      <c r="B562" t="e">
        <f>#REF!</f>
        <v>#REF!</v>
      </c>
      <c r="C562" t="e">
        <f>#REF!</f>
        <v>#REF!</v>
      </c>
      <c r="D562" t="e">
        <f>#REF!</f>
        <v>#REF!</v>
      </c>
      <c r="E562" t="e">
        <f>#REF!</f>
        <v>#REF!</v>
      </c>
      <c r="G562" t="e">
        <f t="shared" si="41"/>
        <v>#REF!</v>
      </c>
      <c r="H562" t="e">
        <f t="shared" si="42"/>
        <v>#REF!</v>
      </c>
      <c r="I562" s="141" t="e">
        <f t="shared" si="43"/>
        <v>#REF!</v>
      </c>
      <c r="J562" t="e">
        <f t="shared" si="44"/>
        <v>#REF!</v>
      </c>
      <c r="K562" s="141" t="e">
        <f t="shared" si="45"/>
        <v>#REF!</v>
      </c>
    </row>
    <row r="563" spans="1:11" hidden="1" x14ac:dyDescent="0.25">
      <c r="A563" t="e">
        <f>#REF!</f>
        <v>#REF!</v>
      </c>
      <c r="B563" t="e">
        <f>#REF!</f>
        <v>#REF!</v>
      </c>
      <c r="C563" t="e">
        <f>#REF!</f>
        <v>#REF!</v>
      </c>
      <c r="D563" t="e">
        <f>#REF!</f>
        <v>#REF!</v>
      </c>
      <c r="E563" t="e">
        <f>#REF!</f>
        <v>#REF!</v>
      </c>
      <c r="G563" t="e">
        <f t="shared" si="41"/>
        <v>#REF!</v>
      </c>
      <c r="H563" t="e">
        <f t="shared" si="42"/>
        <v>#REF!</v>
      </c>
      <c r="I563" s="141" t="e">
        <f t="shared" si="43"/>
        <v>#REF!</v>
      </c>
      <c r="J563" t="e">
        <f t="shared" si="44"/>
        <v>#REF!</v>
      </c>
      <c r="K563" s="141" t="e">
        <f t="shared" si="45"/>
        <v>#REF!</v>
      </c>
    </row>
    <row r="564" spans="1:11" hidden="1" x14ac:dyDescent="0.25">
      <c r="A564" t="e">
        <f>#REF!</f>
        <v>#REF!</v>
      </c>
      <c r="B564" t="e">
        <f>#REF!</f>
        <v>#REF!</v>
      </c>
      <c r="C564" t="e">
        <f>#REF!</f>
        <v>#REF!</v>
      </c>
      <c r="D564" t="e">
        <f>#REF!</f>
        <v>#REF!</v>
      </c>
      <c r="E564" t="e">
        <f>#REF!</f>
        <v>#REF!</v>
      </c>
      <c r="G564" t="e">
        <f t="shared" si="41"/>
        <v>#REF!</v>
      </c>
      <c r="H564" t="e">
        <f t="shared" si="42"/>
        <v>#REF!</v>
      </c>
      <c r="I564" s="141" t="e">
        <f t="shared" si="43"/>
        <v>#REF!</v>
      </c>
      <c r="J564" t="e">
        <f t="shared" si="44"/>
        <v>#REF!</v>
      </c>
      <c r="K564" s="141" t="e">
        <f t="shared" si="45"/>
        <v>#REF!</v>
      </c>
    </row>
    <row r="565" spans="1:11" hidden="1" x14ac:dyDescent="0.25">
      <c r="A565" t="e">
        <f>#REF!</f>
        <v>#REF!</v>
      </c>
      <c r="B565" t="e">
        <f>#REF!</f>
        <v>#REF!</v>
      </c>
      <c r="C565" t="e">
        <f>#REF!</f>
        <v>#REF!</v>
      </c>
      <c r="D565" t="e">
        <f>#REF!</f>
        <v>#REF!</v>
      </c>
      <c r="E565" t="e">
        <f>#REF!</f>
        <v>#REF!</v>
      </c>
      <c r="G565" t="e">
        <f t="shared" si="41"/>
        <v>#REF!</v>
      </c>
      <c r="H565" t="e">
        <f t="shared" si="42"/>
        <v>#REF!</v>
      </c>
      <c r="I565" s="141" t="e">
        <f t="shared" si="43"/>
        <v>#REF!</v>
      </c>
      <c r="J565" t="e">
        <f t="shared" si="44"/>
        <v>#REF!</v>
      </c>
      <c r="K565" s="141" t="e">
        <f t="shared" si="45"/>
        <v>#REF!</v>
      </c>
    </row>
    <row r="566" spans="1:11" hidden="1" x14ac:dyDescent="0.25">
      <c r="A566" t="e">
        <f>#REF!</f>
        <v>#REF!</v>
      </c>
      <c r="B566" t="e">
        <f>#REF!</f>
        <v>#REF!</v>
      </c>
      <c r="C566" t="e">
        <f>#REF!</f>
        <v>#REF!</v>
      </c>
      <c r="D566" t="e">
        <f>#REF!</f>
        <v>#REF!</v>
      </c>
      <c r="E566" t="e">
        <f>#REF!</f>
        <v>#REF!</v>
      </c>
      <c r="G566" t="e">
        <f t="shared" si="41"/>
        <v>#REF!</v>
      </c>
      <c r="H566" t="e">
        <f t="shared" si="42"/>
        <v>#REF!</v>
      </c>
      <c r="I566" s="141" t="e">
        <f t="shared" si="43"/>
        <v>#REF!</v>
      </c>
      <c r="J566" t="e">
        <f t="shared" si="44"/>
        <v>#REF!</v>
      </c>
      <c r="K566" s="141" t="e">
        <f t="shared" si="45"/>
        <v>#REF!</v>
      </c>
    </row>
    <row r="567" spans="1:11" hidden="1" x14ac:dyDescent="0.25">
      <c r="A567" t="e">
        <f>#REF!</f>
        <v>#REF!</v>
      </c>
      <c r="B567" t="e">
        <f>#REF!</f>
        <v>#REF!</v>
      </c>
      <c r="C567" t="e">
        <f>#REF!</f>
        <v>#REF!</v>
      </c>
      <c r="D567" t="e">
        <f>#REF!</f>
        <v>#REF!</v>
      </c>
      <c r="E567" t="e">
        <f>#REF!</f>
        <v>#REF!</v>
      </c>
      <c r="G567" t="e">
        <f t="shared" si="41"/>
        <v>#REF!</v>
      </c>
      <c r="H567" t="e">
        <f t="shared" si="42"/>
        <v>#REF!</v>
      </c>
      <c r="I567" s="141" t="e">
        <f t="shared" si="43"/>
        <v>#REF!</v>
      </c>
      <c r="J567" t="e">
        <f t="shared" si="44"/>
        <v>#REF!</v>
      </c>
      <c r="K567" s="141" t="e">
        <f t="shared" si="45"/>
        <v>#REF!</v>
      </c>
    </row>
    <row r="568" spans="1:11" hidden="1" x14ac:dyDescent="0.25">
      <c r="A568" t="e">
        <f>#REF!</f>
        <v>#REF!</v>
      </c>
      <c r="B568" t="e">
        <f>#REF!</f>
        <v>#REF!</v>
      </c>
      <c r="C568" t="e">
        <f>#REF!</f>
        <v>#REF!</v>
      </c>
      <c r="D568" t="e">
        <f>#REF!</f>
        <v>#REF!</v>
      </c>
      <c r="E568" t="e">
        <f>#REF!</f>
        <v>#REF!</v>
      </c>
      <c r="G568" t="e">
        <f t="shared" si="41"/>
        <v>#REF!</v>
      </c>
      <c r="H568" t="e">
        <f t="shared" si="42"/>
        <v>#REF!</v>
      </c>
      <c r="I568" s="141" t="e">
        <f t="shared" si="43"/>
        <v>#REF!</v>
      </c>
      <c r="J568" t="e">
        <f t="shared" si="44"/>
        <v>#REF!</v>
      </c>
      <c r="K568" s="141" t="e">
        <f t="shared" si="45"/>
        <v>#REF!</v>
      </c>
    </row>
    <row r="569" spans="1:11" hidden="1" x14ac:dyDescent="0.25">
      <c r="A569" t="e">
        <f>#REF!</f>
        <v>#REF!</v>
      </c>
      <c r="B569" t="e">
        <f>#REF!</f>
        <v>#REF!</v>
      </c>
      <c r="C569" t="e">
        <f>#REF!</f>
        <v>#REF!</v>
      </c>
      <c r="D569" t="e">
        <f>#REF!</f>
        <v>#REF!</v>
      </c>
      <c r="E569" t="e">
        <f>#REF!</f>
        <v>#REF!</v>
      </c>
      <c r="G569" t="e">
        <f t="shared" si="41"/>
        <v>#REF!</v>
      </c>
      <c r="H569" t="e">
        <f t="shared" si="42"/>
        <v>#REF!</v>
      </c>
      <c r="I569" s="141" t="e">
        <f t="shared" si="43"/>
        <v>#REF!</v>
      </c>
      <c r="J569" t="e">
        <f t="shared" si="44"/>
        <v>#REF!</v>
      </c>
      <c r="K569" s="141" t="e">
        <f t="shared" si="45"/>
        <v>#REF!</v>
      </c>
    </row>
    <row r="570" spans="1:11" hidden="1" x14ac:dyDescent="0.25">
      <c r="A570" t="e">
        <f>#REF!</f>
        <v>#REF!</v>
      </c>
      <c r="B570" t="e">
        <f>#REF!</f>
        <v>#REF!</v>
      </c>
      <c r="C570" t="e">
        <f>#REF!</f>
        <v>#REF!</v>
      </c>
      <c r="D570" t="e">
        <f>#REF!</f>
        <v>#REF!</v>
      </c>
      <c r="E570" t="e">
        <f>#REF!</f>
        <v>#REF!</v>
      </c>
      <c r="G570" t="e">
        <f t="shared" si="41"/>
        <v>#REF!</v>
      </c>
      <c r="H570" t="e">
        <f t="shared" si="42"/>
        <v>#REF!</v>
      </c>
      <c r="I570" s="141" t="e">
        <f t="shared" si="43"/>
        <v>#REF!</v>
      </c>
      <c r="J570" t="e">
        <f t="shared" si="44"/>
        <v>#REF!</v>
      </c>
      <c r="K570" s="141" t="e">
        <f t="shared" si="45"/>
        <v>#REF!</v>
      </c>
    </row>
    <row r="571" spans="1:11" hidden="1" x14ac:dyDescent="0.25">
      <c r="A571" t="e">
        <f>#REF!</f>
        <v>#REF!</v>
      </c>
      <c r="B571" t="e">
        <f>#REF!</f>
        <v>#REF!</v>
      </c>
      <c r="C571" t="e">
        <f>#REF!</f>
        <v>#REF!</v>
      </c>
      <c r="D571" t="e">
        <f>#REF!</f>
        <v>#REF!</v>
      </c>
      <c r="E571" t="e">
        <f>#REF!</f>
        <v>#REF!</v>
      </c>
      <c r="G571" t="e">
        <f t="shared" si="41"/>
        <v>#REF!</v>
      </c>
      <c r="H571" t="e">
        <f t="shared" si="42"/>
        <v>#REF!</v>
      </c>
      <c r="I571" s="141" t="e">
        <f t="shared" si="43"/>
        <v>#REF!</v>
      </c>
      <c r="J571" t="e">
        <f t="shared" si="44"/>
        <v>#REF!</v>
      </c>
      <c r="K571" s="141" t="e">
        <f t="shared" si="45"/>
        <v>#REF!</v>
      </c>
    </row>
    <row r="572" spans="1:11" hidden="1" x14ac:dyDescent="0.25">
      <c r="A572" t="e">
        <f>#REF!</f>
        <v>#REF!</v>
      </c>
      <c r="B572" t="e">
        <f>#REF!</f>
        <v>#REF!</v>
      </c>
      <c r="C572" t="e">
        <f>#REF!</f>
        <v>#REF!</v>
      </c>
      <c r="D572" t="e">
        <f>#REF!</f>
        <v>#REF!</v>
      </c>
      <c r="E572" t="e">
        <f>#REF!</f>
        <v>#REF!</v>
      </c>
      <c r="G572" t="e">
        <f t="shared" si="41"/>
        <v>#REF!</v>
      </c>
      <c r="H572" t="e">
        <f t="shared" si="42"/>
        <v>#REF!</v>
      </c>
      <c r="I572" s="141" t="e">
        <f t="shared" si="43"/>
        <v>#REF!</v>
      </c>
      <c r="J572" t="e">
        <f t="shared" si="44"/>
        <v>#REF!</v>
      </c>
      <c r="K572" s="141" t="e">
        <f t="shared" si="45"/>
        <v>#REF!</v>
      </c>
    </row>
    <row r="573" spans="1:11" hidden="1" x14ac:dyDescent="0.25">
      <c r="A573" t="e">
        <f>#REF!</f>
        <v>#REF!</v>
      </c>
      <c r="B573" t="e">
        <f>#REF!</f>
        <v>#REF!</v>
      </c>
      <c r="C573" t="e">
        <f>#REF!</f>
        <v>#REF!</v>
      </c>
      <c r="D573" t="e">
        <f>#REF!</f>
        <v>#REF!</v>
      </c>
      <c r="E573" t="e">
        <f>#REF!</f>
        <v>#REF!</v>
      </c>
      <c r="G573" t="e">
        <f t="shared" si="41"/>
        <v>#REF!</v>
      </c>
      <c r="H573" t="e">
        <f t="shared" si="42"/>
        <v>#REF!</v>
      </c>
      <c r="I573" s="141" t="e">
        <f t="shared" si="43"/>
        <v>#REF!</v>
      </c>
      <c r="J573" t="e">
        <f t="shared" si="44"/>
        <v>#REF!</v>
      </c>
      <c r="K573" s="141" t="e">
        <f t="shared" si="45"/>
        <v>#REF!</v>
      </c>
    </row>
    <row r="574" spans="1:11" hidden="1" x14ac:dyDescent="0.25">
      <c r="A574" t="e">
        <f>#REF!</f>
        <v>#REF!</v>
      </c>
      <c r="B574" t="e">
        <f>#REF!</f>
        <v>#REF!</v>
      </c>
      <c r="C574" t="e">
        <f>#REF!</f>
        <v>#REF!</v>
      </c>
      <c r="D574" t="e">
        <f>#REF!</f>
        <v>#REF!</v>
      </c>
      <c r="E574" t="e">
        <f>#REF!</f>
        <v>#REF!</v>
      </c>
      <c r="G574" t="e">
        <f t="shared" si="41"/>
        <v>#REF!</v>
      </c>
      <c r="H574" t="e">
        <f t="shared" si="42"/>
        <v>#REF!</v>
      </c>
      <c r="I574" s="141" t="e">
        <f t="shared" si="43"/>
        <v>#REF!</v>
      </c>
      <c r="J574" t="e">
        <f t="shared" si="44"/>
        <v>#REF!</v>
      </c>
      <c r="K574" s="141" t="e">
        <f t="shared" si="45"/>
        <v>#REF!</v>
      </c>
    </row>
    <row r="575" spans="1:11" hidden="1" x14ac:dyDescent="0.25">
      <c r="A575" t="e">
        <f>#REF!</f>
        <v>#REF!</v>
      </c>
      <c r="B575" t="e">
        <f>#REF!</f>
        <v>#REF!</v>
      </c>
      <c r="C575" t="e">
        <f>#REF!</f>
        <v>#REF!</v>
      </c>
      <c r="D575" t="e">
        <f>#REF!</f>
        <v>#REF!</v>
      </c>
      <c r="E575" t="e">
        <f>#REF!</f>
        <v>#REF!</v>
      </c>
      <c r="G575" t="e">
        <f t="shared" si="41"/>
        <v>#REF!</v>
      </c>
      <c r="H575" t="e">
        <f t="shared" si="42"/>
        <v>#REF!</v>
      </c>
      <c r="I575" s="141" t="e">
        <f t="shared" si="43"/>
        <v>#REF!</v>
      </c>
      <c r="J575" t="e">
        <f t="shared" si="44"/>
        <v>#REF!</v>
      </c>
      <c r="K575" s="141" t="e">
        <f t="shared" si="45"/>
        <v>#REF!</v>
      </c>
    </row>
    <row r="576" spans="1:11" hidden="1" x14ac:dyDescent="0.25">
      <c r="A576" t="e">
        <f>#REF!</f>
        <v>#REF!</v>
      </c>
      <c r="B576" t="e">
        <f>#REF!</f>
        <v>#REF!</v>
      </c>
      <c r="C576" t="e">
        <f>#REF!</f>
        <v>#REF!</v>
      </c>
      <c r="D576" t="e">
        <f>#REF!</f>
        <v>#REF!</v>
      </c>
      <c r="E576" t="e">
        <f>#REF!</f>
        <v>#REF!</v>
      </c>
      <c r="G576" t="e">
        <f t="shared" si="41"/>
        <v>#REF!</v>
      </c>
      <c r="H576" t="e">
        <f t="shared" si="42"/>
        <v>#REF!</v>
      </c>
      <c r="I576" s="141" t="e">
        <f t="shared" si="43"/>
        <v>#REF!</v>
      </c>
      <c r="J576" t="e">
        <f t="shared" si="44"/>
        <v>#REF!</v>
      </c>
      <c r="K576" s="141" t="e">
        <f t="shared" si="45"/>
        <v>#REF!</v>
      </c>
    </row>
    <row r="577" spans="1:11" hidden="1" x14ac:dyDescent="0.25">
      <c r="A577" t="e">
        <f>#REF!</f>
        <v>#REF!</v>
      </c>
      <c r="B577" t="e">
        <f>#REF!</f>
        <v>#REF!</v>
      </c>
      <c r="C577" t="e">
        <f>#REF!</f>
        <v>#REF!</v>
      </c>
      <c r="D577" t="e">
        <f>#REF!</f>
        <v>#REF!</v>
      </c>
      <c r="E577" t="e">
        <f>#REF!</f>
        <v>#REF!</v>
      </c>
      <c r="G577" t="e">
        <f t="shared" si="41"/>
        <v>#REF!</v>
      </c>
      <c r="H577" t="e">
        <f t="shared" si="42"/>
        <v>#REF!</v>
      </c>
      <c r="I577" s="141" t="e">
        <f t="shared" si="43"/>
        <v>#REF!</v>
      </c>
      <c r="J577" t="e">
        <f t="shared" si="44"/>
        <v>#REF!</v>
      </c>
      <c r="K577" s="141" t="e">
        <f t="shared" si="45"/>
        <v>#REF!</v>
      </c>
    </row>
    <row r="578" spans="1:11" hidden="1" x14ac:dyDescent="0.25">
      <c r="A578" t="e">
        <f>#REF!</f>
        <v>#REF!</v>
      </c>
      <c r="B578" t="e">
        <f>#REF!</f>
        <v>#REF!</v>
      </c>
      <c r="C578" t="e">
        <f>#REF!</f>
        <v>#REF!</v>
      </c>
      <c r="D578" t="e">
        <f>#REF!</f>
        <v>#REF!</v>
      </c>
      <c r="E578" t="e">
        <f>#REF!</f>
        <v>#REF!</v>
      </c>
      <c r="G578" t="e">
        <f t="shared" ref="G578:G641" si="46">A578</f>
        <v>#REF!</v>
      </c>
      <c r="H578" t="e">
        <f t="shared" ref="H578:H641" si="47">B578</f>
        <v>#REF!</v>
      </c>
      <c r="I578" s="141" t="e">
        <f t="shared" ref="I578:I641" si="48">C578</f>
        <v>#REF!</v>
      </c>
      <c r="J578" t="e">
        <f t="shared" ref="J578:J641" si="49">D578</f>
        <v>#REF!</v>
      </c>
      <c r="K578" s="141" t="e">
        <f t="shared" ref="K578:K641" si="50">E578</f>
        <v>#REF!</v>
      </c>
    </row>
    <row r="579" spans="1:11" hidden="1" x14ac:dyDescent="0.25">
      <c r="A579" t="e">
        <f>#REF!</f>
        <v>#REF!</v>
      </c>
      <c r="B579" t="e">
        <f>#REF!</f>
        <v>#REF!</v>
      </c>
      <c r="C579" t="e">
        <f>#REF!</f>
        <v>#REF!</v>
      </c>
      <c r="D579" t="e">
        <f>#REF!</f>
        <v>#REF!</v>
      </c>
      <c r="E579" t="e">
        <f>#REF!</f>
        <v>#REF!</v>
      </c>
      <c r="G579" t="e">
        <f t="shared" si="46"/>
        <v>#REF!</v>
      </c>
      <c r="H579" t="e">
        <f t="shared" si="47"/>
        <v>#REF!</v>
      </c>
      <c r="I579" s="141" t="e">
        <f t="shared" si="48"/>
        <v>#REF!</v>
      </c>
      <c r="J579" t="e">
        <f t="shared" si="49"/>
        <v>#REF!</v>
      </c>
      <c r="K579" s="141" t="e">
        <f t="shared" si="50"/>
        <v>#REF!</v>
      </c>
    </row>
    <row r="580" spans="1:11" hidden="1" x14ac:dyDescent="0.25">
      <c r="A580" t="e">
        <f>#REF!</f>
        <v>#REF!</v>
      </c>
      <c r="B580" t="e">
        <f>#REF!</f>
        <v>#REF!</v>
      </c>
      <c r="C580" t="e">
        <f>#REF!</f>
        <v>#REF!</v>
      </c>
      <c r="D580" t="e">
        <f>#REF!</f>
        <v>#REF!</v>
      </c>
      <c r="E580" t="e">
        <f>#REF!</f>
        <v>#REF!</v>
      </c>
      <c r="G580" t="e">
        <f t="shared" si="46"/>
        <v>#REF!</v>
      </c>
      <c r="H580" t="e">
        <f t="shared" si="47"/>
        <v>#REF!</v>
      </c>
      <c r="I580" s="141" t="e">
        <f t="shared" si="48"/>
        <v>#REF!</v>
      </c>
      <c r="J580" t="e">
        <f t="shared" si="49"/>
        <v>#REF!</v>
      </c>
      <c r="K580" s="141" t="e">
        <f t="shared" si="50"/>
        <v>#REF!</v>
      </c>
    </row>
    <row r="581" spans="1:11" hidden="1" x14ac:dyDescent="0.25">
      <c r="A581" t="e">
        <f>#REF!</f>
        <v>#REF!</v>
      </c>
      <c r="B581" t="e">
        <f>#REF!</f>
        <v>#REF!</v>
      </c>
      <c r="C581" t="e">
        <f>#REF!</f>
        <v>#REF!</v>
      </c>
      <c r="D581" t="e">
        <f>#REF!</f>
        <v>#REF!</v>
      </c>
      <c r="E581" t="e">
        <f>#REF!</f>
        <v>#REF!</v>
      </c>
      <c r="G581" t="e">
        <f t="shared" si="46"/>
        <v>#REF!</v>
      </c>
      <c r="H581" t="e">
        <f t="shared" si="47"/>
        <v>#REF!</v>
      </c>
      <c r="I581" s="141" t="e">
        <f t="shared" si="48"/>
        <v>#REF!</v>
      </c>
      <c r="J581" t="e">
        <f t="shared" si="49"/>
        <v>#REF!</v>
      </c>
      <c r="K581" s="141" t="e">
        <f t="shared" si="50"/>
        <v>#REF!</v>
      </c>
    </row>
    <row r="582" spans="1:11" hidden="1" x14ac:dyDescent="0.25">
      <c r="A582" t="e">
        <f>#REF!</f>
        <v>#REF!</v>
      </c>
      <c r="B582" t="e">
        <f>#REF!</f>
        <v>#REF!</v>
      </c>
      <c r="C582" t="e">
        <f>#REF!</f>
        <v>#REF!</v>
      </c>
      <c r="D582" t="e">
        <f>#REF!</f>
        <v>#REF!</v>
      </c>
      <c r="E582" t="e">
        <f>#REF!</f>
        <v>#REF!</v>
      </c>
      <c r="G582" t="e">
        <f t="shared" si="46"/>
        <v>#REF!</v>
      </c>
      <c r="H582" t="e">
        <f t="shared" si="47"/>
        <v>#REF!</v>
      </c>
      <c r="I582" s="141" t="e">
        <f t="shared" si="48"/>
        <v>#REF!</v>
      </c>
      <c r="J582" t="e">
        <f t="shared" si="49"/>
        <v>#REF!</v>
      </c>
      <c r="K582" s="141" t="e">
        <f t="shared" si="50"/>
        <v>#REF!</v>
      </c>
    </row>
    <row r="583" spans="1:11" hidden="1" x14ac:dyDescent="0.25">
      <c r="A583" t="e">
        <f>#REF!</f>
        <v>#REF!</v>
      </c>
      <c r="B583" t="e">
        <f>#REF!</f>
        <v>#REF!</v>
      </c>
      <c r="C583" t="e">
        <f>#REF!</f>
        <v>#REF!</v>
      </c>
      <c r="D583" t="e">
        <f>#REF!</f>
        <v>#REF!</v>
      </c>
      <c r="E583" t="e">
        <f>#REF!</f>
        <v>#REF!</v>
      </c>
      <c r="G583" t="e">
        <f t="shared" si="46"/>
        <v>#REF!</v>
      </c>
      <c r="H583" t="e">
        <f t="shared" si="47"/>
        <v>#REF!</v>
      </c>
      <c r="I583" s="141" t="e">
        <f t="shared" si="48"/>
        <v>#REF!</v>
      </c>
      <c r="J583" t="e">
        <f t="shared" si="49"/>
        <v>#REF!</v>
      </c>
      <c r="K583" s="141" t="e">
        <f t="shared" si="50"/>
        <v>#REF!</v>
      </c>
    </row>
    <row r="584" spans="1:11" hidden="1" x14ac:dyDescent="0.25">
      <c r="A584" t="e">
        <f>#REF!</f>
        <v>#REF!</v>
      </c>
      <c r="B584" t="e">
        <f>#REF!</f>
        <v>#REF!</v>
      </c>
      <c r="C584" t="e">
        <f>#REF!</f>
        <v>#REF!</v>
      </c>
      <c r="D584" t="e">
        <f>#REF!</f>
        <v>#REF!</v>
      </c>
      <c r="E584" t="e">
        <f>#REF!</f>
        <v>#REF!</v>
      </c>
      <c r="G584" t="e">
        <f t="shared" si="46"/>
        <v>#REF!</v>
      </c>
      <c r="H584" t="e">
        <f t="shared" si="47"/>
        <v>#REF!</v>
      </c>
      <c r="I584" s="141" t="e">
        <f t="shared" si="48"/>
        <v>#REF!</v>
      </c>
      <c r="J584" t="e">
        <f t="shared" si="49"/>
        <v>#REF!</v>
      </c>
      <c r="K584" s="141" t="e">
        <f t="shared" si="50"/>
        <v>#REF!</v>
      </c>
    </row>
    <row r="585" spans="1:11" hidden="1" x14ac:dyDescent="0.25">
      <c r="A585" t="e">
        <f>#REF!</f>
        <v>#REF!</v>
      </c>
      <c r="B585" t="e">
        <f>#REF!</f>
        <v>#REF!</v>
      </c>
      <c r="C585" t="e">
        <f>#REF!</f>
        <v>#REF!</v>
      </c>
      <c r="D585" t="e">
        <f>#REF!</f>
        <v>#REF!</v>
      </c>
      <c r="E585" t="e">
        <f>#REF!</f>
        <v>#REF!</v>
      </c>
      <c r="G585" t="e">
        <f t="shared" si="46"/>
        <v>#REF!</v>
      </c>
      <c r="H585" t="e">
        <f t="shared" si="47"/>
        <v>#REF!</v>
      </c>
      <c r="I585" s="141" t="e">
        <f t="shared" si="48"/>
        <v>#REF!</v>
      </c>
      <c r="J585" t="e">
        <f t="shared" si="49"/>
        <v>#REF!</v>
      </c>
      <c r="K585" s="141" t="e">
        <f t="shared" si="50"/>
        <v>#REF!</v>
      </c>
    </row>
    <row r="586" spans="1:11" hidden="1" x14ac:dyDescent="0.25">
      <c r="A586" t="e">
        <f>#REF!</f>
        <v>#REF!</v>
      </c>
      <c r="B586" t="e">
        <f>#REF!</f>
        <v>#REF!</v>
      </c>
      <c r="C586" t="e">
        <f>#REF!</f>
        <v>#REF!</v>
      </c>
      <c r="D586" t="e">
        <f>#REF!</f>
        <v>#REF!</v>
      </c>
      <c r="E586" t="e">
        <f>#REF!</f>
        <v>#REF!</v>
      </c>
      <c r="G586" t="e">
        <f t="shared" si="46"/>
        <v>#REF!</v>
      </c>
      <c r="H586" t="e">
        <f t="shared" si="47"/>
        <v>#REF!</v>
      </c>
      <c r="I586" s="141" t="e">
        <f t="shared" si="48"/>
        <v>#REF!</v>
      </c>
      <c r="J586" t="e">
        <f t="shared" si="49"/>
        <v>#REF!</v>
      </c>
      <c r="K586" s="141" t="e">
        <f t="shared" si="50"/>
        <v>#REF!</v>
      </c>
    </row>
    <row r="587" spans="1:11" hidden="1" x14ac:dyDescent="0.25">
      <c r="A587" t="e">
        <f>#REF!</f>
        <v>#REF!</v>
      </c>
      <c r="B587" t="e">
        <f>#REF!</f>
        <v>#REF!</v>
      </c>
      <c r="C587" t="e">
        <f>#REF!</f>
        <v>#REF!</v>
      </c>
      <c r="D587" t="e">
        <f>#REF!</f>
        <v>#REF!</v>
      </c>
      <c r="E587" t="e">
        <f>#REF!</f>
        <v>#REF!</v>
      </c>
      <c r="G587" t="e">
        <f t="shared" si="46"/>
        <v>#REF!</v>
      </c>
      <c r="H587" t="e">
        <f t="shared" si="47"/>
        <v>#REF!</v>
      </c>
      <c r="I587" s="141" t="e">
        <f t="shared" si="48"/>
        <v>#REF!</v>
      </c>
      <c r="J587" t="e">
        <f t="shared" si="49"/>
        <v>#REF!</v>
      </c>
      <c r="K587" s="141" t="e">
        <f t="shared" si="50"/>
        <v>#REF!</v>
      </c>
    </row>
    <row r="588" spans="1:11" hidden="1" x14ac:dyDescent="0.25">
      <c r="A588" t="e">
        <f>#REF!</f>
        <v>#REF!</v>
      </c>
      <c r="B588" t="e">
        <f>#REF!</f>
        <v>#REF!</v>
      </c>
      <c r="C588" t="e">
        <f>#REF!</f>
        <v>#REF!</v>
      </c>
      <c r="D588" t="e">
        <f>#REF!</f>
        <v>#REF!</v>
      </c>
      <c r="E588" t="e">
        <f>#REF!</f>
        <v>#REF!</v>
      </c>
      <c r="G588" t="e">
        <f t="shared" si="46"/>
        <v>#REF!</v>
      </c>
      <c r="H588" t="e">
        <f t="shared" si="47"/>
        <v>#REF!</v>
      </c>
      <c r="I588" s="141" t="e">
        <f t="shared" si="48"/>
        <v>#REF!</v>
      </c>
      <c r="J588" t="e">
        <f t="shared" si="49"/>
        <v>#REF!</v>
      </c>
      <c r="K588" s="141" t="e">
        <f t="shared" si="50"/>
        <v>#REF!</v>
      </c>
    </row>
    <row r="589" spans="1:11" hidden="1" x14ac:dyDescent="0.25">
      <c r="A589" t="e">
        <f>#REF!</f>
        <v>#REF!</v>
      </c>
      <c r="B589" t="e">
        <f>#REF!</f>
        <v>#REF!</v>
      </c>
      <c r="C589" t="e">
        <f>#REF!</f>
        <v>#REF!</v>
      </c>
      <c r="D589" t="e">
        <f>#REF!</f>
        <v>#REF!</v>
      </c>
      <c r="E589" t="e">
        <f>#REF!</f>
        <v>#REF!</v>
      </c>
      <c r="G589" t="e">
        <f t="shared" si="46"/>
        <v>#REF!</v>
      </c>
      <c r="H589" t="e">
        <f t="shared" si="47"/>
        <v>#REF!</v>
      </c>
      <c r="I589" s="141" t="e">
        <f t="shared" si="48"/>
        <v>#REF!</v>
      </c>
      <c r="J589" t="e">
        <f t="shared" si="49"/>
        <v>#REF!</v>
      </c>
      <c r="K589" s="141" t="e">
        <f t="shared" si="50"/>
        <v>#REF!</v>
      </c>
    </row>
    <row r="590" spans="1:11" hidden="1" x14ac:dyDescent="0.25">
      <c r="A590" t="e">
        <f>#REF!</f>
        <v>#REF!</v>
      </c>
      <c r="B590" t="e">
        <f>#REF!</f>
        <v>#REF!</v>
      </c>
      <c r="C590" t="e">
        <f>#REF!</f>
        <v>#REF!</v>
      </c>
      <c r="D590" t="e">
        <f>#REF!</f>
        <v>#REF!</v>
      </c>
      <c r="E590" t="e">
        <f>#REF!</f>
        <v>#REF!</v>
      </c>
      <c r="G590" t="e">
        <f t="shared" si="46"/>
        <v>#REF!</v>
      </c>
      <c r="H590" t="e">
        <f t="shared" si="47"/>
        <v>#REF!</v>
      </c>
      <c r="I590" s="141" t="e">
        <f t="shared" si="48"/>
        <v>#REF!</v>
      </c>
      <c r="J590" t="e">
        <f t="shared" si="49"/>
        <v>#REF!</v>
      </c>
      <c r="K590" s="141" t="e">
        <f t="shared" si="50"/>
        <v>#REF!</v>
      </c>
    </row>
    <row r="591" spans="1:11" hidden="1" x14ac:dyDescent="0.25">
      <c r="A591" t="e">
        <f>#REF!</f>
        <v>#REF!</v>
      </c>
      <c r="B591" t="e">
        <f>#REF!</f>
        <v>#REF!</v>
      </c>
      <c r="C591" t="e">
        <f>#REF!</f>
        <v>#REF!</v>
      </c>
      <c r="D591" t="e">
        <f>#REF!</f>
        <v>#REF!</v>
      </c>
      <c r="E591" t="e">
        <f>#REF!</f>
        <v>#REF!</v>
      </c>
      <c r="G591" t="e">
        <f t="shared" si="46"/>
        <v>#REF!</v>
      </c>
      <c r="H591" t="e">
        <f t="shared" si="47"/>
        <v>#REF!</v>
      </c>
      <c r="I591" s="141" t="e">
        <f t="shared" si="48"/>
        <v>#REF!</v>
      </c>
      <c r="J591" t="e">
        <f t="shared" si="49"/>
        <v>#REF!</v>
      </c>
      <c r="K591" s="141" t="e">
        <f t="shared" si="50"/>
        <v>#REF!</v>
      </c>
    </row>
    <row r="592" spans="1:11" hidden="1" x14ac:dyDescent="0.25">
      <c r="A592" t="e">
        <f>#REF!</f>
        <v>#REF!</v>
      </c>
      <c r="B592" t="e">
        <f>#REF!</f>
        <v>#REF!</v>
      </c>
      <c r="C592" t="e">
        <f>#REF!</f>
        <v>#REF!</v>
      </c>
      <c r="D592" t="e">
        <f>#REF!</f>
        <v>#REF!</v>
      </c>
      <c r="E592" t="e">
        <f>#REF!</f>
        <v>#REF!</v>
      </c>
      <c r="G592" t="e">
        <f t="shared" si="46"/>
        <v>#REF!</v>
      </c>
      <c r="H592" t="e">
        <f t="shared" si="47"/>
        <v>#REF!</v>
      </c>
      <c r="I592" s="141" t="e">
        <f t="shared" si="48"/>
        <v>#REF!</v>
      </c>
      <c r="J592" t="e">
        <f t="shared" si="49"/>
        <v>#REF!</v>
      </c>
      <c r="K592" s="141" t="e">
        <f t="shared" si="50"/>
        <v>#REF!</v>
      </c>
    </row>
    <row r="593" spans="1:11" hidden="1" x14ac:dyDescent="0.25">
      <c r="A593" t="e">
        <f>#REF!</f>
        <v>#REF!</v>
      </c>
      <c r="B593" t="e">
        <f>#REF!</f>
        <v>#REF!</v>
      </c>
      <c r="C593" t="e">
        <f>#REF!</f>
        <v>#REF!</v>
      </c>
      <c r="D593" t="e">
        <f>#REF!</f>
        <v>#REF!</v>
      </c>
      <c r="E593" t="e">
        <f>#REF!</f>
        <v>#REF!</v>
      </c>
      <c r="G593" t="e">
        <f t="shared" si="46"/>
        <v>#REF!</v>
      </c>
      <c r="H593" t="e">
        <f t="shared" si="47"/>
        <v>#REF!</v>
      </c>
      <c r="I593" s="141" t="e">
        <f t="shared" si="48"/>
        <v>#REF!</v>
      </c>
      <c r="J593" t="e">
        <f t="shared" si="49"/>
        <v>#REF!</v>
      </c>
      <c r="K593" s="141" t="e">
        <f t="shared" si="50"/>
        <v>#REF!</v>
      </c>
    </row>
    <row r="594" spans="1:11" hidden="1" x14ac:dyDescent="0.25">
      <c r="A594" t="e">
        <f>#REF!</f>
        <v>#REF!</v>
      </c>
      <c r="B594" t="e">
        <f>#REF!</f>
        <v>#REF!</v>
      </c>
      <c r="C594" t="e">
        <f>#REF!</f>
        <v>#REF!</v>
      </c>
      <c r="D594" t="e">
        <f>#REF!</f>
        <v>#REF!</v>
      </c>
      <c r="E594" t="e">
        <f>#REF!</f>
        <v>#REF!</v>
      </c>
      <c r="G594" t="e">
        <f t="shared" si="46"/>
        <v>#REF!</v>
      </c>
      <c r="H594" t="e">
        <f t="shared" si="47"/>
        <v>#REF!</v>
      </c>
      <c r="I594" s="141" t="e">
        <f t="shared" si="48"/>
        <v>#REF!</v>
      </c>
      <c r="J594" t="e">
        <f t="shared" si="49"/>
        <v>#REF!</v>
      </c>
      <c r="K594" s="141" t="e">
        <f t="shared" si="50"/>
        <v>#REF!</v>
      </c>
    </row>
    <row r="595" spans="1:11" hidden="1" x14ac:dyDescent="0.25">
      <c r="A595" t="e">
        <f>#REF!</f>
        <v>#REF!</v>
      </c>
      <c r="B595" t="e">
        <f>#REF!</f>
        <v>#REF!</v>
      </c>
      <c r="C595" t="e">
        <f>#REF!</f>
        <v>#REF!</v>
      </c>
      <c r="D595" t="e">
        <f>#REF!</f>
        <v>#REF!</v>
      </c>
      <c r="E595" t="e">
        <f>#REF!</f>
        <v>#REF!</v>
      </c>
      <c r="G595" t="e">
        <f t="shared" si="46"/>
        <v>#REF!</v>
      </c>
      <c r="H595" t="e">
        <f t="shared" si="47"/>
        <v>#REF!</v>
      </c>
      <c r="I595" s="141" t="e">
        <f t="shared" si="48"/>
        <v>#REF!</v>
      </c>
      <c r="J595" t="e">
        <f t="shared" si="49"/>
        <v>#REF!</v>
      </c>
      <c r="K595" s="141" t="e">
        <f t="shared" si="50"/>
        <v>#REF!</v>
      </c>
    </row>
    <row r="596" spans="1:11" hidden="1" x14ac:dyDescent="0.25">
      <c r="A596" t="e">
        <f>#REF!</f>
        <v>#REF!</v>
      </c>
      <c r="B596" t="e">
        <f>#REF!</f>
        <v>#REF!</v>
      </c>
      <c r="C596" t="e">
        <f>#REF!</f>
        <v>#REF!</v>
      </c>
      <c r="D596" t="e">
        <f>#REF!</f>
        <v>#REF!</v>
      </c>
      <c r="E596" t="e">
        <f>#REF!</f>
        <v>#REF!</v>
      </c>
      <c r="G596" t="e">
        <f t="shared" si="46"/>
        <v>#REF!</v>
      </c>
      <c r="H596" t="e">
        <f t="shared" si="47"/>
        <v>#REF!</v>
      </c>
      <c r="I596" s="141" t="e">
        <f t="shared" si="48"/>
        <v>#REF!</v>
      </c>
      <c r="J596" t="e">
        <f t="shared" si="49"/>
        <v>#REF!</v>
      </c>
      <c r="K596" s="141" t="e">
        <f t="shared" si="50"/>
        <v>#REF!</v>
      </c>
    </row>
    <row r="597" spans="1:11" hidden="1" x14ac:dyDescent="0.25">
      <c r="A597" t="e">
        <f>#REF!</f>
        <v>#REF!</v>
      </c>
      <c r="B597" t="e">
        <f>#REF!</f>
        <v>#REF!</v>
      </c>
      <c r="C597" t="e">
        <f>#REF!</f>
        <v>#REF!</v>
      </c>
      <c r="D597" t="e">
        <f>#REF!</f>
        <v>#REF!</v>
      </c>
      <c r="E597" t="e">
        <f>#REF!</f>
        <v>#REF!</v>
      </c>
      <c r="G597" t="e">
        <f t="shared" si="46"/>
        <v>#REF!</v>
      </c>
      <c r="H597" t="e">
        <f t="shared" si="47"/>
        <v>#REF!</v>
      </c>
      <c r="I597" s="141" t="e">
        <f t="shared" si="48"/>
        <v>#REF!</v>
      </c>
      <c r="J597" t="e">
        <f t="shared" si="49"/>
        <v>#REF!</v>
      </c>
      <c r="K597" s="141" t="e">
        <f t="shared" si="50"/>
        <v>#REF!</v>
      </c>
    </row>
    <row r="598" spans="1:11" hidden="1" x14ac:dyDescent="0.25">
      <c r="A598" t="e">
        <f>#REF!</f>
        <v>#REF!</v>
      </c>
      <c r="B598" t="e">
        <f>#REF!</f>
        <v>#REF!</v>
      </c>
      <c r="C598" t="e">
        <f>#REF!</f>
        <v>#REF!</v>
      </c>
      <c r="D598" t="e">
        <f>#REF!</f>
        <v>#REF!</v>
      </c>
      <c r="E598" t="e">
        <f>#REF!</f>
        <v>#REF!</v>
      </c>
      <c r="G598" t="e">
        <f t="shared" si="46"/>
        <v>#REF!</v>
      </c>
      <c r="H598" t="e">
        <f t="shared" si="47"/>
        <v>#REF!</v>
      </c>
      <c r="I598" s="141" t="e">
        <f t="shared" si="48"/>
        <v>#REF!</v>
      </c>
      <c r="J598" t="e">
        <f t="shared" si="49"/>
        <v>#REF!</v>
      </c>
      <c r="K598" s="141" t="e">
        <f t="shared" si="50"/>
        <v>#REF!</v>
      </c>
    </row>
    <row r="599" spans="1:11" hidden="1" x14ac:dyDescent="0.25">
      <c r="A599" t="e">
        <f>#REF!</f>
        <v>#REF!</v>
      </c>
      <c r="B599" t="e">
        <f>#REF!</f>
        <v>#REF!</v>
      </c>
      <c r="C599" t="e">
        <f>#REF!</f>
        <v>#REF!</v>
      </c>
      <c r="D599" t="e">
        <f>#REF!</f>
        <v>#REF!</v>
      </c>
      <c r="E599" t="e">
        <f>#REF!</f>
        <v>#REF!</v>
      </c>
      <c r="G599" t="e">
        <f t="shared" si="46"/>
        <v>#REF!</v>
      </c>
      <c r="H599" t="e">
        <f t="shared" si="47"/>
        <v>#REF!</v>
      </c>
      <c r="I599" s="141" t="e">
        <f t="shared" si="48"/>
        <v>#REF!</v>
      </c>
      <c r="J599" t="e">
        <f t="shared" si="49"/>
        <v>#REF!</v>
      </c>
      <c r="K599" s="141" t="e">
        <f t="shared" si="50"/>
        <v>#REF!</v>
      </c>
    </row>
    <row r="600" spans="1:11" hidden="1" x14ac:dyDescent="0.25">
      <c r="A600" t="e">
        <f>#REF!</f>
        <v>#REF!</v>
      </c>
      <c r="B600" t="e">
        <f>#REF!</f>
        <v>#REF!</v>
      </c>
      <c r="C600" t="e">
        <f>#REF!</f>
        <v>#REF!</v>
      </c>
      <c r="D600" t="e">
        <f>#REF!</f>
        <v>#REF!</v>
      </c>
      <c r="E600" t="e">
        <f>#REF!</f>
        <v>#REF!</v>
      </c>
      <c r="G600" t="e">
        <f t="shared" si="46"/>
        <v>#REF!</v>
      </c>
      <c r="H600" t="e">
        <f t="shared" si="47"/>
        <v>#REF!</v>
      </c>
      <c r="I600" s="141" t="e">
        <f t="shared" si="48"/>
        <v>#REF!</v>
      </c>
      <c r="J600" t="e">
        <f t="shared" si="49"/>
        <v>#REF!</v>
      </c>
      <c r="K600" s="141" t="e">
        <f t="shared" si="50"/>
        <v>#REF!</v>
      </c>
    </row>
    <row r="601" spans="1:11" hidden="1" x14ac:dyDescent="0.25">
      <c r="A601" t="e">
        <f>#REF!</f>
        <v>#REF!</v>
      </c>
      <c r="B601" t="e">
        <f>#REF!</f>
        <v>#REF!</v>
      </c>
      <c r="C601" t="e">
        <f>#REF!</f>
        <v>#REF!</v>
      </c>
      <c r="D601" t="e">
        <f>#REF!</f>
        <v>#REF!</v>
      </c>
      <c r="E601" t="e">
        <f>#REF!</f>
        <v>#REF!</v>
      </c>
      <c r="G601" t="e">
        <f t="shared" si="46"/>
        <v>#REF!</v>
      </c>
      <c r="H601" t="e">
        <f t="shared" si="47"/>
        <v>#REF!</v>
      </c>
      <c r="I601" s="141" t="e">
        <f t="shared" si="48"/>
        <v>#REF!</v>
      </c>
      <c r="J601" t="e">
        <f t="shared" si="49"/>
        <v>#REF!</v>
      </c>
      <c r="K601" s="141" t="e">
        <f t="shared" si="50"/>
        <v>#REF!</v>
      </c>
    </row>
    <row r="602" spans="1:11" hidden="1" x14ac:dyDescent="0.25">
      <c r="A602" t="e">
        <f>#REF!</f>
        <v>#REF!</v>
      </c>
      <c r="B602" t="e">
        <f>#REF!</f>
        <v>#REF!</v>
      </c>
      <c r="C602" t="e">
        <f>#REF!</f>
        <v>#REF!</v>
      </c>
      <c r="D602" t="e">
        <f>#REF!</f>
        <v>#REF!</v>
      </c>
      <c r="E602" t="e">
        <f>#REF!</f>
        <v>#REF!</v>
      </c>
      <c r="G602" t="e">
        <f t="shared" si="46"/>
        <v>#REF!</v>
      </c>
      <c r="H602" t="e">
        <f t="shared" si="47"/>
        <v>#REF!</v>
      </c>
      <c r="I602" s="141" t="e">
        <f t="shared" si="48"/>
        <v>#REF!</v>
      </c>
      <c r="J602" t="e">
        <f t="shared" si="49"/>
        <v>#REF!</v>
      </c>
      <c r="K602" s="141" t="e">
        <f t="shared" si="50"/>
        <v>#REF!</v>
      </c>
    </row>
    <row r="603" spans="1:11" hidden="1" x14ac:dyDescent="0.25">
      <c r="A603" t="e">
        <f>#REF!</f>
        <v>#REF!</v>
      </c>
      <c r="B603" t="e">
        <f>#REF!</f>
        <v>#REF!</v>
      </c>
      <c r="C603" t="e">
        <f>#REF!</f>
        <v>#REF!</v>
      </c>
      <c r="D603" t="e">
        <f>#REF!</f>
        <v>#REF!</v>
      </c>
      <c r="E603" t="e">
        <f>#REF!</f>
        <v>#REF!</v>
      </c>
      <c r="G603" t="e">
        <f t="shared" si="46"/>
        <v>#REF!</v>
      </c>
      <c r="H603" t="e">
        <f t="shared" si="47"/>
        <v>#REF!</v>
      </c>
      <c r="I603" s="141" t="e">
        <f t="shared" si="48"/>
        <v>#REF!</v>
      </c>
      <c r="J603" t="e">
        <f t="shared" si="49"/>
        <v>#REF!</v>
      </c>
      <c r="K603" s="141" t="e">
        <f t="shared" si="50"/>
        <v>#REF!</v>
      </c>
    </row>
    <row r="604" spans="1:11" hidden="1" x14ac:dyDescent="0.25">
      <c r="A604" t="e">
        <f>#REF!</f>
        <v>#REF!</v>
      </c>
      <c r="B604" t="e">
        <f>#REF!</f>
        <v>#REF!</v>
      </c>
      <c r="C604" t="e">
        <f>#REF!</f>
        <v>#REF!</v>
      </c>
      <c r="D604" t="e">
        <f>#REF!</f>
        <v>#REF!</v>
      </c>
      <c r="E604" t="e">
        <f>#REF!</f>
        <v>#REF!</v>
      </c>
      <c r="G604" t="e">
        <f t="shared" si="46"/>
        <v>#REF!</v>
      </c>
      <c r="H604" t="e">
        <f t="shared" si="47"/>
        <v>#REF!</v>
      </c>
      <c r="I604" s="141" t="e">
        <f t="shared" si="48"/>
        <v>#REF!</v>
      </c>
      <c r="J604" t="e">
        <f t="shared" si="49"/>
        <v>#REF!</v>
      </c>
      <c r="K604" s="141" t="e">
        <f t="shared" si="50"/>
        <v>#REF!</v>
      </c>
    </row>
    <row r="605" spans="1:11" hidden="1" x14ac:dyDescent="0.25">
      <c r="A605" t="e">
        <f>#REF!</f>
        <v>#REF!</v>
      </c>
      <c r="B605" t="e">
        <f>#REF!</f>
        <v>#REF!</v>
      </c>
      <c r="C605" t="e">
        <f>#REF!</f>
        <v>#REF!</v>
      </c>
      <c r="D605" t="e">
        <f>#REF!</f>
        <v>#REF!</v>
      </c>
      <c r="E605" t="e">
        <f>#REF!</f>
        <v>#REF!</v>
      </c>
      <c r="G605" t="e">
        <f t="shared" si="46"/>
        <v>#REF!</v>
      </c>
      <c r="H605" t="e">
        <f t="shared" si="47"/>
        <v>#REF!</v>
      </c>
      <c r="I605" s="141" t="e">
        <f t="shared" si="48"/>
        <v>#REF!</v>
      </c>
      <c r="J605" t="e">
        <f t="shared" si="49"/>
        <v>#REF!</v>
      </c>
      <c r="K605" s="141" t="e">
        <f t="shared" si="50"/>
        <v>#REF!</v>
      </c>
    </row>
    <row r="606" spans="1:11" hidden="1" x14ac:dyDescent="0.25">
      <c r="A606" t="e">
        <f>#REF!</f>
        <v>#REF!</v>
      </c>
      <c r="B606" t="e">
        <f>#REF!</f>
        <v>#REF!</v>
      </c>
      <c r="C606" t="e">
        <f>#REF!</f>
        <v>#REF!</v>
      </c>
      <c r="D606" t="e">
        <f>#REF!</f>
        <v>#REF!</v>
      </c>
      <c r="E606" t="e">
        <f>#REF!</f>
        <v>#REF!</v>
      </c>
      <c r="G606" t="e">
        <f t="shared" si="46"/>
        <v>#REF!</v>
      </c>
      <c r="H606" t="e">
        <f t="shared" si="47"/>
        <v>#REF!</v>
      </c>
      <c r="I606" s="141" t="e">
        <f t="shared" si="48"/>
        <v>#REF!</v>
      </c>
      <c r="J606" t="e">
        <f t="shared" si="49"/>
        <v>#REF!</v>
      </c>
      <c r="K606" s="141" t="e">
        <f t="shared" si="50"/>
        <v>#REF!</v>
      </c>
    </row>
    <row r="607" spans="1:11" hidden="1" x14ac:dyDescent="0.25">
      <c r="A607" t="e">
        <f>#REF!</f>
        <v>#REF!</v>
      </c>
      <c r="B607" t="e">
        <f>#REF!</f>
        <v>#REF!</v>
      </c>
      <c r="C607" t="e">
        <f>#REF!</f>
        <v>#REF!</v>
      </c>
      <c r="D607" t="e">
        <f>#REF!</f>
        <v>#REF!</v>
      </c>
      <c r="E607" t="e">
        <f>#REF!</f>
        <v>#REF!</v>
      </c>
      <c r="G607" t="e">
        <f t="shared" si="46"/>
        <v>#REF!</v>
      </c>
      <c r="H607" t="e">
        <f t="shared" si="47"/>
        <v>#REF!</v>
      </c>
      <c r="I607" s="141" t="e">
        <f t="shared" si="48"/>
        <v>#REF!</v>
      </c>
      <c r="J607" t="e">
        <f t="shared" si="49"/>
        <v>#REF!</v>
      </c>
      <c r="K607" s="141" t="e">
        <f t="shared" si="50"/>
        <v>#REF!</v>
      </c>
    </row>
    <row r="608" spans="1:11" hidden="1" x14ac:dyDescent="0.25">
      <c r="A608" t="e">
        <f>#REF!</f>
        <v>#REF!</v>
      </c>
      <c r="B608" t="e">
        <f>#REF!</f>
        <v>#REF!</v>
      </c>
      <c r="C608" t="e">
        <f>#REF!</f>
        <v>#REF!</v>
      </c>
      <c r="D608" t="e">
        <f>#REF!</f>
        <v>#REF!</v>
      </c>
      <c r="E608" t="e">
        <f>#REF!</f>
        <v>#REF!</v>
      </c>
      <c r="G608" t="e">
        <f t="shared" si="46"/>
        <v>#REF!</v>
      </c>
      <c r="H608" t="e">
        <f t="shared" si="47"/>
        <v>#REF!</v>
      </c>
      <c r="I608" s="141" t="e">
        <f t="shared" si="48"/>
        <v>#REF!</v>
      </c>
      <c r="J608" t="e">
        <f t="shared" si="49"/>
        <v>#REF!</v>
      </c>
      <c r="K608" s="141" t="e">
        <f t="shared" si="50"/>
        <v>#REF!</v>
      </c>
    </row>
    <row r="609" spans="1:11" hidden="1" x14ac:dyDescent="0.25">
      <c r="A609" t="e">
        <f>#REF!</f>
        <v>#REF!</v>
      </c>
      <c r="B609" t="e">
        <f>#REF!</f>
        <v>#REF!</v>
      </c>
      <c r="C609" t="e">
        <f>#REF!</f>
        <v>#REF!</v>
      </c>
      <c r="D609" t="e">
        <f>#REF!</f>
        <v>#REF!</v>
      </c>
      <c r="E609" t="e">
        <f>#REF!</f>
        <v>#REF!</v>
      </c>
      <c r="G609" t="e">
        <f t="shared" si="46"/>
        <v>#REF!</v>
      </c>
      <c r="H609" t="e">
        <f t="shared" si="47"/>
        <v>#REF!</v>
      </c>
      <c r="I609" s="141" t="e">
        <f t="shared" si="48"/>
        <v>#REF!</v>
      </c>
      <c r="J609" t="e">
        <f t="shared" si="49"/>
        <v>#REF!</v>
      </c>
      <c r="K609" s="141" t="e">
        <f t="shared" si="50"/>
        <v>#REF!</v>
      </c>
    </row>
    <row r="610" spans="1:11" hidden="1" x14ac:dyDescent="0.25">
      <c r="A610" t="e">
        <f>#REF!</f>
        <v>#REF!</v>
      </c>
      <c r="B610" t="e">
        <f>#REF!</f>
        <v>#REF!</v>
      </c>
      <c r="C610" t="e">
        <f>#REF!</f>
        <v>#REF!</v>
      </c>
      <c r="D610" t="e">
        <f>#REF!</f>
        <v>#REF!</v>
      </c>
      <c r="E610" t="e">
        <f>#REF!</f>
        <v>#REF!</v>
      </c>
      <c r="G610" t="e">
        <f t="shared" si="46"/>
        <v>#REF!</v>
      </c>
      <c r="H610" t="e">
        <f t="shared" si="47"/>
        <v>#REF!</v>
      </c>
      <c r="I610" s="141" t="e">
        <f t="shared" si="48"/>
        <v>#REF!</v>
      </c>
      <c r="J610" t="e">
        <f t="shared" si="49"/>
        <v>#REF!</v>
      </c>
      <c r="K610" s="141" t="e">
        <f t="shared" si="50"/>
        <v>#REF!</v>
      </c>
    </row>
    <row r="611" spans="1:11" hidden="1" x14ac:dyDescent="0.25">
      <c r="A611" t="e">
        <f>#REF!</f>
        <v>#REF!</v>
      </c>
      <c r="B611" t="e">
        <f>#REF!</f>
        <v>#REF!</v>
      </c>
      <c r="C611" t="e">
        <f>#REF!</f>
        <v>#REF!</v>
      </c>
      <c r="D611" t="e">
        <f>#REF!</f>
        <v>#REF!</v>
      </c>
      <c r="E611" t="e">
        <f>#REF!</f>
        <v>#REF!</v>
      </c>
      <c r="G611" t="e">
        <f t="shared" si="46"/>
        <v>#REF!</v>
      </c>
      <c r="H611" t="e">
        <f t="shared" si="47"/>
        <v>#REF!</v>
      </c>
      <c r="I611" s="141" t="e">
        <f t="shared" si="48"/>
        <v>#REF!</v>
      </c>
      <c r="J611" t="e">
        <f t="shared" si="49"/>
        <v>#REF!</v>
      </c>
      <c r="K611" s="141" t="e">
        <f t="shared" si="50"/>
        <v>#REF!</v>
      </c>
    </row>
    <row r="612" spans="1:11" hidden="1" x14ac:dyDescent="0.25">
      <c r="A612" t="e">
        <f>#REF!</f>
        <v>#REF!</v>
      </c>
      <c r="B612" t="e">
        <f>#REF!</f>
        <v>#REF!</v>
      </c>
      <c r="C612" t="e">
        <f>#REF!</f>
        <v>#REF!</v>
      </c>
      <c r="D612" t="e">
        <f>#REF!</f>
        <v>#REF!</v>
      </c>
      <c r="E612" t="e">
        <f>#REF!</f>
        <v>#REF!</v>
      </c>
      <c r="G612" t="e">
        <f t="shared" si="46"/>
        <v>#REF!</v>
      </c>
      <c r="H612" t="e">
        <f t="shared" si="47"/>
        <v>#REF!</v>
      </c>
      <c r="I612" s="141" t="e">
        <f t="shared" si="48"/>
        <v>#REF!</v>
      </c>
      <c r="J612" t="e">
        <f t="shared" si="49"/>
        <v>#REF!</v>
      </c>
      <c r="K612" s="141" t="e">
        <f t="shared" si="50"/>
        <v>#REF!</v>
      </c>
    </row>
    <row r="613" spans="1:11" hidden="1" x14ac:dyDescent="0.25">
      <c r="A613" t="e">
        <f>#REF!</f>
        <v>#REF!</v>
      </c>
      <c r="B613" t="e">
        <f>#REF!</f>
        <v>#REF!</v>
      </c>
      <c r="C613" t="e">
        <f>#REF!</f>
        <v>#REF!</v>
      </c>
      <c r="D613" t="e">
        <f>#REF!</f>
        <v>#REF!</v>
      </c>
      <c r="E613" t="e">
        <f>#REF!</f>
        <v>#REF!</v>
      </c>
      <c r="G613" t="e">
        <f t="shared" si="46"/>
        <v>#REF!</v>
      </c>
      <c r="H613" t="e">
        <f t="shared" si="47"/>
        <v>#REF!</v>
      </c>
      <c r="I613" s="141" t="e">
        <f t="shared" si="48"/>
        <v>#REF!</v>
      </c>
      <c r="J613" t="e">
        <f t="shared" si="49"/>
        <v>#REF!</v>
      </c>
      <c r="K613" s="141" t="e">
        <f t="shared" si="50"/>
        <v>#REF!</v>
      </c>
    </row>
    <row r="614" spans="1:11" hidden="1" x14ac:dyDescent="0.25">
      <c r="A614" t="e">
        <f>#REF!</f>
        <v>#REF!</v>
      </c>
      <c r="B614" t="e">
        <f>#REF!</f>
        <v>#REF!</v>
      </c>
      <c r="C614" t="e">
        <f>#REF!</f>
        <v>#REF!</v>
      </c>
      <c r="D614" t="e">
        <f>#REF!</f>
        <v>#REF!</v>
      </c>
      <c r="E614" t="e">
        <f>#REF!</f>
        <v>#REF!</v>
      </c>
      <c r="G614" t="e">
        <f t="shared" si="46"/>
        <v>#REF!</v>
      </c>
      <c r="H614" t="e">
        <f t="shared" si="47"/>
        <v>#REF!</v>
      </c>
      <c r="I614" s="141" t="e">
        <f t="shared" si="48"/>
        <v>#REF!</v>
      </c>
      <c r="J614" t="e">
        <f t="shared" si="49"/>
        <v>#REF!</v>
      </c>
      <c r="K614" s="141" t="e">
        <f t="shared" si="50"/>
        <v>#REF!</v>
      </c>
    </row>
    <row r="615" spans="1:11" hidden="1" x14ac:dyDescent="0.25">
      <c r="A615" t="e">
        <f>#REF!</f>
        <v>#REF!</v>
      </c>
      <c r="B615" t="e">
        <f>#REF!</f>
        <v>#REF!</v>
      </c>
      <c r="C615" t="e">
        <f>#REF!</f>
        <v>#REF!</v>
      </c>
      <c r="D615" t="e">
        <f>#REF!</f>
        <v>#REF!</v>
      </c>
      <c r="E615" t="e">
        <f>#REF!</f>
        <v>#REF!</v>
      </c>
      <c r="G615" t="e">
        <f t="shared" si="46"/>
        <v>#REF!</v>
      </c>
      <c r="H615" t="e">
        <f t="shared" si="47"/>
        <v>#REF!</v>
      </c>
      <c r="I615" s="141" t="e">
        <f t="shared" si="48"/>
        <v>#REF!</v>
      </c>
      <c r="J615" t="e">
        <f t="shared" si="49"/>
        <v>#REF!</v>
      </c>
      <c r="K615" s="141" t="e">
        <f t="shared" si="50"/>
        <v>#REF!</v>
      </c>
    </row>
    <row r="616" spans="1:11" hidden="1" x14ac:dyDescent="0.25">
      <c r="A616" t="e">
        <f>#REF!</f>
        <v>#REF!</v>
      </c>
      <c r="B616" t="e">
        <f>#REF!</f>
        <v>#REF!</v>
      </c>
      <c r="C616" t="e">
        <f>#REF!</f>
        <v>#REF!</v>
      </c>
      <c r="D616" t="e">
        <f>#REF!</f>
        <v>#REF!</v>
      </c>
      <c r="E616" t="e">
        <f>#REF!</f>
        <v>#REF!</v>
      </c>
      <c r="G616" t="e">
        <f t="shared" si="46"/>
        <v>#REF!</v>
      </c>
      <c r="H616" t="e">
        <f t="shared" si="47"/>
        <v>#REF!</v>
      </c>
      <c r="I616" s="141" t="e">
        <f t="shared" si="48"/>
        <v>#REF!</v>
      </c>
      <c r="J616" t="e">
        <f t="shared" si="49"/>
        <v>#REF!</v>
      </c>
      <c r="K616" s="141" t="e">
        <f t="shared" si="50"/>
        <v>#REF!</v>
      </c>
    </row>
    <row r="617" spans="1:11" hidden="1" x14ac:dyDescent="0.25">
      <c r="A617" t="e">
        <f>#REF!</f>
        <v>#REF!</v>
      </c>
      <c r="B617" t="e">
        <f>#REF!</f>
        <v>#REF!</v>
      </c>
      <c r="C617" t="e">
        <f>#REF!</f>
        <v>#REF!</v>
      </c>
      <c r="D617" t="e">
        <f>#REF!</f>
        <v>#REF!</v>
      </c>
      <c r="E617" t="e">
        <f>#REF!</f>
        <v>#REF!</v>
      </c>
      <c r="G617" t="e">
        <f t="shared" si="46"/>
        <v>#REF!</v>
      </c>
      <c r="H617" t="e">
        <f t="shared" si="47"/>
        <v>#REF!</v>
      </c>
      <c r="I617" s="141" t="e">
        <f t="shared" si="48"/>
        <v>#REF!</v>
      </c>
      <c r="J617" t="e">
        <f t="shared" si="49"/>
        <v>#REF!</v>
      </c>
      <c r="K617" s="141" t="e">
        <f t="shared" si="50"/>
        <v>#REF!</v>
      </c>
    </row>
    <row r="618" spans="1:11" hidden="1" x14ac:dyDescent="0.25">
      <c r="A618" t="e">
        <f>#REF!</f>
        <v>#REF!</v>
      </c>
      <c r="B618" t="e">
        <f>#REF!</f>
        <v>#REF!</v>
      </c>
      <c r="C618" t="e">
        <f>#REF!</f>
        <v>#REF!</v>
      </c>
      <c r="D618" t="e">
        <f>#REF!</f>
        <v>#REF!</v>
      </c>
      <c r="E618" t="e">
        <f>#REF!</f>
        <v>#REF!</v>
      </c>
      <c r="G618" t="e">
        <f t="shared" si="46"/>
        <v>#REF!</v>
      </c>
      <c r="H618" t="e">
        <f t="shared" si="47"/>
        <v>#REF!</v>
      </c>
      <c r="I618" s="141" t="e">
        <f t="shared" si="48"/>
        <v>#REF!</v>
      </c>
      <c r="J618" t="e">
        <f t="shared" si="49"/>
        <v>#REF!</v>
      </c>
      <c r="K618" s="141" t="e">
        <f t="shared" si="50"/>
        <v>#REF!</v>
      </c>
    </row>
    <row r="619" spans="1:11" hidden="1" x14ac:dyDescent="0.25">
      <c r="A619" t="e">
        <f>#REF!</f>
        <v>#REF!</v>
      </c>
      <c r="B619" t="e">
        <f>#REF!</f>
        <v>#REF!</v>
      </c>
      <c r="C619" t="e">
        <f>#REF!</f>
        <v>#REF!</v>
      </c>
      <c r="D619" t="e">
        <f>#REF!</f>
        <v>#REF!</v>
      </c>
      <c r="E619" t="e">
        <f>#REF!</f>
        <v>#REF!</v>
      </c>
      <c r="G619" t="e">
        <f t="shared" si="46"/>
        <v>#REF!</v>
      </c>
      <c r="H619" t="e">
        <f t="shared" si="47"/>
        <v>#REF!</v>
      </c>
      <c r="I619" s="141" t="e">
        <f t="shared" si="48"/>
        <v>#REF!</v>
      </c>
      <c r="J619" t="e">
        <f t="shared" si="49"/>
        <v>#REF!</v>
      </c>
      <c r="K619" s="141" t="e">
        <f t="shared" si="50"/>
        <v>#REF!</v>
      </c>
    </row>
    <row r="620" spans="1:11" hidden="1" x14ac:dyDescent="0.25">
      <c r="A620" t="e">
        <f>#REF!</f>
        <v>#REF!</v>
      </c>
      <c r="B620" t="e">
        <f>#REF!</f>
        <v>#REF!</v>
      </c>
      <c r="C620" t="e">
        <f>#REF!</f>
        <v>#REF!</v>
      </c>
      <c r="D620" t="e">
        <f>#REF!</f>
        <v>#REF!</v>
      </c>
      <c r="E620" t="e">
        <f>#REF!</f>
        <v>#REF!</v>
      </c>
      <c r="G620" t="e">
        <f t="shared" si="46"/>
        <v>#REF!</v>
      </c>
      <c r="H620" t="e">
        <f t="shared" si="47"/>
        <v>#REF!</v>
      </c>
      <c r="I620" s="141" t="e">
        <f t="shared" si="48"/>
        <v>#REF!</v>
      </c>
      <c r="J620" t="e">
        <f t="shared" si="49"/>
        <v>#REF!</v>
      </c>
      <c r="K620" s="141" t="e">
        <f t="shared" si="50"/>
        <v>#REF!</v>
      </c>
    </row>
    <row r="621" spans="1:11" hidden="1" x14ac:dyDescent="0.25">
      <c r="A621" t="e">
        <f>#REF!</f>
        <v>#REF!</v>
      </c>
      <c r="B621" t="e">
        <f>#REF!</f>
        <v>#REF!</v>
      </c>
      <c r="C621" t="e">
        <f>#REF!</f>
        <v>#REF!</v>
      </c>
      <c r="D621" t="e">
        <f>#REF!</f>
        <v>#REF!</v>
      </c>
      <c r="E621" t="e">
        <f>#REF!</f>
        <v>#REF!</v>
      </c>
      <c r="G621" t="e">
        <f t="shared" si="46"/>
        <v>#REF!</v>
      </c>
      <c r="H621" t="e">
        <f t="shared" si="47"/>
        <v>#REF!</v>
      </c>
      <c r="I621" s="141" t="e">
        <f t="shared" si="48"/>
        <v>#REF!</v>
      </c>
      <c r="J621" t="e">
        <f t="shared" si="49"/>
        <v>#REF!</v>
      </c>
      <c r="K621" s="141" t="e">
        <f t="shared" si="50"/>
        <v>#REF!</v>
      </c>
    </row>
    <row r="622" spans="1:11" hidden="1" x14ac:dyDescent="0.25">
      <c r="A622" t="e">
        <f>#REF!</f>
        <v>#REF!</v>
      </c>
      <c r="B622" t="e">
        <f>#REF!</f>
        <v>#REF!</v>
      </c>
      <c r="C622" t="e">
        <f>#REF!</f>
        <v>#REF!</v>
      </c>
      <c r="D622" t="e">
        <f>#REF!</f>
        <v>#REF!</v>
      </c>
      <c r="E622" t="e">
        <f>#REF!</f>
        <v>#REF!</v>
      </c>
      <c r="G622" t="e">
        <f t="shared" si="46"/>
        <v>#REF!</v>
      </c>
      <c r="H622" t="e">
        <f t="shared" si="47"/>
        <v>#REF!</v>
      </c>
      <c r="I622" s="141" t="e">
        <f t="shared" si="48"/>
        <v>#REF!</v>
      </c>
      <c r="J622" t="e">
        <f t="shared" si="49"/>
        <v>#REF!</v>
      </c>
      <c r="K622" s="141" t="e">
        <f t="shared" si="50"/>
        <v>#REF!</v>
      </c>
    </row>
    <row r="623" spans="1:11" hidden="1" x14ac:dyDescent="0.25">
      <c r="A623" t="e">
        <f>#REF!</f>
        <v>#REF!</v>
      </c>
      <c r="B623" t="e">
        <f>#REF!</f>
        <v>#REF!</v>
      </c>
      <c r="C623" t="e">
        <f>#REF!</f>
        <v>#REF!</v>
      </c>
      <c r="D623" t="e">
        <f>#REF!</f>
        <v>#REF!</v>
      </c>
      <c r="E623" t="e">
        <f>#REF!</f>
        <v>#REF!</v>
      </c>
      <c r="G623" t="e">
        <f t="shared" si="46"/>
        <v>#REF!</v>
      </c>
      <c r="H623" t="e">
        <f t="shared" si="47"/>
        <v>#REF!</v>
      </c>
      <c r="I623" s="141" t="e">
        <f t="shared" si="48"/>
        <v>#REF!</v>
      </c>
      <c r="J623" t="e">
        <f t="shared" si="49"/>
        <v>#REF!</v>
      </c>
      <c r="K623" s="141" t="e">
        <f t="shared" si="50"/>
        <v>#REF!</v>
      </c>
    </row>
    <row r="624" spans="1:11" hidden="1" x14ac:dyDescent="0.25">
      <c r="A624" t="e">
        <f>#REF!</f>
        <v>#REF!</v>
      </c>
      <c r="B624" t="e">
        <f>#REF!</f>
        <v>#REF!</v>
      </c>
      <c r="C624" t="e">
        <f>#REF!</f>
        <v>#REF!</v>
      </c>
      <c r="D624" t="e">
        <f>#REF!</f>
        <v>#REF!</v>
      </c>
      <c r="E624" t="e">
        <f>#REF!</f>
        <v>#REF!</v>
      </c>
      <c r="G624" t="e">
        <f t="shared" si="46"/>
        <v>#REF!</v>
      </c>
      <c r="H624" t="e">
        <f t="shared" si="47"/>
        <v>#REF!</v>
      </c>
      <c r="I624" s="141" t="e">
        <f t="shared" si="48"/>
        <v>#REF!</v>
      </c>
      <c r="J624" t="e">
        <f t="shared" si="49"/>
        <v>#REF!</v>
      </c>
      <c r="K624" s="141" t="e">
        <f t="shared" si="50"/>
        <v>#REF!</v>
      </c>
    </row>
    <row r="625" spans="1:11" hidden="1" x14ac:dyDescent="0.25">
      <c r="A625" t="e">
        <f>#REF!</f>
        <v>#REF!</v>
      </c>
      <c r="B625" t="e">
        <f>#REF!</f>
        <v>#REF!</v>
      </c>
      <c r="C625" t="e">
        <f>#REF!</f>
        <v>#REF!</v>
      </c>
      <c r="D625" t="e">
        <f>#REF!</f>
        <v>#REF!</v>
      </c>
      <c r="E625" t="e">
        <f>#REF!</f>
        <v>#REF!</v>
      </c>
      <c r="G625" t="e">
        <f t="shared" si="46"/>
        <v>#REF!</v>
      </c>
      <c r="H625" t="e">
        <f t="shared" si="47"/>
        <v>#REF!</v>
      </c>
      <c r="I625" s="141" t="e">
        <f t="shared" si="48"/>
        <v>#REF!</v>
      </c>
      <c r="J625" t="e">
        <f t="shared" si="49"/>
        <v>#REF!</v>
      </c>
      <c r="K625" s="141" t="e">
        <f t="shared" si="50"/>
        <v>#REF!</v>
      </c>
    </row>
    <row r="626" spans="1:11" hidden="1" x14ac:dyDescent="0.25">
      <c r="A626" t="e">
        <f>#REF!</f>
        <v>#REF!</v>
      </c>
      <c r="B626" t="e">
        <f>#REF!</f>
        <v>#REF!</v>
      </c>
      <c r="C626" t="e">
        <f>#REF!</f>
        <v>#REF!</v>
      </c>
      <c r="D626" t="e">
        <f>#REF!</f>
        <v>#REF!</v>
      </c>
      <c r="E626" t="e">
        <f>#REF!</f>
        <v>#REF!</v>
      </c>
      <c r="G626" t="e">
        <f t="shared" si="46"/>
        <v>#REF!</v>
      </c>
      <c r="H626" t="e">
        <f t="shared" si="47"/>
        <v>#REF!</v>
      </c>
      <c r="I626" s="141" t="e">
        <f t="shared" si="48"/>
        <v>#REF!</v>
      </c>
      <c r="J626" t="e">
        <f t="shared" si="49"/>
        <v>#REF!</v>
      </c>
      <c r="K626" s="141" t="e">
        <f t="shared" si="50"/>
        <v>#REF!</v>
      </c>
    </row>
    <row r="627" spans="1:11" hidden="1" x14ac:dyDescent="0.25">
      <c r="A627" t="e">
        <f>#REF!</f>
        <v>#REF!</v>
      </c>
      <c r="B627" t="e">
        <f>#REF!</f>
        <v>#REF!</v>
      </c>
      <c r="C627" t="e">
        <f>#REF!</f>
        <v>#REF!</v>
      </c>
      <c r="D627" t="e">
        <f>#REF!</f>
        <v>#REF!</v>
      </c>
      <c r="E627" t="e">
        <f>#REF!</f>
        <v>#REF!</v>
      </c>
      <c r="G627" t="e">
        <f t="shared" si="46"/>
        <v>#REF!</v>
      </c>
      <c r="H627" t="e">
        <f t="shared" si="47"/>
        <v>#REF!</v>
      </c>
      <c r="I627" s="141" t="e">
        <f t="shared" si="48"/>
        <v>#REF!</v>
      </c>
      <c r="J627" t="e">
        <f t="shared" si="49"/>
        <v>#REF!</v>
      </c>
      <c r="K627" s="141" t="e">
        <f t="shared" si="50"/>
        <v>#REF!</v>
      </c>
    </row>
    <row r="628" spans="1:11" hidden="1" x14ac:dyDescent="0.25">
      <c r="A628" t="e">
        <f>#REF!</f>
        <v>#REF!</v>
      </c>
      <c r="B628" t="e">
        <f>#REF!</f>
        <v>#REF!</v>
      </c>
      <c r="C628" t="e">
        <f>#REF!</f>
        <v>#REF!</v>
      </c>
      <c r="D628" t="e">
        <f>#REF!</f>
        <v>#REF!</v>
      </c>
      <c r="E628" t="e">
        <f>#REF!</f>
        <v>#REF!</v>
      </c>
      <c r="G628" t="e">
        <f t="shared" si="46"/>
        <v>#REF!</v>
      </c>
      <c r="H628" t="e">
        <f t="shared" si="47"/>
        <v>#REF!</v>
      </c>
      <c r="I628" s="141" t="e">
        <f t="shared" si="48"/>
        <v>#REF!</v>
      </c>
      <c r="J628" t="e">
        <f t="shared" si="49"/>
        <v>#REF!</v>
      </c>
      <c r="K628" s="141" t="e">
        <f t="shared" si="50"/>
        <v>#REF!</v>
      </c>
    </row>
    <row r="629" spans="1:11" hidden="1" x14ac:dyDescent="0.25">
      <c r="A629" t="e">
        <f>#REF!</f>
        <v>#REF!</v>
      </c>
      <c r="B629" t="e">
        <f>#REF!</f>
        <v>#REF!</v>
      </c>
      <c r="C629" t="e">
        <f>#REF!</f>
        <v>#REF!</v>
      </c>
      <c r="D629" t="e">
        <f>#REF!</f>
        <v>#REF!</v>
      </c>
      <c r="E629" t="e">
        <f>#REF!</f>
        <v>#REF!</v>
      </c>
      <c r="G629" t="e">
        <f t="shared" si="46"/>
        <v>#REF!</v>
      </c>
      <c r="H629" t="e">
        <f t="shared" si="47"/>
        <v>#REF!</v>
      </c>
      <c r="I629" s="141" t="e">
        <f t="shared" si="48"/>
        <v>#REF!</v>
      </c>
      <c r="J629" t="e">
        <f t="shared" si="49"/>
        <v>#REF!</v>
      </c>
      <c r="K629" s="141" t="e">
        <f t="shared" si="50"/>
        <v>#REF!</v>
      </c>
    </row>
    <row r="630" spans="1:11" hidden="1" x14ac:dyDescent="0.25">
      <c r="A630" t="e">
        <f>#REF!</f>
        <v>#REF!</v>
      </c>
      <c r="B630" t="e">
        <f>#REF!</f>
        <v>#REF!</v>
      </c>
      <c r="C630" t="e">
        <f>#REF!</f>
        <v>#REF!</v>
      </c>
      <c r="D630" t="e">
        <f>#REF!</f>
        <v>#REF!</v>
      </c>
      <c r="E630" t="e">
        <f>#REF!</f>
        <v>#REF!</v>
      </c>
      <c r="G630" t="e">
        <f t="shared" si="46"/>
        <v>#REF!</v>
      </c>
      <c r="H630" t="e">
        <f t="shared" si="47"/>
        <v>#REF!</v>
      </c>
      <c r="I630" s="141" t="e">
        <f t="shared" si="48"/>
        <v>#REF!</v>
      </c>
      <c r="J630" t="e">
        <f t="shared" si="49"/>
        <v>#REF!</v>
      </c>
      <c r="K630" s="141" t="e">
        <f t="shared" si="50"/>
        <v>#REF!</v>
      </c>
    </row>
    <row r="631" spans="1:11" hidden="1" x14ac:dyDescent="0.25">
      <c r="A631" t="e">
        <f>#REF!</f>
        <v>#REF!</v>
      </c>
      <c r="B631" t="e">
        <f>#REF!</f>
        <v>#REF!</v>
      </c>
      <c r="C631" t="e">
        <f>#REF!</f>
        <v>#REF!</v>
      </c>
      <c r="D631" t="e">
        <f>#REF!</f>
        <v>#REF!</v>
      </c>
      <c r="E631" t="e">
        <f>#REF!</f>
        <v>#REF!</v>
      </c>
      <c r="G631" t="e">
        <f t="shared" si="46"/>
        <v>#REF!</v>
      </c>
      <c r="H631" t="e">
        <f t="shared" si="47"/>
        <v>#REF!</v>
      </c>
      <c r="I631" s="141" t="e">
        <f t="shared" si="48"/>
        <v>#REF!</v>
      </c>
      <c r="J631" t="e">
        <f t="shared" si="49"/>
        <v>#REF!</v>
      </c>
      <c r="K631" s="141" t="e">
        <f t="shared" si="50"/>
        <v>#REF!</v>
      </c>
    </row>
    <row r="632" spans="1:11" hidden="1" x14ac:dyDescent="0.25">
      <c r="A632" t="e">
        <f>#REF!</f>
        <v>#REF!</v>
      </c>
      <c r="B632" t="e">
        <f>#REF!</f>
        <v>#REF!</v>
      </c>
      <c r="C632" t="e">
        <f>#REF!</f>
        <v>#REF!</v>
      </c>
      <c r="D632" t="e">
        <f>#REF!</f>
        <v>#REF!</v>
      </c>
      <c r="E632" t="e">
        <f>#REF!</f>
        <v>#REF!</v>
      </c>
      <c r="G632" t="e">
        <f t="shared" si="46"/>
        <v>#REF!</v>
      </c>
      <c r="H632" t="e">
        <f t="shared" si="47"/>
        <v>#REF!</v>
      </c>
      <c r="I632" s="141" t="e">
        <f t="shared" si="48"/>
        <v>#REF!</v>
      </c>
      <c r="J632" t="e">
        <f t="shared" si="49"/>
        <v>#REF!</v>
      </c>
      <c r="K632" s="141" t="e">
        <f t="shared" si="50"/>
        <v>#REF!</v>
      </c>
    </row>
    <row r="633" spans="1:11" hidden="1" x14ac:dyDescent="0.25">
      <c r="A633" t="e">
        <f>#REF!</f>
        <v>#REF!</v>
      </c>
      <c r="B633" t="e">
        <f>#REF!</f>
        <v>#REF!</v>
      </c>
      <c r="C633" t="e">
        <f>#REF!</f>
        <v>#REF!</v>
      </c>
      <c r="D633" t="e">
        <f>#REF!</f>
        <v>#REF!</v>
      </c>
      <c r="E633" t="e">
        <f>#REF!</f>
        <v>#REF!</v>
      </c>
      <c r="G633" t="e">
        <f t="shared" si="46"/>
        <v>#REF!</v>
      </c>
      <c r="H633" t="e">
        <f t="shared" si="47"/>
        <v>#REF!</v>
      </c>
      <c r="I633" s="141" t="e">
        <f t="shared" si="48"/>
        <v>#REF!</v>
      </c>
      <c r="J633" t="e">
        <f t="shared" si="49"/>
        <v>#REF!</v>
      </c>
      <c r="K633" s="141" t="e">
        <f t="shared" si="50"/>
        <v>#REF!</v>
      </c>
    </row>
    <row r="634" spans="1:11" hidden="1" x14ac:dyDescent="0.25">
      <c r="A634" t="e">
        <f>#REF!</f>
        <v>#REF!</v>
      </c>
      <c r="B634" t="e">
        <f>#REF!</f>
        <v>#REF!</v>
      </c>
      <c r="C634" t="e">
        <f>#REF!</f>
        <v>#REF!</v>
      </c>
      <c r="D634" t="e">
        <f>#REF!</f>
        <v>#REF!</v>
      </c>
      <c r="E634" t="e">
        <f>#REF!</f>
        <v>#REF!</v>
      </c>
      <c r="G634" t="e">
        <f t="shared" si="46"/>
        <v>#REF!</v>
      </c>
      <c r="H634" t="e">
        <f t="shared" si="47"/>
        <v>#REF!</v>
      </c>
      <c r="I634" s="141" t="e">
        <f t="shared" si="48"/>
        <v>#REF!</v>
      </c>
      <c r="J634" t="e">
        <f t="shared" si="49"/>
        <v>#REF!</v>
      </c>
      <c r="K634" s="141" t="e">
        <f t="shared" si="50"/>
        <v>#REF!</v>
      </c>
    </row>
    <row r="635" spans="1:11" hidden="1" x14ac:dyDescent="0.25">
      <c r="A635" t="e">
        <f>#REF!</f>
        <v>#REF!</v>
      </c>
      <c r="B635" t="e">
        <f>#REF!</f>
        <v>#REF!</v>
      </c>
      <c r="C635" t="e">
        <f>#REF!</f>
        <v>#REF!</v>
      </c>
      <c r="D635" t="e">
        <f>#REF!</f>
        <v>#REF!</v>
      </c>
      <c r="E635" t="e">
        <f>#REF!</f>
        <v>#REF!</v>
      </c>
      <c r="G635" t="e">
        <f t="shared" si="46"/>
        <v>#REF!</v>
      </c>
      <c r="H635" t="e">
        <f t="shared" si="47"/>
        <v>#REF!</v>
      </c>
      <c r="I635" s="141" t="e">
        <f t="shared" si="48"/>
        <v>#REF!</v>
      </c>
      <c r="J635" t="e">
        <f t="shared" si="49"/>
        <v>#REF!</v>
      </c>
      <c r="K635" s="141" t="e">
        <f t="shared" si="50"/>
        <v>#REF!</v>
      </c>
    </row>
    <row r="636" spans="1:11" hidden="1" x14ac:dyDescent="0.25">
      <c r="A636" t="e">
        <f>#REF!</f>
        <v>#REF!</v>
      </c>
      <c r="B636" t="e">
        <f>#REF!</f>
        <v>#REF!</v>
      </c>
      <c r="C636" t="e">
        <f>#REF!</f>
        <v>#REF!</v>
      </c>
      <c r="D636" t="e">
        <f>#REF!</f>
        <v>#REF!</v>
      </c>
      <c r="E636" t="e">
        <f>#REF!</f>
        <v>#REF!</v>
      </c>
      <c r="G636" t="e">
        <f t="shared" si="46"/>
        <v>#REF!</v>
      </c>
      <c r="H636" t="e">
        <f t="shared" si="47"/>
        <v>#REF!</v>
      </c>
      <c r="I636" s="141" t="e">
        <f t="shared" si="48"/>
        <v>#REF!</v>
      </c>
      <c r="J636" t="e">
        <f t="shared" si="49"/>
        <v>#REF!</v>
      </c>
      <c r="K636" s="141" t="e">
        <f t="shared" si="50"/>
        <v>#REF!</v>
      </c>
    </row>
    <row r="637" spans="1:11" hidden="1" x14ac:dyDescent="0.25">
      <c r="A637" t="e">
        <f>#REF!</f>
        <v>#REF!</v>
      </c>
      <c r="B637" t="e">
        <f>#REF!</f>
        <v>#REF!</v>
      </c>
      <c r="C637" t="e">
        <f>#REF!</f>
        <v>#REF!</v>
      </c>
      <c r="D637" t="e">
        <f>#REF!</f>
        <v>#REF!</v>
      </c>
      <c r="E637" t="e">
        <f>#REF!</f>
        <v>#REF!</v>
      </c>
      <c r="G637" t="e">
        <f t="shared" si="46"/>
        <v>#REF!</v>
      </c>
      <c r="H637" t="e">
        <f t="shared" si="47"/>
        <v>#REF!</v>
      </c>
      <c r="I637" s="141" t="e">
        <f t="shared" si="48"/>
        <v>#REF!</v>
      </c>
      <c r="J637" t="e">
        <f t="shared" si="49"/>
        <v>#REF!</v>
      </c>
      <c r="K637" s="141" t="e">
        <f t="shared" si="50"/>
        <v>#REF!</v>
      </c>
    </row>
    <row r="638" spans="1:11" hidden="1" x14ac:dyDescent="0.25">
      <c r="A638" t="e">
        <f>#REF!</f>
        <v>#REF!</v>
      </c>
      <c r="B638" t="e">
        <f>#REF!</f>
        <v>#REF!</v>
      </c>
      <c r="C638" t="e">
        <f>#REF!</f>
        <v>#REF!</v>
      </c>
      <c r="D638" t="e">
        <f>#REF!</f>
        <v>#REF!</v>
      </c>
      <c r="E638" t="e">
        <f>#REF!</f>
        <v>#REF!</v>
      </c>
      <c r="G638" t="e">
        <f t="shared" si="46"/>
        <v>#REF!</v>
      </c>
      <c r="H638" t="e">
        <f t="shared" si="47"/>
        <v>#REF!</v>
      </c>
      <c r="I638" s="141" t="e">
        <f t="shared" si="48"/>
        <v>#REF!</v>
      </c>
      <c r="J638" t="e">
        <f t="shared" si="49"/>
        <v>#REF!</v>
      </c>
      <c r="K638" s="141" t="e">
        <f t="shared" si="50"/>
        <v>#REF!</v>
      </c>
    </row>
    <row r="639" spans="1:11" hidden="1" x14ac:dyDescent="0.25">
      <c r="A639" t="e">
        <f>#REF!</f>
        <v>#REF!</v>
      </c>
      <c r="B639" t="e">
        <f>#REF!</f>
        <v>#REF!</v>
      </c>
      <c r="C639" t="e">
        <f>#REF!</f>
        <v>#REF!</v>
      </c>
      <c r="D639" t="e">
        <f>#REF!</f>
        <v>#REF!</v>
      </c>
      <c r="E639" t="e">
        <f>#REF!</f>
        <v>#REF!</v>
      </c>
      <c r="G639" t="e">
        <f t="shared" si="46"/>
        <v>#REF!</v>
      </c>
      <c r="H639" t="e">
        <f t="shared" si="47"/>
        <v>#REF!</v>
      </c>
      <c r="I639" s="141" t="e">
        <f t="shared" si="48"/>
        <v>#REF!</v>
      </c>
      <c r="J639" t="e">
        <f t="shared" si="49"/>
        <v>#REF!</v>
      </c>
      <c r="K639" s="141" t="e">
        <f t="shared" si="50"/>
        <v>#REF!</v>
      </c>
    </row>
    <row r="640" spans="1:11" hidden="1" x14ac:dyDescent="0.25">
      <c r="A640" t="e">
        <f>#REF!</f>
        <v>#REF!</v>
      </c>
      <c r="B640" t="e">
        <f>#REF!</f>
        <v>#REF!</v>
      </c>
      <c r="C640" t="e">
        <f>#REF!</f>
        <v>#REF!</v>
      </c>
      <c r="D640" t="e">
        <f>#REF!</f>
        <v>#REF!</v>
      </c>
      <c r="E640" t="e">
        <f>#REF!</f>
        <v>#REF!</v>
      </c>
      <c r="G640" t="e">
        <f t="shared" si="46"/>
        <v>#REF!</v>
      </c>
      <c r="H640" t="e">
        <f t="shared" si="47"/>
        <v>#REF!</v>
      </c>
      <c r="I640" s="141" t="e">
        <f t="shared" si="48"/>
        <v>#REF!</v>
      </c>
      <c r="J640" t="e">
        <f t="shared" si="49"/>
        <v>#REF!</v>
      </c>
      <c r="K640" s="141" t="e">
        <f t="shared" si="50"/>
        <v>#REF!</v>
      </c>
    </row>
    <row r="641" spans="1:11" hidden="1" x14ac:dyDescent="0.25">
      <c r="A641" t="e">
        <f>#REF!</f>
        <v>#REF!</v>
      </c>
      <c r="B641" t="e">
        <f>#REF!</f>
        <v>#REF!</v>
      </c>
      <c r="C641" t="e">
        <f>#REF!</f>
        <v>#REF!</v>
      </c>
      <c r="D641" t="e">
        <f>#REF!</f>
        <v>#REF!</v>
      </c>
      <c r="E641" t="e">
        <f>#REF!</f>
        <v>#REF!</v>
      </c>
      <c r="G641" t="e">
        <f t="shared" si="46"/>
        <v>#REF!</v>
      </c>
      <c r="H641" t="e">
        <f t="shared" si="47"/>
        <v>#REF!</v>
      </c>
      <c r="I641" s="141" t="e">
        <f t="shared" si="48"/>
        <v>#REF!</v>
      </c>
      <c r="J641" t="e">
        <f t="shared" si="49"/>
        <v>#REF!</v>
      </c>
      <c r="K641" s="141" t="e">
        <f t="shared" si="50"/>
        <v>#REF!</v>
      </c>
    </row>
    <row r="642" spans="1:11" hidden="1" x14ac:dyDescent="0.25">
      <c r="A642" t="e">
        <f>#REF!</f>
        <v>#REF!</v>
      </c>
      <c r="B642" t="e">
        <f>#REF!</f>
        <v>#REF!</v>
      </c>
      <c r="C642" t="e">
        <f>#REF!</f>
        <v>#REF!</v>
      </c>
      <c r="D642" t="e">
        <f>#REF!</f>
        <v>#REF!</v>
      </c>
      <c r="E642" t="e">
        <f>#REF!</f>
        <v>#REF!</v>
      </c>
      <c r="G642" t="e">
        <f t="shared" ref="G642:G705" si="51">A642</f>
        <v>#REF!</v>
      </c>
      <c r="H642" t="e">
        <f t="shared" ref="H642:H705" si="52">B642</f>
        <v>#REF!</v>
      </c>
      <c r="I642" s="141" t="e">
        <f t="shared" ref="I642:I705" si="53">C642</f>
        <v>#REF!</v>
      </c>
      <c r="J642" t="e">
        <f t="shared" ref="J642:J705" si="54">D642</f>
        <v>#REF!</v>
      </c>
      <c r="K642" s="141" t="e">
        <f t="shared" ref="K642:K705" si="55">E642</f>
        <v>#REF!</v>
      </c>
    </row>
    <row r="643" spans="1:11" hidden="1" x14ac:dyDescent="0.25">
      <c r="A643" t="e">
        <f>#REF!</f>
        <v>#REF!</v>
      </c>
      <c r="B643" t="e">
        <f>#REF!</f>
        <v>#REF!</v>
      </c>
      <c r="C643" t="e">
        <f>#REF!</f>
        <v>#REF!</v>
      </c>
      <c r="D643" t="e">
        <f>#REF!</f>
        <v>#REF!</v>
      </c>
      <c r="E643" t="e">
        <f>#REF!</f>
        <v>#REF!</v>
      </c>
      <c r="G643" t="e">
        <f t="shared" si="51"/>
        <v>#REF!</v>
      </c>
      <c r="H643" t="e">
        <f t="shared" si="52"/>
        <v>#REF!</v>
      </c>
      <c r="I643" s="141" t="e">
        <f t="shared" si="53"/>
        <v>#REF!</v>
      </c>
      <c r="J643" t="e">
        <f t="shared" si="54"/>
        <v>#REF!</v>
      </c>
      <c r="K643" s="141" t="e">
        <f t="shared" si="55"/>
        <v>#REF!</v>
      </c>
    </row>
    <row r="644" spans="1:11" hidden="1" x14ac:dyDescent="0.25">
      <c r="A644" t="e">
        <f>#REF!</f>
        <v>#REF!</v>
      </c>
      <c r="B644" t="e">
        <f>#REF!</f>
        <v>#REF!</v>
      </c>
      <c r="C644" t="e">
        <f>#REF!</f>
        <v>#REF!</v>
      </c>
      <c r="D644" t="e">
        <f>#REF!</f>
        <v>#REF!</v>
      </c>
      <c r="E644" t="e">
        <f>#REF!</f>
        <v>#REF!</v>
      </c>
      <c r="G644" t="e">
        <f t="shared" si="51"/>
        <v>#REF!</v>
      </c>
      <c r="H644" t="e">
        <f t="shared" si="52"/>
        <v>#REF!</v>
      </c>
      <c r="I644" s="141" t="e">
        <f t="shared" si="53"/>
        <v>#REF!</v>
      </c>
      <c r="J644" t="e">
        <f t="shared" si="54"/>
        <v>#REF!</v>
      </c>
      <c r="K644" s="141" t="e">
        <f t="shared" si="55"/>
        <v>#REF!</v>
      </c>
    </row>
    <row r="645" spans="1:11" hidden="1" x14ac:dyDescent="0.25">
      <c r="A645" t="e">
        <f>#REF!</f>
        <v>#REF!</v>
      </c>
      <c r="B645" t="e">
        <f>#REF!</f>
        <v>#REF!</v>
      </c>
      <c r="C645" t="e">
        <f>#REF!</f>
        <v>#REF!</v>
      </c>
      <c r="D645" t="e">
        <f>#REF!</f>
        <v>#REF!</v>
      </c>
      <c r="E645" t="e">
        <f>#REF!</f>
        <v>#REF!</v>
      </c>
      <c r="G645" t="e">
        <f t="shared" si="51"/>
        <v>#REF!</v>
      </c>
      <c r="H645" t="e">
        <f t="shared" si="52"/>
        <v>#REF!</v>
      </c>
      <c r="I645" s="141" t="e">
        <f t="shared" si="53"/>
        <v>#REF!</v>
      </c>
      <c r="J645" t="e">
        <f t="shared" si="54"/>
        <v>#REF!</v>
      </c>
      <c r="K645" s="141" t="e">
        <f t="shared" si="55"/>
        <v>#REF!</v>
      </c>
    </row>
    <row r="646" spans="1:11" hidden="1" x14ac:dyDescent="0.25">
      <c r="A646" t="e">
        <f>#REF!</f>
        <v>#REF!</v>
      </c>
      <c r="B646" t="e">
        <f>#REF!</f>
        <v>#REF!</v>
      </c>
      <c r="C646" t="e">
        <f>#REF!</f>
        <v>#REF!</v>
      </c>
      <c r="D646" t="e">
        <f>#REF!</f>
        <v>#REF!</v>
      </c>
      <c r="E646" t="e">
        <f>#REF!</f>
        <v>#REF!</v>
      </c>
      <c r="G646" t="e">
        <f t="shared" si="51"/>
        <v>#REF!</v>
      </c>
      <c r="H646" t="e">
        <f t="shared" si="52"/>
        <v>#REF!</v>
      </c>
      <c r="I646" s="141" t="e">
        <f t="shared" si="53"/>
        <v>#REF!</v>
      </c>
      <c r="J646" t="e">
        <f t="shared" si="54"/>
        <v>#REF!</v>
      </c>
      <c r="K646" s="141" t="e">
        <f t="shared" si="55"/>
        <v>#REF!</v>
      </c>
    </row>
    <row r="647" spans="1:11" hidden="1" x14ac:dyDescent="0.25">
      <c r="A647" t="e">
        <f>#REF!</f>
        <v>#REF!</v>
      </c>
      <c r="B647" t="e">
        <f>#REF!</f>
        <v>#REF!</v>
      </c>
      <c r="C647" t="e">
        <f>#REF!</f>
        <v>#REF!</v>
      </c>
      <c r="D647" t="e">
        <f>#REF!</f>
        <v>#REF!</v>
      </c>
      <c r="E647" t="e">
        <f>#REF!</f>
        <v>#REF!</v>
      </c>
      <c r="G647" t="e">
        <f t="shared" si="51"/>
        <v>#REF!</v>
      </c>
      <c r="H647" t="e">
        <f t="shared" si="52"/>
        <v>#REF!</v>
      </c>
      <c r="I647" s="141" t="e">
        <f t="shared" si="53"/>
        <v>#REF!</v>
      </c>
      <c r="J647" t="e">
        <f t="shared" si="54"/>
        <v>#REF!</v>
      </c>
      <c r="K647" s="141" t="e">
        <f t="shared" si="55"/>
        <v>#REF!</v>
      </c>
    </row>
    <row r="648" spans="1:11" hidden="1" x14ac:dyDescent="0.25">
      <c r="A648" t="e">
        <f>#REF!</f>
        <v>#REF!</v>
      </c>
      <c r="B648" t="e">
        <f>#REF!</f>
        <v>#REF!</v>
      </c>
      <c r="C648" t="e">
        <f>#REF!</f>
        <v>#REF!</v>
      </c>
      <c r="D648" t="e">
        <f>#REF!</f>
        <v>#REF!</v>
      </c>
      <c r="E648" t="e">
        <f>#REF!</f>
        <v>#REF!</v>
      </c>
      <c r="G648" t="e">
        <f t="shared" si="51"/>
        <v>#REF!</v>
      </c>
      <c r="H648" t="e">
        <f t="shared" si="52"/>
        <v>#REF!</v>
      </c>
      <c r="I648" s="141" t="e">
        <f t="shared" si="53"/>
        <v>#REF!</v>
      </c>
      <c r="J648" t="e">
        <f t="shared" si="54"/>
        <v>#REF!</v>
      </c>
      <c r="K648" s="141" t="e">
        <f t="shared" si="55"/>
        <v>#REF!</v>
      </c>
    </row>
    <row r="649" spans="1:11" hidden="1" x14ac:dyDescent="0.25">
      <c r="A649" t="e">
        <f>#REF!</f>
        <v>#REF!</v>
      </c>
      <c r="B649" t="e">
        <f>#REF!</f>
        <v>#REF!</v>
      </c>
      <c r="C649" t="e">
        <f>#REF!</f>
        <v>#REF!</v>
      </c>
      <c r="D649" t="e">
        <f>#REF!</f>
        <v>#REF!</v>
      </c>
      <c r="E649" t="e">
        <f>#REF!</f>
        <v>#REF!</v>
      </c>
      <c r="G649" t="e">
        <f t="shared" si="51"/>
        <v>#REF!</v>
      </c>
      <c r="H649" t="e">
        <f t="shared" si="52"/>
        <v>#REF!</v>
      </c>
      <c r="I649" s="141" t="e">
        <f t="shared" si="53"/>
        <v>#REF!</v>
      </c>
      <c r="J649" t="e">
        <f t="shared" si="54"/>
        <v>#REF!</v>
      </c>
      <c r="K649" s="141" t="e">
        <f t="shared" si="55"/>
        <v>#REF!</v>
      </c>
    </row>
    <row r="650" spans="1:11" hidden="1" x14ac:dyDescent="0.25">
      <c r="A650" t="e">
        <f>#REF!</f>
        <v>#REF!</v>
      </c>
      <c r="B650" t="e">
        <f>#REF!</f>
        <v>#REF!</v>
      </c>
      <c r="C650" t="e">
        <f>#REF!</f>
        <v>#REF!</v>
      </c>
      <c r="D650" t="e">
        <f>#REF!</f>
        <v>#REF!</v>
      </c>
      <c r="E650" t="e">
        <f>#REF!</f>
        <v>#REF!</v>
      </c>
      <c r="G650" t="e">
        <f t="shared" si="51"/>
        <v>#REF!</v>
      </c>
      <c r="H650" t="e">
        <f t="shared" si="52"/>
        <v>#REF!</v>
      </c>
      <c r="I650" s="141" t="e">
        <f t="shared" si="53"/>
        <v>#REF!</v>
      </c>
      <c r="J650" t="e">
        <f t="shared" si="54"/>
        <v>#REF!</v>
      </c>
      <c r="K650" s="141" t="e">
        <f t="shared" si="55"/>
        <v>#REF!</v>
      </c>
    </row>
    <row r="651" spans="1:11" hidden="1" x14ac:dyDescent="0.25">
      <c r="A651" t="e">
        <f>#REF!</f>
        <v>#REF!</v>
      </c>
      <c r="B651" t="e">
        <f>#REF!</f>
        <v>#REF!</v>
      </c>
      <c r="C651" t="e">
        <f>#REF!</f>
        <v>#REF!</v>
      </c>
      <c r="D651" t="e">
        <f>#REF!</f>
        <v>#REF!</v>
      </c>
      <c r="E651" t="e">
        <f>#REF!</f>
        <v>#REF!</v>
      </c>
      <c r="G651" t="e">
        <f t="shared" si="51"/>
        <v>#REF!</v>
      </c>
      <c r="H651" t="e">
        <f t="shared" si="52"/>
        <v>#REF!</v>
      </c>
      <c r="I651" s="141" t="e">
        <f t="shared" si="53"/>
        <v>#REF!</v>
      </c>
      <c r="J651" t="e">
        <f t="shared" si="54"/>
        <v>#REF!</v>
      </c>
      <c r="K651" s="141" t="e">
        <f t="shared" si="55"/>
        <v>#REF!</v>
      </c>
    </row>
    <row r="652" spans="1:11" hidden="1" x14ac:dyDescent="0.25">
      <c r="A652" t="e">
        <f>#REF!</f>
        <v>#REF!</v>
      </c>
      <c r="B652" t="e">
        <f>#REF!</f>
        <v>#REF!</v>
      </c>
      <c r="C652" t="e">
        <f>#REF!</f>
        <v>#REF!</v>
      </c>
      <c r="D652" t="e">
        <f>#REF!</f>
        <v>#REF!</v>
      </c>
      <c r="E652" t="e">
        <f>#REF!</f>
        <v>#REF!</v>
      </c>
      <c r="G652" t="e">
        <f t="shared" si="51"/>
        <v>#REF!</v>
      </c>
      <c r="H652" t="e">
        <f t="shared" si="52"/>
        <v>#REF!</v>
      </c>
      <c r="I652" s="141" t="e">
        <f t="shared" si="53"/>
        <v>#REF!</v>
      </c>
      <c r="J652" t="e">
        <f t="shared" si="54"/>
        <v>#REF!</v>
      </c>
      <c r="K652" s="141" t="e">
        <f t="shared" si="55"/>
        <v>#REF!</v>
      </c>
    </row>
    <row r="653" spans="1:11" hidden="1" x14ac:dyDescent="0.25">
      <c r="A653" t="e">
        <f>#REF!</f>
        <v>#REF!</v>
      </c>
      <c r="B653" t="e">
        <f>#REF!</f>
        <v>#REF!</v>
      </c>
      <c r="C653" t="e">
        <f>#REF!</f>
        <v>#REF!</v>
      </c>
      <c r="D653" t="e">
        <f>#REF!</f>
        <v>#REF!</v>
      </c>
      <c r="E653" t="e">
        <f>#REF!</f>
        <v>#REF!</v>
      </c>
      <c r="G653" t="e">
        <f t="shared" si="51"/>
        <v>#REF!</v>
      </c>
      <c r="H653" t="e">
        <f t="shared" si="52"/>
        <v>#REF!</v>
      </c>
      <c r="I653" s="141" t="e">
        <f t="shared" si="53"/>
        <v>#REF!</v>
      </c>
      <c r="J653" t="e">
        <f t="shared" si="54"/>
        <v>#REF!</v>
      </c>
      <c r="K653" s="141" t="e">
        <f t="shared" si="55"/>
        <v>#REF!</v>
      </c>
    </row>
    <row r="654" spans="1:11" hidden="1" x14ac:dyDescent="0.25">
      <c r="A654" t="e">
        <f>#REF!</f>
        <v>#REF!</v>
      </c>
      <c r="B654" t="e">
        <f>#REF!</f>
        <v>#REF!</v>
      </c>
      <c r="C654" t="e">
        <f>#REF!</f>
        <v>#REF!</v>
      </c>
      <c r="D654" t="e">
        <f>#REF!</f>
        <v>#REF!</v>
      </c>
      <c r="E654" t="e">
        <f>#REF!</f>
        <v>#REF!</v>
      </c>
      <c r="G654" t="e">
        <f t="shared" si="51"/>
        <v>#REF!</v>
      </c>
      <c r="H654" t="e">
        <f t="shared" si="52"/>
        <v>#REF!</v>
      </c>
      <c r="I654" s="141" t="e">
        <f t="shared" si="53"/>
        <v>#REF!</v>
      </c>
      <c r="J654" t="e">
        <f t="shared" si="54"/>
        <v>#REF!</v>
      </c>
      <c r="K654" s="141" t="e">
        <f t="shared" si="55"/>
        <v>#REF!</v>
      </c>
    </row>
    <row r="655" spans="1:11" hidden="1" x14ac:dyDescent="0.25">
      <c r="A655" t="e">
        <f>#REF!</f>
        <v>#REF!</v>
      </c>
      <c r="B655" t="e">
        <f>#REF!</f>
        <v>#REF!</v>
      </c>
      <c r="C655" t="e">
        <f>#REF!</f>
        <v>#REF!</v>
      </c>
      <c r="D655" t="e">
        <f>#REF!</f>
        <v>#REF!</v>
      </c>
      <c r="E655" t="e">
        <f>#REF!</f>
        <v>#REF!</v>
      </c>
      <c r="G655" t="e">
        <f t="shared" si="51"/>
        <v>#REF!</v>
      </c>
      <c r="H655" t="e">
        <f t="shared" si="52"/>
        <v>#REF!</v>
      </c>
      <c r="I655" s="141" t="e">
        <f t="shared" si="53"/>
        <v>#REF!</v>
      </c>
      <c r="J655" t="e">
        <f t="shared" si="54"/>
        <v>#REF!</v>
      </c>
      <c r="K655" s="141" t="e">
        <f t="shared" si="55"/>
        <v>#REF!</v>
      </c>
    </row>
    <row r="656" spans="1:11" hidden="1" x14ac:dyDescent="0.25">
      <c r="A656" t="e">
        <f>#REF!</f>
        <v>#REF!</v>
      </c>
      <c r="B656" t="e">
        <f>#REF!</f>
        <v>#REF!</v>
      </c>
      <c r="C656" t="e">
        <f>#REF!</f>
        <v>#REF!</v>
      </c>
      <c r="D656" t="e">
        <f>#REF!</f>
        <v>#REF!</v>
      </c>
      <c r="E656" t="e">
        <f>#REF!</f>
        <v>#REF!</v>
      </c>
      <c r="G656" t="e">
        <f t="shared" si="51"/>
        <v>#REF!</v>
      </c>
      <c r="H656" t="e">
        <f t="shared" si="52"/>
        <v>#REF!</v>
      </c>
      <c r="I656" s="141" t="e">
        <f t="shared" si="53"/>
        <v>#REF!</v>
      </c>
      <c r="J656" t="e">
        <f t="shared" si="54"/>
        <v>#REF!</v>
      </c>
      <c r="K656" s="141" t="e">
        <f t="shared" si="55"/>
        <v>#REF!</v>
      </c>
    </row>
    <row r="657" spans="1:11" hidden="1" x14ac:dyDescent="0.25">
      <c r="A657" t="e">
        <f>#REF!</f>
        <v>#REF!</v>
      </c>
      <c r="B657" t="e">
        <f>#REF!</f>
        <v>#REF!</v>
      </c>
      <c r="C657" t="e">
        <f>#REF!</f>
        <v>#REF!</v>
      </c>
      <c r="D657" t="e">
        <f>#REF!</f>
        <v>#REF!</v>
      </c>
      <c r="E657" t="e">
        <f>#REF!</f>
        <v>#REF!</v>
      </c>
      <c r="G657" t="e">
        <f t="shared" si="51"/>
        <v>#REF!</v>
      </c>
      <c r="H657" t="e">
        <f t="shared" si="52"/>
        <v>#REF!</v>
      </c>
      <c r="I657" s="141" t="e">
        <f t="shared" si="53"/>
        <v>#REF!</v>
      </c>
      <c r="J657" t="e">
        <f t="shared" si="54"/>
        <v>#REF!</v>
      </c>
      <c r="K657" s="141" t="e">
        <f t="shared" si="55"/>
        <v>#REF!</v>
      </c>
    </row>
    <row r="658" spans="1:11" hidden="1" x14ac:dyDescent="0.25">
      <c r="A658" t="e">
        <f>#REF!</f>
        <v>#REF!</v>
      </c>
      <c r="B658" t="e">
        <f>#REF!</f>
        <v>#REF!</v>
      </c>
      <c r="C658" t="e">
        <f>#REF!</f>
        <v>#REF!</v>
      </c>
      <c r="D658" t="e">
        <f>#REF!</f>
        <v>#REF!</v>
      </c>
      <c r="E658" t="e">
        <f>#REF!</f>
        <v>#REF!</v>
      </c>
      <c r="G658" t="e">
        <f t="shared" si="51"/>
        <v>#REF!</v>
      </c>
      <c r="H658" t="e">
        <f t="shared" si="52"/>
        <v>#REF!</v>
      </c>
      <c r="I658" s="141" t="e">
        <f t="shared" si="53"/>
        <v>#REF!</v>
      </c>
      <c r="J658" t="e">
        <f t="shared" si="54"/>
        <v>#REF!</v>
      </c>
      <c r="K658" s="141" t="e">
        <f t="shared" si="55"/>
        <v>#REF!</v>
      </c>
    </row>
    <row r="659" spans="1:11" hidden="1" x14ac:dyDescent="0.25">
      <c r="A659" t="e">
        <f>#REF!</f>
        <v>#REF!</v>
      </c>
      <c r="B659" t="e">
        <f>#REF!</f>
        <v>#REF!</v>
      </c>
      <c r="C659" t="e">
        <f>#REF!</f>
        <v>#REF!</v>
      </c>
      <c r="D659" t="e">
        <f>#REF!</f>
        <v>#REF!</v>
      </c>
      <c r="E659" t="e">
        <f>#REF!</f>
        <v>#REF!</v>
      </c>
      <c r="G659" t="e">
        <f t="shared" si="51"/>
        <v>#REF!</v>
      </c>
      <c r="H659" t="e">
        <f t="shared" si="52"/>
        <v>#REF!</v>
      </c>
      <c r="I659" s="141" t="e">
        <f t="shared" si="53"/>
        <v>#REF!</v>
      </c>
      <c r="J659" t="e">
        <f t="shared" si="54"/>
        <v>#REF!</v>
      </c>
      <c r="K659" s="141" t="e">
        <f t="shared" si="55"/>
        <v>#REF!</v>
      </c>
    </row>
    <row r="660" spans="1:11" hidden="1" x14ac:dyDescent="0.25">
      <c r="A660" t="e">
        <f>#REF!</f>
        <v>#REF!</v>
      </c>
      <c r="B660" t="e">
        <f>#REF!</f>
        <v>#REF!</v>
      </c>
      <c r="C660" t="e">
        <f>#REF!</f>
        <v>#REF!</v>
      </c>
      <c r="D660" t="e">
        <f>#REF!</f>
        <v>#REF!</v>
      </c>
      <c r="E660" t="e">
        <f>#REF!</f>
        <v>#REF!</v>
      </c>
      <c r="G660" t="e">
        <f t="shared" si="51"/>
        <v>#REF!</v>
      </c>
      <c r="H660" t="e">
        <f t="shared" si="52"/>
        <v>#REF!</v>
      </c>
      <c r="I660" s="141" t="e">
        <f t="shared" si="53"/>
        <v>#REF!</v>
      </c>
      <c r="J660" t="e">
        <f t="shared" si="54"/>
        <v>#REF!</v>
      </c>
      <c r="K660" s="141" t="e">
        <f t="shared" si="55"/>
        <v>#REF!</v>
      </c>
    </row>
    <row r="661" spans="1:11" hidden="1" x14ac:dyDescent="0.25">
      <c r="A661" t="e">
        <f>#REF!</f>
        <v>#REF!</v>
      </c>
      <c r="B661" t="e">
        <f>#REF!</f>
        <v>#REF!</v>
      </c>
      <c r="C661" t="e">
        <f>#REF!</f>
        <v>#REF!</v>
      </c>
      <c r="D661" t="e">
        <f>#REF!</f>
        <v>#REF!</v>
      </c>
      <c r="E661" t="e">
        <f>#REF!</f>
        <v>#REF!</v>
      </c>
      <c r="G661" t="e">
        <f t="shared" si="51"/>
        <v>#REF!</v>
      </c>
      <c r="H661" t="e">
        <f t="shared" si="52"/>
        <v>#REF!</v>
      </c>
      <c r="I661" s="141" t="e">
        <f t="shared" si="53"/>
        <v>#REF!</v>
      </c>
      <c r="J661" t="e">
        <f t="shared" si="54"/>
        <v>#REF!</v>
      </c>
      <c r="K661" s="141" t="e">
        <f t="shared" si="55"/>
        <v>#REF!</v>
      </c>
    </row>
    <row r="662" spans="1:11" hidden="1" x14ac:dyDescent="0.25">
      <c r="A662" t="e">
        <f>#REF!</f>
        <v>#REF!</v>
      </c>
      <c r="B662" t="e">
        <f>#REF!</f>
        <v>#REF!</v>
      </c>
      <c r="C662" t="e">
        <f>#REF!</f>
        <v>#REF!</v>
      </c>
      <c r="D662" t="e">
        <f>#REF!</f>
        <v>#REF!</v>
      </c>
      <c r="E662" t="e">
        <f>#REF!</f>
        <v>#REF!</v>
      </c>
      <c r="G662" t="e">
        <f t="shared" si="51"/>
        <v>#REF!</v>
      </c>
      <c r="H662" t="e">
        <f t="shared" si="52"/>
        <v>#REF!</v>
      </c>
      <c r="I662" s="141" t="e">
        <f t="shared" si="53"/>
        <v>#REF!</v>
      </c>
      <c r="J662" t="e">
        <f t="shared" si="54"/>
        <v>#REF!</v>
      </c>
      <c r="K662" s="141" t="e">
        <f t="shared" si="55"/>
        <v>#REF!</v>
      </c>
    </row>
    <row r="663" spans="1:11" hidden="1" x14ac:dyDescent="0.25">
      <c r="A663" t="e">
        <f>#REF!</f>
        <v>#REF!</v>
      </c>
      <c r="B663" t="e">
        <f>#REF!</f>
        <v>#REF!</v>
      </c>
      <c r="C663" t="e">
        <f>#REF!</f>
        <v>#REF!</v>
      </c>
      <c r="D663" t="e">
        <f>#REF!</f>
        <v>#REF!</v>
      </c>
      <c r="E663" t="e">
        <f>#REF!</f>
        <v>#REF!</v>
      </c>
      <c r="G663" t="e">
        <f t="shared" si="51"/>
        <v>#REF!</v>
      </c>
      <c r="H663" t="e">
        <f t="shared" si="52"/>
        <v>#REF!</v>
      </c>
      <c r="I663" s="141" t="e">
        <f t="shared" si="53"/>
        <v>#REF!</v>
      </c>
      <c r="J663" t="e">
        <f t="shared" si="54"/>
        <v>#REF!</v>
      </c>
      <c r="K663" s="141" t="e">
        <f t="shared" si="55"/>
        <v>#REF!</v>
      </c>
    </row>
    <row r="664" spans="1:11" hidden="1" x14ac:dyDescent="0.25">
      <c r="A664" t="e">
        <f>#REF!</f>
        <v>#REF!</v>
      </c>
      <c r="B664" t="e">
        <f>#REF!</f>
        <v>#REF!</v>
      </c>
      <c r="C664" t="e">
        <f>#REF!</f>
        <v>#REF!</v>
      </c>
      <c r="D664" t="e">
        <f>#REF!</f>
        <v>#REF!</v>
      </c>
      <c r="E664" t="e">
        <f>#REF!</f>
        <v>#REF!</v>
      </c>
      <c r="G664" t="e">
        <f t="shared" si="51"/>
        <v>#REF!</v>
      </c>
      <c r="H664" t="e">
        <f t="shared" si="52"/>
        <v>#REF!</v>
      </c>
      <c r="I664" s="141" t="e">
        <f t="shared" si="53"/>
        <v>#REF!</v>
      </c>
      <c r="J664" t="e">
        <f t="shared" si="54"/>
        <v>#REF!</v>
      </c>
      <c r="K664" s="141" t="e">
        <f t="shared" si="55"/>
        <v>#REF!</v>
      </c>
    </row>
    <row r="665" spans="1:11" hidden="1" x14ac:dyDescent="0.25">
      <c r="A665" t="e">
        <f>#REF!</f>
        <v>#REF!</v>
      </c>
      <c r="B665" t="e">
        <f>#REF!</f>
        <v>#REF!</v>
      </c>
      <c r="C665" t="e">
        <f>#REF!</f>
        <v>#REF!</v>
      </c>
      <c r="D665" t="e">
        <f>#REF!</f>
        <v>#REF!</v>
      </c>
      <c r="E665" t="e">
        <f>#REF!</f>
        <v>#REF!</v>
      </c>
      <c r="G665" t="e">
        <f t="shared" si="51"/>
        <v>#REF!</v>
      </c>
      <c r="H665" t="e">
        <f t="shared" si="52"/>
        <v>#REF!</v>
      </c>
      <c r="I665" s="141" t="e">
        <f t="shared" si="53"/>
        <v>#REF!</v>
      </c>
      <c r="J665" t="e">
        <f t="shared" si="54"/>
        <v>#REF!</v>
      </c>
      <c r="K665" s="141" t="e">
        <f t="shared" si="55"/>
        <v>#REF!</v>
      </c>
    </row>
    <row r="666" spans="1:11" hidden="1" x14ac:dyDescent="0.25">
      <c r="A666" t="e">
        <f>#REF!</f>
        <v>#REF!</v>
      </c>
      <c r="B666" t="e">
        <f>#REF!</f>
        <v>#REF!</v>
      </c>
      <c r="C666" t="e">
        <f>#REF!</f>
        <v>#REF!</v>
      </c>
      <c r="D666" t="e">
        <f>#REF!</f>
        <v>#REF!</v>
      </c>
      <c r="E666" t="e">
        <f>#REF!</f>
        <v>#REF!</v>
      </c>
      <c r="G666" t="e">
        <f t="shared" si="51"/>
        <v>#REF!</v>
      </c>
      <c r="H666" t="e">
        <f t="shared" si="52"/>
        <v>#REF!</v>
      </c>
      <c r="I666" s="141" t="e">
        <f t="shared" si="53"/>
        <v>#REF!</v>
      </c>
      <c r="J666" t="e">
        <f t="shared" si="54"/>
        <v>#REF!</v>
      </c>
      <c r="K666" s="141" t="e">
        <f t="shared" si="55"/>
        <v>#REF!</v>
      </c>
    </row>
    <row r="667" spans="1:11" hidden="1" x14ac:dyDescent="0.25">
      <c r="A667" t="e">
        <f>#REF!</f>
        <v>#REF!</v>
      </c>
      <c r="B667" t="e">
        <f>#REF!</f>
        <v>#REF!</v>
      </c>
      <c r="C667" t="e">
        <f>#REF!</f>
        <v>#REF!</v>
      </c>
      <c r="D667" t="e">
        <f>#REF!</f>
        <v>#REF!</v>
      </c>
      <c r="E667" t="e">
        <f>#REF!</f>
        <v>#REF!</v>
      </c>
      <c r="G667" t="e">
        <f t="shared" si="51"/>
        <v>#REF!</v>
      </c>
      <c r="H667" t="e">
        <f t="shared" si="52"/>
        <v>#REF!</v>
      </c>
      <c r="I667" s="141" t="e">
        <f t="shared" si="53"/>
        <v>#REF!</v>
      </c>
      <c r="J667" t="e">
        <f t="shared" si="54"/>
        <v>#REF!</v>
      </c>
      <c r="K667" s="141" t="e">
        <f t="shared" si="55"/>
        <v>#REF!</v>
      </c>
    </row>
    <row r="668" spans="1:11" hidden="1" x14ac:dyDescent="0.25">
      <c r="A668" t="e">
        <f>#REF!</f>
        <v>#REF!</v>
      </c>
      <c r="B668" t="e">
        <f>#REF!</f>
        <v>#REF!</v>
      </c>
      <c r="C668" t="e">
        <f>#REF!</f>
        <v>#REF!</v>
      </c>
      <c r="D668" t="e">
        <f>#REF!</f>
        <v>#REF!</v>
      </c>
      <c r="E668" t="e">
        <f>#REF!</f>
        <v>#REF!</v>
      </c>
      <c r="G668" t="e">
        <f t="shared" si="51"/>
        <v>#REF!</v>
      </c>
      <c r="H668" t="e">
        <f t="shared" si="52"/>
        <v>#REF!</v>
      </c>
      <c r="I668" s="141" t="e">
        <f t="shared" si="53"/>
        <v>#REF!</v>
      </c>
      <c r="J668" t="e">
        <f t="shared" si="54"/>
        <v>#REF!</v>
      </c>
      <c r="K668" s="141" t="e">
        <f t="shared" si="55"/>
        <v>#REF!</v>
      </c>
    </row>
    <row r="669" spans="1:11" hidden="1" x14ac:dyDescent="0.25">
      <c r="A669" t="e">
        <f>#REF!</f>
        <v>#REF!</v>
      </c>
      <c r="B669" t="e">
        <f>#REF!</f>
        <v>#REF!</v>
      </c>
      <c r="C669" t="e">
        <f>#REF!</f>
        <v>#REF!</v>
      </c>
      <c r="D669" t="e">
        <f>#REF!</f>
        <v>#REF!</v>
      </c>
      <c r="E669" t="e">
        <f>#REF!</f>
        <v>#REF!</v>
      </c>
      <c r="G669" t="e">
        <f t="shared" si="51"/>
        <v>#REF!</v>
      </c>
      <c r="H669" t="e">
        <f t="shared" si="52"/>
        <v>#REF!</v>
      </c>
      <c r="I669" s="141" t="e">
        <f t="shared" si="53"/>
        <v>#REF!</v>
      </c>
      <c r="J669" t="e">
        <f t="shared" si="54"/>
        <v>#REF!</v>
      </c>
      <c r="K669" s="141" t="e">
        <f t="shared" si="55"/>
        <v>#REF!</v>
      </c>
    </row>
    <row r="670" spans="1:11" hidden="1" x14ac:dyDescent="0.25">
      <c r="A670" t="e">
        <f>#REF!</f>
        <v>#REF!</v>
      </c>
      <c r="B670" t="e">
        <f>#REF!</f>
        <v>#REF!</v>
      </c>
      <c r="C670" t="e">
        <f>#REF!</f>
        <v>#REF!</v>
      </c>
      <c r="D670" t="e">
        <f>#REF!</f>
        <v>#REF!</v>
      </c>
      <c r="E670" t="e">
        <f>#REF!</f>
        <v>#REF!</v>
      </c>
      <c r="G670" t="e">
        <f t="shared" si="51"/>
        <v>#REF!</v>
      </c>
      <c r="H670" t="e">
        <f t="shared" si="52"/>
        <v>#REF!</v>
      </c>
      <c r="I670" s="141" t="e">
        <f t="shared" si="53"/>
        <v>#REF!</v>
      </c>
      <c r="J670" t="e">
        <f t="shared" si="54"/>
        <v>#REF!</v>
      </c>
      <c r="K670" s="141" t="e">
        <f t="shared" si="55"/>
        <v>#REF!</v>
      </c>
    </row>
    <row r="671" spans="1:11" hidden="1" x14ac:dyDescent="0.25">
      <c r="A671" t="e">
        <f>#REF!</f>
        <v>#REF!</v>
      </c>
      <c r="B671" t="e">
        <f>#REF!</f>
        <v>#REF!</v>
      </c>
      <c r="C671" t="e">
        <f>#REF!</f>
        <v>#REF!</v>
      </c>
      <c r="D671" t="e">
        <f>#REF!</f>
        <v>#REF!</v>
      </c>
      <c r="E671" t="e">
        <f>#REF!</f>
        <v>#REF!</v>
      </c>
      <c r="G671" t="e">
        <f t="shared" si="51"/>
        <v>#REF!</v>
      </c>
      <c r="H671" t="e">
        <f t="shared" si="52"/>
        <v>#REF!</v>
      </c>
      <c r="I671" s="141" t="e">
        <f t="shared" si="53"/>
        <v>#REF!</v>
      </c>
      <c r="J671" t="e">
        <f t="shared" si="54"/>
        <v>#REF!</v>
      </c>
      <c r="K671" s="141" t="e">
        <f t="shared" si="55"/>
        <v>#REF!</v>
      </c>
    </row>
    <row r="672" spans="1:11" hidden="1" x14ac:dyDescent="0.25">
      <c r="A672" t="e">
        <f>#REF!</f>
        <v>#REF!</v>
      </c>
      <c r="B672" t="e">
        <f>#REF!</f>
        <v>#REF!</v>
      </c>
      <c r="C672" t="e">
        <f>#REF!</f>
        <v>#REF!</v>
      </c>
      <c r="D672" t="e">
        <f>#REF!</f>
        <v>#REF!</v>
      </c>
      <c r="E672" t="e">
        <f>#REF!</f>
        <v>#REF!</v>
      </c>
      <c r="G672" t="e">
        <f t="shared" si="51"/>
        <v>#REF!</v>
      </c>
      <c r="H672" t="e">
        <f t="shared" si="52"/>
        <v>#REF!</v>
      </c>
      <c r="I672" s="141" t="e">
        <f t="shared" si="53"/>
        <v>#REF!</v>
      </c>
      <c r="J672" t="e">
        <f t="shared" si="54"/>
        <v>#REF!</v>
      </c>
      <c r="K672" s="141" t="e">
        <f t="shared" si="55"/>
        <v>#REF!</v>
      </c>
    </row>
    <row r="673" spans="1:11" hidden="1" x14ac:dyDescent="0.25">
      <c r="A673" t="e">
        <f>#REF!</f>
        <v>#REF!</v>
      </c>
      <c r="B673" t="e">
        <f>#REF!</f>
        <v>#REF!</v>
      </c>
      <c r="C673" t="e">
        <f>#REF!</f>
        <v>#REF!</v>
      </c>
      <c r="D673" t="e">
        <f>#REF!</f>
        <v>#REF!</v>
      </c>
      <c r="E673" t="e">
        <f>#REF!</f>
        <v>#REF!</v>
      </c>
      <c r="G673" t="e">
        <f t="shared" si="51"/>
        <v>#REF!</v>
      </c>
      <c r="H673" t="e">
        <f t="shared" si="52"/>
        <v>#REF!</v>
      </c>
      <c r="I673" s="141" t="e">
        <f t="shared" si="53"/>
        <v>#REF!</v>
      </c>
      <c r="J673" t="e">
        <f t="shared" si="54"/>
        <v>#REF!</v>
      </c>
      <c r="K673" s="141" t="e">
        <f t="shared" si="55"/>
        <v>#REF!</v>
      </c>
    </row>
    <row r="674" spans="1:11" hidden="1" x14ac:dyDescent="0.25">
      <c r="A674" t="e">
        <f>#REF!</f>
        <v>#REF!</v>
      </c>
      <c r="B674" t="e">
        <f>#REF!</f>
        <v>#REF!</v>
      </c>
      <c r="C674" t="e">
        <f>#REF!</f>
        <v>#REF!</v>
      </c>
      <c r="D674" t="e">
        <f>#REF!</f>
        <v>#REF!</v>
      </c>
      <c r="E674" t="e">
        <f>#REF!</f>
        <v>#REF!</v>
      </c>
      <c r="G674" t="e">
        <f t="shared" si="51"/>
        <v>#REF!</v>
      </c>
      <c r="H674" t="e">
        <f t="shared" si="52"/>
        <v>#REF!</v>
      </c>
      <c r="I674" s="141" t="e">
        <f t="shared" si="53"/>
        <v>#REF!</v>
      </c>
      <c r="J674" t="e">
        <f t="shared" si="54"/>
        <v>#REF!</v>
      </c>
      <c r="K674" s="141" t="e">
        <f t="shared" si="55"/>
        <v>#REF!</v>
      </c>
    </row>
    <row r="675" spans="1:11" hidden="1" x14ac:dyDescent="0.25">
      <c r="A675" t="e">
        <f>#REF!</f>
        <v>#REF!</v>
      </c>
      <c r="B675" t="e">
        <f>#REF!</f>
        <v>#REF!</v>
      </c>
      <c r="C675" t="e">
        <f>#REF!</f>
        <v>#REF!</v>
      </c>
      <c r="D675" t="e">
        <f>#REF!</f>
        <v>#REF!</v>
      </c>
      <c r="E675" t="e">
        <f>#REF!</f>
        <v>#REF!</v>
      </c>
      <c r="G675" t="e">
        <f t="shared" si="51"/>
        <v>#REF!</v>
      </c>
      <c r="H675" t="e">
        <f t="shared" si="52"/>
        <v>#REF!</v>
      </c>
      <c r="I675" s="141" t="e">
        <f t="shared" si="53"/>
        <v>#REF!</v>
      </c>
      <c r="J675" t="e">
        <f t="shared" si="54"/>
        <v>#REF!</v>
      </c>
      <c r="K675" s="141" t="e">
        <f t="shared" si="55"/>
        <v>#REF!</v>
      </c>
    </row>
    <row r="676" spans="1:11" hidden="1" x14ac:dyDescent="0.25">
      <c r="A676" t="e">
        <f>#REF!</f>
        <v>#REF!</v>
      </c>
      <c r="B676" t="e">
        <f>#REF!</f>
        <v>#REF!</v>
      </c>
      <c r="C676" t="e">
        <f>#REF!</f>
        <v>#REF!</v>
      </c>
      <c r="D676" t="e">
        <f>#REF!</f>
        <v>#REF!</v>
      </c>
      <c r="E676" t="e">
        <f>#REF!</f>
        <v>#REF!</v>
      </c>
      <c r="G676" t="e">
        <f t="shared" si="51"/>
        <v>#REF!</v>
      </c>
      <c r="H676" t="e">
        <f t="shared" si="52"/>
        <v>#REF!</v>
      </c>
      <c r="I676" s="141" t="e">
        <f t="shared" si="53"/>
        <v>#REF!</v>
      </c>
      <c r="J676" t="e">
        <f t="shared" si="54"/>
        <v>#REF!</v>
      </c>
      <c r="K676" s="141" t="e">
        <f t="shared" si="55"/>
        <v>#REF!</v>
      </c>
    </row>
    <row r="677" spans="1:11" hidden="1" x14ac:dyDescent="0.25">
      <c r="A677" t="e">
        <f>#REF!</f>
        <v>#REF!</v>
      </c>
      <c r="B677" t="e">
        <f>#REF!</f>
        <v>#REF!</v>
      </c>
      <c r="C677" t="e">
        <f>#REF!</f>
        <v>#REF!</v>
      </c>
      <c r="D677" t="e">
        <f>#REF!</f>
        <v>#REF!</v>
      </c>
      <c r="E677" t="e">
        <f>#REF!</f>
        <v>#REF!</v>
      </c>
      <c r="G677" t="e">
        <f t="shared" si="51"/>
        <v>#REF!</v>
      </c>
      <c r="H677" t="e">
        <f t="shared" si="52"/>
        <v>#REF!</v>
      </c>
      <c r="I677" s="141" t="e">
        <f t="shared" si="53"/>
        <v>#REF!</v>
      </c>
      <c r="J677" t="e">
        <f t="shared" si="54"/>
        <v>#REF!</v>
      </c>
      <c r="K677" s="141" t="e">
        <f t="shared" si="55"/>
        <v>#REF!</v>
      </c>
    </row>
    <row r="678" spans="1:11" hidden="1" x14ac:dyDescent="0.25">
      <c r="A678" t="e">
        <f>#REF!</f>
        <v>#REF!</v>
      </c>
      <c r="B678" t="e">
        <f>#REF!</f>
        <v>#REF!</v>
      </c>
      <c r="C678" t="e">
        <f>#REF!</f>
        <v>#REF!</v>
      </c>
      <c r="D678" t="e">
        <f>#REF!</f>
        <v>#REF!</v>
      </c>
      <c r="E678" t="e">
        <f>#REF!</f>
        <v>#REF!</v>
      </c>
      <c r="G678" t="e">
        <f t="shared" si="51"/>
        <v>#REF!</v>
      </c>
      <c r="H678" t="e">
        <f t="shared" si="52"/>
        <v>#REF!</v>
      </c>
      <c r="I678" s="141" t="e">
        <f t="shared" si="53"/>
        <v>#REF!</v>
      </c>
      <c r="J678" t="e">
        <f t="shared" si="54"/>
        <v>#REF!</v>
      </c>
      <c r="K678" s="141" t="e">
        <f t="shared" si="55"/>
        <v>#REF!</v>
      </c>
    </row>
    <row r="679" spans="1:11" hidden="1" x14ac:dyDescent="0.25">
      <c r="A679" t="e">
        <f>#REF!</f>
        <v>#REF!</v>
      </c>
      <c r="B679" t="e">
        <f>#REF!</f>
        <v>#REF!</v>
      </c>
      <c r="C679" t="e">
        <f>#REF!</f>
        <v>#REF!</v>
      </c>
      <c r="D679" t="e">
        <f>#REF!</f>
        <v>#REF!</v>
      </c>
      <c r="E679" t="e">
        <f>#REF!</f>
        <v>#REF!</v>
      </c>
      <c r="G679" t="e">
        <f t="shared" si="51"/>
        <v>#REF!</v>
      </c>
      <c r="H679" t="e">
        <f t="shared" si="52"/>
        <v>#REF!</v>
      </c>
      <c r="I679" s="141" t="e">
        <f t="shared" si="53"/>
        <v>#REF!</v>
      </c>
      <c r="J679" t="e">
        <f t="shared" si="54"/>
        <v>#REF!</v>
      </c>
      <c r="K679" s="141" t="e">
        <f t="shared" si="55"/>
        <v>#REF!</v>
      </c>
    </row>
    <row r="680" spans="1:11" hidden="1" x14ac:dyDescent="0.25">
      <c r="A680" t="e">
        <f>#REF!</f>
        <v>#REF!</v>
      </c>
      <c r="B680" t="e">
        <f>#REF!</f>
        <v>#REF!</v>
      </c>
      <c r="C680" t="e">
        <f>#REF!</f>
        <v>#REF!</v>
      </c>
      <c r="D680" t="e">
        <f>#REF!</f>
        <v>#REF!</v>
      </c>
      <c r="E680" t="e">
        <f>#REF!</f>
        <v>#REF!</v>
      </c>
      <c r="G680" t="e">
        <f t="shared" si="51"/>
        <v>#REF!</v>
      </c>
      <c r="H680" t="e">
        <f t="shared" si="52"/>
        <v>#REF!</v>
      </c>
      <c r="I680" s="141" t="e">
        <f t="shared" si="53"/>
        <v>#REF!</v>
      </c>
      <c r="J680" t="e">
        <f t="shared" si="54"/>
        <v>#REF!</v>
      </c>
      <c r="K680" s="141" t="e">
        <f t="shared" si="55"/>
        <v>#REF!</v>
      </c>
    </row>
    <row r="681" spans="1:11" hidden="1" x14ac:dyDescent="0.25">
      <c r="A681" t="e">
        <f>#REF!</f>
        <v>#REF!</v>
      </c>
      <c r="B681" t="e">
        <f>#REF!</f>
        <v>#REF!</v>
      </c>
      <c r="C681" t="e">
        <f>#REF!</f>
        <v>#REF!</v>
      </c>
      <c r="D681" t="e">
        <f>#REF!</f>
        <v>#REF!</v>
      </c>
      <c r="E681" t="e">
        <f>#REF!</f>
        <v>#REF!</v>
      </c>
      <c r="G681" t="e">
        <f t="shared" si="51"/>
        <v>#REF!</v>
      </c>
      <c r="H681" t="e">
        <f t="shared" si="52"/>
        <v>#REF!</v>
      </c>
      <c r="I681" s="141" t="e">
        <f t="shared" si="53"/>
        <v>#REF!</v>
      </c>
      <c r="J681" t="e">
        <f t="shared" si="54"/>
        <v>#REF!</v>
      </c>
      <c r="K681" s="141" t="e">
        <f t="shared" si="55"/>
        <v>#REF!</v>
      </c>
    </row>
    <row r="682" spans="1:11" hidden="1" x14ac:dyDescent="0.25">
      <c r="A682" t="e">
        <f>#REF!</f>
        <v>#REF!</v>
      </c>
      <c r="B682" t="e">
        <f>#REF!</f>
        <v>#REF!</v>
      </c>
      <c r="C682" t="e">
        <f>#REF!</f>
        <v>#REF!</v>
      </c>
      <c r="D682" t="e">
        <f>#REF!</f>
        <v>#REF!</v>
      </c>
      <c r="E682" t="e">
        <f>#REF!</f>
        <v>#REF!</v>
      </c>
      <c r="G682" t="e">
        <f t="shared" si="51"/>
        <v>#REF!</v>
      </c>
      <c r="H682" t="e">
        <f t="shared" si="52"/>
        <v>#REF!</v>
      </c>
      <c r="I682" s="141" t="e">
        <f t="shared" si="53"/>
        <v>#REF!</v>
      </c>
      <c r="J682" t="e">
        <f t="shared" si="54"/>
        <v>#REF!</v>
      </c>
      <c r="K682" s="141" t="e">
        <f t="shared" si="55"/>
        <v>#REF!</v>
      </c>
    </row>
    <row r="683" spans="1:11" hidden="1" x14ac:dyDescent="0.25">
      <c r="A683" t="e">
        <f>#REF!</f>
        <v>#REF!</v>
      </c>
      <c r="B683" t="e">
        <f>#REF!</f>
        <v>#REF!</v>
      </c>
      <c r="C683" t="e">
        <f>#REF!</f>
        <v>#REF!</v>
      </c>
      <c r="D683" t="e">
        <f>#REF!</f>
        <v>#REF!</v>
      </c>
      <c r="E683" t="e">
        <f>#REF!</f>
        <v>#REF!</v>
      </c>
      <c r="G683" t="e">
        <f t="shared" si="51"/>
        <v>#REF!</v>
      </c>
      <c r="H683" t="e">
        <f t="shared" si="52"/>
        <v>#REF!</v>
      </c>
      <c r="I683" s="141" t="e">
        <f t="shared" si="53"/>
        <v>#REF!</v>
      </c>
      <c r="J683" t="e">
        <f t="shared" si="54"/>
        <v>#REF!</v>
      </c>
      <c r="K683" s="141" t="e">
        <f t="shared" si="55"/>
        <v>#REF!</v>
      </c>
    </row>
    <row r="684" spans="1:11" hidden="1" x14ac:dyDescent="0.25">
      <c r="A684" t="e">
        <f>#REF!</f>
        <v>#REF!</v>
      </c>
      <c r="B684" t="e">
        <f>#REF!</f>
        <v>#REF!</v>
      </c>
      <c r="C684" t="e">
        <f>#REF!</f>
        <v>#REF!</v>
      </c>
      <c r="D684" t="e">
        <f>#REF!</f>
        <v>#REF!</v>
      </c>
      <c r="E684" t="e">
        <f>#REF!</f>
        <v>#REF!</v>
      </c>
      <c r="G684" t="e">
        <f t="shared" si="51"/>
        <v>#REF!</v>
      </c>
      <c r="H684" t="e">
        <f t="shared" si="52"/>
        <v>#REF!</v>
      </c>
      <c r="I684" s="141" t="e">
        <f t="shared" si="53"/>
        <v>#REF!</v>
      </c>
      <c r="J684" t="e">
        <f t="shared" si="54"/>
        <v>#REF!</v>
      </c>
      <c r="K684" s="141" t="e">
        <f t="shared" si="55"/>
        <v>#REF!</v>
      </c>
    </row>
    <row r="685" spans="1:11" hidden="1" x14ac:dyDescent="0.25">
      <c r="A685" t="e">
        <f>#REF!</f>
        <v>#REF!</v>
      </c>
      <c r="B685" t="e">
        <f>#REF!</f>
        <v>#REF!</v>
      </c>
      <c r="C685" t="e">
        <f>#REF!</f>
        <v>#REF!</v>
      </c>
      <c r="D685" t="e">
        <f>#REF!</f>
        <v>#REF!</v>
      </c>
      <c r="E685" t="e">
        <f>#REF!</f>
        <v>#REF!</v>
      </c>
      <c r="G685" t="e">
        <f t="shared" si="51"/>
        <v>#REF!</v>
      </c>
      <c r="H685" t="e">
        <f t="shared" si="52"/>
        <v>#REF!</v>
      </c>
      <c r="I685" s="141" t="e">
        <f t="shared" si="53"/>
        <v>#REF!</v>
      </c>
      <c r="J685" t="e">
        <f t="shared" si="54"/>
        <v>#REF!</v>
      </c>
      <c r="K685" s="141" t="e">
        <f t="shared" si="55"/>
        <v>#REF!</v>
      </c>
    </row>
    <row r="686" spans="1:11" hidden="1" x14ac:dyDescent="0.25">
      <c r="A686" t="e">
        <f>#REF!</f>
        <v>#REF!</v>
      </c>
      <c r="B686" t="e">
        <f>#REF!</f>
        <v>#REF!</v>
      </c>
      <c r="C686" t="e">
        <f>#REF!</f>
        <v>#REF!</v>
      </c>
      <c r="D686" t="e">
        <f>#REF!</f>
        <v>#REF!</v>
      </c>
      <c r="E686" t="e">
        <f>#REF!</f>
        <v>#REF!</v>
      </c>
      <c r="G686" t="e">
        <f t="shared" si="51"/>
        <v>#REF!</v>
      </c>
      <c r="H686" t="e">
        <f t="shared" si="52"/>
        <v>#REF!</v>
      </c>
      <c r="I686" s="141" t="e">
        <f t="shared" si="53"/>
        <v>#REF!</v>
      </c>
      <c r="J686" t="e">
        <f t="shared" si="54"/>
        <v>#REF!</v>
      </c>
      <c r="K686" s="141" t="e">
        <f t="shared" si="55"/>
        <v>#REF!</v>
      </c>
    </row>
    <row r="687" spans="1:11" hidden="1" x14ac:dyDescent="0.25">
      <c r="A687" t="e">
        <f>#REF!</f>
        <v>#REF!</v>
      </c>
      <c r="B687" t="e">
        <f>#REF!</f>
        <v>#REF!</v>
      </c>
      <c r="C687" t="e">
        <f>#REF!</f>
        <v>#REF!</v>
      </c>
      <c r="D687" t="e">
        <f>#REF!</f>
        <v>#REF!</v>
      </c>
      <c r="E687" t="e">
        <f>#REF!</f>
        <v>#REF!</v>
      </c>
      <c r="G687" t="e">
        <f t="shared" si="51"/>
        <v>#REF!</v>
      </c>
      <c r="H687" t="e">
        <f t="shared" si="52"/>
        <v>#REF!</v>
      </c>
      <c r="I687" s="141" t="e">
        <f t="shared" si="53"/>
        <v>#REF!</v>
      </c>
      <c r="J687" t="e">
        <f t="shared" si="54"/>
        <v>#REF!</v>
      </c>
      <c r="K687" s="141" t="e">
        <f t="shared" si="55"/>
        <v>#REF!</v>
      </c>
    </row>
    <row r="688" spans="1:11" hidden="1" x14ac:dyDescent="0.25">
      <c r="A688" t="e">
        <f>#REF!</f>
        <v>#REF!</v>
      </c>
      <c r="B688" t="e">
        <f>#REF!</f>
        <v>#REF!</v>
      </c>
      <c r="C688" t="e">
        <f>#REF!</f>
        <v>#REF!</v>
      </c>
      <c r="D688" t="e">
        <f>#REF!</f>
        <v>#REF!</v>
      </c>
      <c r="E688" t="e">
        <f>#REF!</f>
        <v>#REF!</v>
      </c>
      <c r="G688" t="e">
        <f t="shared" si="51"/>
        <v>#REF!</v>
      </c>
      <c r="H688" t="e">
        <f t="shared" si="52"/>
        <v>#REF!</v>
      </c>
      <c r="I688" s="141" t="e">
        <f t="shared" si="53"/>
        <v>#REF!</v>
      </c>
      <c r="J688" t="e">
        <f t="shared" si="54"/>
        <v>#REF!</v>
      </c>
      <c r="K688" s="141" t="e">
        <f t="shared" si="55"/>
        <v>#REF!</v>
      </c>
    </row>
    <row r="689" spans="1:11" hidden="1" x14ac:dyDescent="0.25">
      <c r="A689" t="e">
        <f>#REF!</f>
        <v>#REF!</v>
      </c>
      <c r="B689" t="e">
        <f>#REF!</f>
        <v>#REF!</v>
      </c>
      <c r="C689" t="e">
        <f>#REF!</f>
        <v>#REF!</v>
      </c>
      <c r="D689" t="e">
        <f>#REF!</f>
        <v>#REF!</v>
      </c>
      <c r="E689" t="e">
        <f>#REF!</f>
        <v>#REF!</v>
      </c>
      <c r="G689" t="e">
        <f t="shared" si="51"/>
        <v>#REF!</v>
      </c>
      <c r="H689" t="e">
        <f t="shared" si="52"/>
        <v>#REF!</v>
      </c>
      <c r="I689" s="141" t="e">
        <f t="shared" si="53"/>
        <v>#REF!</v>
      </c>
      <c r="J689" t="e">
        <f t="shared" si="54"/>
        <v>#REF!</v>
      </c>
      <c r="K689" s="141" t="e">
        <f t="shared" si="55"/>
        <v>#REF!</v>
      </c>
    </row>
    <row r="690" spans="1:11" hidden="1" x14ac:dyDescent="0.25">
      <c r="A690" t="e">
        <f>#REF!</f>
        <v>#REF!</v>
      </c>
      <c r="B690" t="e">
        <f>#REF!</f>
        <v>#REF!</v>
      </c>
      <c r="C690" t="e">
        <f>#REF!</f>
        <v>#REF!</v>
      </c>
      <c r="D690" t="e">
        <f>#REF!</f>
        <v>#REF!</v>
      </c>
      <c r="E690" t="e">
        <f>#REF!</f>
        <v>#REF!</v>
      </c>
      <c r="G690" t="e">
        <f t="shared" si="51"/>
        <v>#REF!</v>
      </c>
      <c r="H690" t="e">
        <f t="shared" si="52"/>
        <v>#REF!</v>
      </c>
      <c r="I690" s="141" t="e">
        <f t="shared" si="53"/>
        <v>#REF!</v>
      </c>
      <c r="J690" t="e">
        <f t="shared" si="54"/>
        <v>#REF!</v>
      </c>
      <c r="K690" s="141" t="e">
        <f t="shared" si="55"/>
        <v>#REF!</v>
      </c>
    </row>
    <row r="691" spans="1:11" hidden="1" x14ac:dyDescent="0.25">
      <c r="A691" t="e">
        <f>#REF!</f>
        <v>#REF!</v>
      </c>
      <c r="B691" t="e">
        <f>#REF!</f>
        <v>#REF!</v>
      </c>
      <c r="C691" t="e">
        <f>#REF!</f>
        <v>#REF!</v>
      </c>
      <c r="D691" t="e">
        <f>#REF!</f>
        <v>#REF!</v>
      </c>
      <c r="E691" t="e">
        <f>#REF!</f>
        <v>#REF!</v>
      </c>
      <c r="G691" t="e">
        <f t="shared" si="51"/>
        <v>#REF!</v>
      </c>
      <c r="H691" t="e">
        <f t="shared" si="52"/>
        <v>#REF!</v>
      </c>
      <c r="I691" s="141" t="e">
        <f t="shared" si="53"/>
        <v>#REF!</v>
      </c>
      <c r="J691" t="e">
        <f t="shared" si="54"/>
        <v>#REF!</v>
      </c>
      <c r="K691" s="141" t="e">
        <f t="shared" si="55"/>
        <v>#REF!</v>
      </c>
    </row>
    <row r="692" spans="1:11" hidden="1" x14ac:dyDescent="0.25">
      <c r="A692" t="e">
        <f>#REF!</f>
        <v>#REF!</v>
      </c>
      <c r="B692" t="e">
        <f>#REF!</f>
        <v>#REF!</v>
      </c>
      <c r="C692" t="e">
        <f>#REF!</f>
        <v>#REF!</v>
      </c>
      <c r="D692" t="e">
        <f>#REF!</f>
        <v>#REF!</v>
      </c>
      <c r="E692" t="e">
        <f>#REF!</f>
        <v>#REF!</v>
      </c>
      <c r="G692" t="e">
        <f t="shared" si="51"/>
        <v>#REF!</v>
      </c>
      <c r="H692" t="e">
        <f t="shared" si="52"/>
        <v>#REF!</v>
      </c>
      <c r="I692" s="141" t="e">
        <f t="shared" si="53"/>
        <v>#REF!</v>
      </c>
      <c r="J692" t="e">
        <f t="shared" si="54"/>
        <v>#REF!</v>
      </c>
      <c r="K692" s="141" t="e">
        <f t="shared" si="55"/>
        <v>#REF!</v>
      </c>
    </row>
    <row r="693" spans="1:11" hidden="1" x14ac:dyDescent="0.25">
      <c r="A693" t="e">
        <f>#REF!</f>
        <v>#REF!</v>
      </c>
      <c r="B693" t="e">
        <f>#REF!</f>
        <v>#REF!</v>
      </c>
      <c r="C693" t="e">
        <f>#REF!</f>
        <v>#REF!</v>
      </c>
      <c r="D693" t="e">
        <f>#REF!</f>
        <v>#REF!</v>
      </c>
      <c r="E693" t="e">
        <f>#REF!</f>
        <v>#REF!</v>
      </c>
      <c r="G693" t="e">
        <f t="shared" si="51"/>
        <v>#REF!</v>
      </c>
      <c r="H693" t="e">
        <f t="shared" si="52"/>
        <v>#REF!</v>
      </c>
      <c r="I693" s="141" t="e">
        <f t="shared" si="53"/>
        <v>#REF!</v>
      </c>
      <c r="J693" t="e">
        <f t="shared" si="54"/>
        <v>#REF!</v>
      </c>
      <c r="K693" s="141" t="e">
        <f t="shared" si="55"/>
        <v>#REF!</v>
      </c>
    </row>
    <row r="694" spans="1:11" hidden="1" x14ac:dyDescent="0.25">
      <c r="A694" t="e">
        <f>#REF!</f>
        <v>#REF!</v>
      </c>
      <c r="B694" t="e">
        <f>#REF!</f>
        <v>#REF!</v>
      </c>
      <c r="C694" t="e">
        <f>#REF!</f>
        <v>#REF!</v>
      </c>
      <c r="D694" t="e">
        <f>#REF!</f>
        <v>#REF!</v>
      </c>
      <c r="E694" t="e">
        <f>#REF!</f>
        <v>#REF!</v>
      </c>
      <c r="G694" t="e">
        <f t="shared" si="51"/>
        <v>#REF!</v>
      </c>
      <c r="H694" t="e">
        <f t="shared" si="52"/>
        <v>#REF!</v>
      </c>
      <c r="I694" s="141" t="e">
        <f t="shared" si="53"/>
        <v>#REF!</v>
      </c>
      <c r="J694" t="e">
        <f t="shared" si="54"/>
        <v>#REF!</v>
      </c>
      <c r="K694" s="141" t="e">
        <f t="shared" si="55"/>
        <v>#REF!</v>
      </c>
    </row>
    <row r="695" spans="1:11" hidden="1" x14ac:dyDescent="0.25">
      <c r="A695" t="e">
        <f>#REF!</f>
        <v>#REF!</v>
      </c>
      <c r="B695" t="e">
        <f>#REF!</f>
        <v>#REF!</v>
      </c>
      <c r="C695" t="e">
        <f>#REF!</f>
        <v>#REF!</v>
      </c>
      <c r="D695" t="e">
        <f>#REF!</f>
        <v>#REF!</v>
      </c>
      <c r="E695" t="e">
        <f>#REF!</f>
        <v>#REF!</v>
      </c>
      <c r="G695" t="e">
        <f t="shared" si="51"/>
        <v>#REF!</v>
      </c>
      <c r="H695" t="e">
        <f t="shared" si="52"/>
        <v>#REF!</v>
      </c>
      <c r="I695" s="141" t="e">
        <f t="shared" si="53"/>
        <v>#REF!</v>
      </c>
      <c r="J695" t="e">
        <f t="shared" si="54"/>
        <v>#REF!</v>
      </c>
      <c r="K695" s="141" t="e">
        <f t="shared" si="55"/>
        <v>#REF!</v>
      </c>
    </row>
    <row r="696" spans="1:11" hidden="1" x14ac:dyDescent="0.25">
      <c r="A696" t="e">
        <f>#REF!</f>
        <v>#REF!</v>
      </c>
      <c r="B696" t="e">
        <f>#REF!</f>
        <v>#REF!</v>
      </c>
      <c r="C696" t="e">
        <f>#REF!</f>
        <v>#REF!</v>
      </c>
      <c r="D696" t="e">
        <f>#REF!</f>
        <v>#REF!</v>
      </c>
      <c r="E696" t="e">
        <f>#REF!</f>
        <v>#REF!</v>
      </c>
      <c r="G696" t="e">
        <f t="shared" si="51"/>
        <v>#REF!</v>
      </c>
      <c r="H696" t="e">
        <f t="shared" si="52"/>
        <v>#REF!</v>
      </c>
      <c r="I696" s="141" t="e">
        <f t="shared" si="53"/>
        <v>#REF!</v>
      </c>
      <c r="J696" t="e">
        <f t="shared" si="54"/>
        <v>#REF!</v>
      </c>
      <c r="K696" s="141" t="e">
        <f t="shared" si="55"/>
        <v>#REF!</v>
      </c>
    </row>
    <row r="697" spans="1:11" hidden="1" x14ac:dyDescent="0.25">
      <c r="A697" t="e">
        <f>#REF!</f>
        <v>#REF!</v>
      </c>
      <c r="B697" t="e">
        <f>#REF!</f>
        <v>#REF!</v>
      </c>
      <c r="C697" t="e">
        <f>#REF!</f>
        <v>#REF!</v>
      </c>
      <c r="D697" t="e">
        <f>#REF!</f>
        <v>#REF!</v>
      </c>
      <c r="E697" t="e">
        <f>#REF!</f>
        <v>#REF!</v>
      </c>
      <c r="G697" t="e">
        <f t="shared" si="51"/>
        <v>#REF!</v>
      </c>
      <c r="H697" t="e">
        <f t="shared" si="52"/>
        <v>#REF!</v>
      </c>
      <c r="I697" s="141" t="e">
        <f t="shared" si="53"/>
        <v>#REF!</v>
      </c>
      <c r="J697" t="e">
        <f t="shared" si="54"/>
        <v>#REF!</v>
      </c>
      <c r="K697" s="141" t="e">
        <f t="shared" si="55"/>
        <v>#REF!</v>
      </c>
    </row>
    <row r="698" spans="1:11" hidden="1" x14ac:dyDescent="0.25">
      <c r="A698" t="e">
        <f>#REF!</f>
        <v>#REF!</v>
      </c>
      <c r="B698" t="e">
        <f>#REF!</f>
        <v>#REF!</v>
      </c>
      <c r="C698" t="e">
        <f>#REF!</f>
        <v>#REF!</v>
      </c>
      <c r="D698" t="e">
        <f>#REF!</f>
        <v>#REF!</v>
      </c>
      <c r="E698" t="e">
        <f>#REF!</f>
        <v>#REF!</v>
      </c>
      <c r="G698" t="e">
        <f t="shared" si="51"/>
        <v>#REF!</v>
      </c>
      <c r="H698" t="e">
        <f t="shared" si="52"/>
        <v>#REF!</v>
      </c>
      <c r="I698" s="141" t="e">
        <f t="shared" si="53"/>
        <v>#REF!</v>
      </c>
      <c r="J698" t="e">
        <f t="shared" si="54"/>
        <v>#REF!</v>
      </c>
      <c r="K698" s="141" t="e">
        <f t="shared" si="55"/>
        <v>#REF!</v>
      </c>
    </row>
    <row r="699" spans="1:11" hidden="1" x14ac:dyDescent="0.25">
      <c r="A699" t="e">
        <f>#REF!</f>
        <v>#REF!</v>
      </c>
      <c r="B699" t="e">
        <f>#REF!</f>
        <v>#REF!</v>
      </c>
      <c r="C699" t="e">
        <f>#REF!</f>
        <v>#REF!</v>
      </c>
      <c r="D699" t="e">
        <f>#REF!</f>
        <v>#REF!</v>
      </c>
      <c r="E699" t="e">
        <f>#REF!</f>
        <v>#REF!</v>
      </c>
      <c r="G699" t="e">
        <f t="shared" si="51"/>
        <v>#REF!</v>
      </c>
      <c r="H699" t="e">
        <f t="shared" si="52"/>
        <v>#REF!</v>
      </c>
      <c r="I699" s="141" t="e">
        <f t="shared" si="53"/>
        <v>#REF!</v>
      </c>
      <c r="J699" t="e">
        <f t="shared" si="54"/>
        <v>#REF!</v>
      </c>
      <c r="K699" s="141" t="e">
        <f t="shared" si="55"/>
        <v>#REF!</v>
      </c>
    </row>
    <row r="700" spans="1:11" hidden="1" x14ac:dyDescent="0.25">
      <c r="A700" t="e">
        <f>#REF!</f>
        <v>#REF!</v>
      </c>
      <c r="B700" t="e">
        <f>#REF!</f>
        <v>#REF!</v>
      </c>
      <c r="C700" t="e">
        <f>#REF!</f>
        <v>#REF!</v>
      </c>
      <c r="D700" t="e">
        <f>#REF!</f>
        <v>#REF!</v>
      </c>
      <c r="E700" t="e">
        <f>#REF!</f>
        <v>#REF!</v>
      </c>
      <c r="G700" t="e">
        <f t="shared" si="51"/>
        <v>#REF!</v>
      </c>
      <c r="H700" t="e">
        <f t="shared" si="52"/>
        <v>#REF!</v>
      </c>
      <c r="I700" s="141" t="e">
        <f t="shared" si="53"/>
        <v>#REF!</v>
      </c>
      <c r="J700" t="e">
        <f t="shared" si="54"/>
        <v>#REF!</v>
      </c>
      <c r="K700" s="141" t="e">
        <f t="shared" si="55"/>
        <v>#REF!</v>
      </c>
    </row>
    <row r="701" spans="1:11" hidden="1" x14ac:dyDescent="0.25">
      <c r="A701" t="e">
        <f>#REF!</f>
        <v>#REF!</v>
      </c>
      <c r="B701" t="e">
        <f>#REF!</f>
        <v>#REF!</v>
      </c>
      <c r="C701" t="e">
        <f>#REF!</f>
        <v>#REF!</v>
      </c>
      <c r="D701" t="e">
        <f>#REF!</f>
        <v>#REF!</v>
      </c>
      <c r="E701" t="e">
        <f>#REF!</f>
        <v>#REF!</v>
      </c>
      <c r="G701" t="e">
        <f t="shared" si="51"/>
        <v>#REF!</v>
      </c>
      <c r="H701" t="e">
        <f t="shared" si="52"/>
        <v>#REF!</v>
      </c>
      <c r="I701" s="141" t="e">
        <f t="shared" si="53"/>
        <v>#REF!</v>
      </c>
      <c r="J701" t="e">
        <f t="shared" si="54"/>
        <v>#REF!</v>
      </c>
      <c r="K701" s="141" t="e">
        <f t="shared" si="55"/>
        <v>#REF!</v>
      </c>
    </row>
    <row r="702" spans="1:11" hidden="1" x14ac:dyDescent="0.25">
      <c r="A702" t="e">
        <f>#REF!</f>
        <v>#REF!</v>
      </c>
      <c r="B702" t="e">
        <f>#REF!</f>
        <v>#REF!</v>
      </c>
      <c r="C702" t="e">
        <f>#REF!</f>
        <v>#REF!</v>
      </c>
      <c r="D702" t="e">
        <f>#REF!</f>
        <v>#REF!</v>
      </c>
      <c r="E702" t="e">
        <f>#REF!</f>
        <v>#REF!</v>
      </c>
      <c r="G702" t="e">
        <f t="shared" si="51"/>
        <v>#REF!</v>
      </c>
      <c r="H702" t="e">
        <f t="shared" si="52"/>
        <v>#REF!</v>
      </c>
      <c r="I702" s="141" t="e">
        <f t="shared" si="53"/>
        <v>#REF!</v>
      </c>
      <c r="J702" t="e">
        <f t="shared" si="54"/>
        <v>#REF!</v>
      </c>
      <c r="K702" s="141" t="e">
        <f t="shared" si="55"/>
        <v>#REF!</v>
      </c>
    </row>
    <row r="703" spans="1:11" hidden="1" x14ac:dyDescent="0.25">
      <c r="A703" t="e">
        <f>#REF!</f>
        <v>#REF!</v>
      </c>
      <c r="B703" t="e">
        <f>#REF!</f>
        <v>#REF!</v>
      </c>
      <c r="C703" t="e">
        <f>#REF!</f>
        <v>#REF!</v>
      </c>
      <c r="D703" t="e">
        <f>#REF!</f>
        <v>#REF!</v>
      </c>
      <c r="E703" t="e">
        <f>#REF!</f>
        <v>#REF!</v>
      </c>
      <c r="G703" t="e">
        <f t="shared" si="51"/>
        <v>#REF!</v>
      </c>
      <c r="H703" t="e">
        <f t="shared" si="52"/>
        <v>#REF!</v>
      </c>
      <c r="I703" s="141" t="e">
        <f t="shared" si="53"/>
        <v>#REF!</v>
      </c>
      <c r="J703" t="e">
        <f t="shared" si="54"/>
        <v>#REF!</v>
      </c>
      <c r="K703" s="141" t="e">
        <f t="shared" si="55"/>
        <v>#REF!</v>
      </c>
    </row>
    <row r="704" spans="1:11" hidden="1" x14ac:dyDescent="0.25">
      <c r="A704" t="e">
        <f>#REF!</f>
        <v>#REF!</v>
      </c>
      <c r="B704" t="e">
        <f>#REF!</f>
        <v>#REF!</v>
      </c>
      <c r="C704" t="e">
        <f>#REF!</f>
        <v>#REF!</v>
      </c>
      <c r="D704" t="e">
        <f>#REF!</f>
        <v>#REF!</v>
      </c>
      <c r="E704" t="e">
        <f>#REF!</f>
        <v>#REF!</v>
      </c>
      <c r="G704" t="e">
        <f t="shared" si="51"/>
        <v>#REF!</v>
      </c>
      <c r="H704" t="e">
        <f t="shared" si="52"/>
        <v>#REF!</v>
      </c>
      <c r="I704" s="141" t="e">
        <f t="shared" si="53"/>
        <v>#REF!</v>
      </c>
      <c r="J704" t="e">
        <f t="shared" si="54"/>
        <v>#REF!</v>
      </c>
      <c r="K704" s="141" t="e">
        <f t="shared" si="55"/>
        <v>#REF!</v>
      </c>
    </row>
    <row r="705" spans="1:11" hidden="1" x14ac:dyDescent="0.25">
      <c r="A705" t="e">
        <f>#REF!</f>
        <v>#REF!</v>
      </c>
      <c r="B705" t="e">
        <f>#REF!</f>
        <v>#REF!</v>
      </c>
      <c r="C705" t="e">
        <f>#REF!</f>
        <v>#REF!</v>
      </c>
      <c r="D705" t="e">
        <f>#REF!</f>
        <v>#REF!</v>
      </c>
      <c r="E705" t="e">
        <f>#REF!</f>
        <v>#REF!</v>
      </c>
      <c r="G705" t="e">
        <f t="shared" si="51"/>
        <v>#REF!</v>
      </c>
      <c r="H705" t="e">
        <f t="shared" si="52"/>
        <v>#REF!</v>
      </c>
      <c r="I705" s="141" t="e">
        <f t="shared" si="53"/>
        <v>#REF!</v>
      </c>
      <c r="J705" t="e">
        <f t="shared" si="54"/>
        <v>#REF!</v>
      </c>
      <c r="K705" s="141" t="e">
        <f t="shared" si="55"/>
        <v>#REF!</v>
      </c>
    </row>
    <row r="706" spans="1:11" hidden="1" x14ac:dyDescent="0.25">
      <c r="A706" t="e">
        <f>#REF!</f>
        <v>#REF!</v>
      </c>
      <c r="B706" t="e">
        <f>#REF!</f>
        <v>#REF!</v>
      </c>
      <c r="C706" t="e">
        <f>#REF!</f>
        <v>#REF!</v>
      </c>
      <c r="D706" t="e">
        <f>#REF!</f>
        <v>#REF!</v>
      </c>
      <c r="E706" t="e">
        <f>#REF!</f>
        <v>#REF!</v>
      </c>
      <c r="G706" t="e">
        <f t="shared" ref="G706:G769" si="56">A706</f>
        <v>#REF!</v>
      </c>
      <c r="H706" t="e">
        <f t="shared" ref="H706:H769" si="57">B706</f>
        <v>#REF!</v>
      </c>
      <c r="I706" s="141" t="e">
        <f t="shared" ref="I706:I769" si="58">C706</f>
        <v>#REF!</v>
      </c>
      <c r="J706" t="e">
        <f t="shared" ref="J706:J769" si="59">D706</f>
        <v>#REF!</v>
      </c>
      <c r="K706" s="141" t="e">
        <f t="shared" ref="K706:K769" si="60">E706</f>
        <v>#REF!</v>
      </c>
    </row>
    <row r="707" spans="1:11" hidden="1" x14ac:dyDescent="0.25">
      <c r="A707" t="e">
        <f>#REF!</f>
        <v>#REF!</v>
      </c>
      <c r="B707" t="e">
        <f>#REF!</f>
        <v>#REF!</v>
      </c>
      <c r="C707" t="e">
        <f>#REF!</f>
        <v>#REF!</v>
      </c>
      <c r="D707" t="e">
        <f>#REF!</f>
        <v>#REF!</v>
      </c>
      <c r="E707" t="e">
        <f>#REF!</f>
        <v>#REF!</v>
      </c>
      <c r="G707" t="e">
        <f t="shared" si="56"/>
        <v>#REF!</v>
      </c>
      <c r="H707" t="e">
        <f t="shared" si="57"/>
        <v>#REF!</v>
      </c>
      <c r="I707" s="141" t="e">
        <f t="shared" si="58"/>
        <v>#REF!</v>
      </c>
      <c r="J707" t="e">
        <f t="shared" si="59"/>
        <v>#REF!</v>
      </c>
      <c r="K707" s="141" t="e">
        <f t="shared" si="60"/>
        <v>#REF!</v>
      </c>
    </row>
    <row r="708" spans="1:11" hidden="1" x14ac:dyDescent="0.25">
      <c r="A708" t="e">
        <f>#REF!</f>
        <v>#REF!</v>
      </c>
      <c r="B708" t="e">
        <f>#REF!</f>
        <v>#REF!</v>
      </c>
      <c r="C708" t="e">
        <f>#REF!</f>
        <v>#REF!</v>
      </c>
      <c r="D708" t="e">
        <f>#REF!</f>
        <v>#REF!</v>
      </c>
      <c r="E708" t="e">
        <f>#REF!</f>
        <v>#REF!</v>
      </c>
      <c r="G708" t="e">
        <f t="shared" si="56"/>
        <v>#REF!</v>
      </c>
      <c r="H708" t="e">
        <f t="shared" si="57"/>
        <v>#REF!</v>
      </c>
      <c r="I708" s="141" t="e">
        <f t="shared" si="58"/>
        <v>#REF!</v>
      </c>
      <c r="J708" t="e">
        <f t="shared" si="59"/>
        <v>#REF!</v>
      </c>
      <c r="K708" s="141" t="e">
        <f t="shared" si="60"/>
        <v>#REF!</v>
      </c>
    </row>
    <row r="709" spans="1:11" hidden="1" x14ac:dyDescent="0.25">
      <c r="A709" t="e">
        <f>#REF!</f>
        <v>#REF!</v>
      </c>
      <c r="B709" t="e">
        <f>#REF!</f>
        <v>#REF!</v>
      </c>
      <c r="C709" t="e">
        <f>#REF!</f>
        <v>#REF!</v>
      </c>
      <c r="D709" t="e">
        <f>#REF!</f>
        <v>#REF!</v>
      </c>
      <c r="E709" t="e">
        <f>#REF!</f>
        <v>#REF!</v>
      </c>
      <c r="G709" t="e">
        <f t="shared" si="56"/>
        <v>#REF!</v>
      </c>
      <c r="H709" t="e">
        <f t="shared" si="57"/>
        <v>#REF!</v>
      </c>
      <c r="I709" s="141" t="e">
        <f t="shared" si="58"/>
        <v>#REF!</v>
      </c>
      <c r="J709" t="e">
        <f t="shared" si="59"/>
        <v>#REF!</v>
      </c>
      <c r="K709" s="141" t="e">
        <f t="shared" si="60"/>
        <v>#REF!</v>
      </c>
    </row>
    <row r="710" spans="1:11" hidden="1" x14ac:dyDescent="0.25">
      <c r="A710" t="e">
        <f>#REF!</f>
        <v>#REF!</v>
      </c>
      <c r="B710" t="e">
        <f>#REF!</f>
        <v>#REF!</v>
      </c>
      <c r="C710" t="e">
        <f>#REF!</f>
        <v>#REF!</v>
      </c>
      <c r="D710" t="e">
        <f>#REF!</f>
        <v>#REF!</v>
      </c>
      <c r="E710" t="e">
        <f>#REF!</f>
        <v>#REF!</v>
      </c>
      <c r="G710" t="e">
        <f t="shared" si="56"/>
        <v>#REF!</v>
      </c>
      <c r="H710" t="e">
        <f t="shared" si="57"/>
        <v>#REF!</v>
      </c>
      <c r="I710" s="141" t="e">
        <f t="shared" si="58"/>
        <v>#REF!</v>
      </c>
      <c r="J710" t="e">
        <f t="shared" si="59"/>
        <v>#REF!</v>
      </c>
      <c r="K710" s="141" t="e">
        <f t="shared" si="60"/>
        <v>#REF!</v>
      </c>
    </row>
    <row r="711" spans="1:11" hidden="1" x14ac:dyDescent="0.25">
      <c r="A711" t="e">
        <f>#REF!</f>
        <v>#REF!</v>
      </c>
      <c r="B711" t="e">
        <f>#REF!</f>
        <v>#REF!</v>
      </c>
      <c r="C711" t="e">
        <f>#REF!</f>
        <v>#REF!</v>
      </c>
      <c r="D711" t="e">
        <f>#REF!</f>
        <v>#REF!</v>
      </c>
      <c r="E711" t="e">
        <f>#REF!</f>
        <v>#REF!</v>
      </c>
      <c r="G711" t="e">
        <f t="shared" si="56"/>
        <v>#REF!</v>
      </c>
      <c r="H711" t="e">
        <f t="shared" si="57"/>
        <v>#REF!</v>
      </c>
      <c r="I711" s="141" t="e">
        <f t="shared" si="58"/>
        <v>#REF!</v>
      </c>
      <c r="J711" t="e">
        <f t="shared" si="59"/>
        <v>#REF!</v>
      </c>
      <c r="K711" s="141" t="e">
        <f t="shared" si="60"/>
        <v>#REF!</v>
      </c>
    </row>
    <row r="712" spans="1:11" hidden="1" x14ac:dyDescent="0.25">
      <c r="A712" t="e">
        <f>#REF!</f>
        <v>#REF!</v>
      </c>
      <c r="B712" t="e">
        <f>#REF!</f>
        <v>#REF!</v>
      </c>
      <c r="C712" t="e">
        <f>#REF!</f>
        <v>#REF!</v>
      </c>
      <c r="D712" t="e">
        <f>#REF!</f>
        <v>#REF!</v>
      </c>
      <c r="E712" t="e">
        <f>#REF!</f>
        <v>#REF!</v>
      </c>
      <c r="G712" t="e">
        <f t="shared" si="56"/>
        <v>#REF!</v>
      </c>
      <c r="H712" t="e">
        <f t="shared" si="57"/>
        <v>#REF!</v>
      </c>
      <c r="I712" s="141" t="e">
        <f t="shared" si="58"/>
        <v>#REF!</v>
      </c>
      <c r="J712" t="e">
        <f t="shared" si="59"/>
        <v>#REF!</v>
      </c>
      <c r="K712" s="141" t="e">
        <f t="shared" si="60"/>
        <v>#REF!</v>
      </c>
    </row>
    <row r="713" spans="1:11" hidden="1" x14ac:dyDescent="0.25">
      <c r="A713" t="e">
        <f>#REF!</f>
        <v>#REF!</v>
      </c>
      <c r="B713" t="e">
        <f>#REF!</f>
        <v>#REF!</v>
      </c>
      <c r="C713" t="e">
        <f>#REF!</f>
        <v>#REF!</v>
      </c>
      <c r="D713" t="e">
        <f>#REF!</f>
        <v>#REF!</v>
      </c>
      <c r="E713" t="e">
        <f>#REF!</f>
        <v>#REF!</v>
      </c>
      <c r="G713" t="e">
        <f t="shared" si="56"/>
        <v>#REF!</v>
      </c>
      <c r="H713" t="e">
        <f t="shared" si="57"/>
        <v>#REF!</v>
      </c>
      <c r="I713" s="141" t="e">
        <f t="shared" si="58"/>
        <v>#REF!</v>
      </c>
      <c r="J713" t="e">
        <f t="shared" si="59"/>
        <v>#REF!</v>
      </c>
      <c r="K713" s="141" t="e">
        <f t="shared" si="60"/>
        <v>#REF!</v>
      </c>
    </row>
    <row r="714" spans="1:11" hidden="1" x14ac:dyDescent="0.25">
      <c r="A714" t="e">
        <f>#REF!</f>
        <v>#REF!</v>
      </c>
      <c r="B714" t="e">
        <f>#REF!</f>
        <v>#REF!</v>
      </c>
      <c r="C714" t="e">
        <f>#REF!</f>
        <v>#REF!</v>
      </c>
      <c r="D714" t="e">
        <f>#REF!</f>
        <v>#REF!</v>
      </c>
      <c r="E714" t="e">
        <f>#REF!</f>
        <v>#REF!</v>
      </c>
      <c r="G714" t="e">
        <f t="shared" si="56"/>
        <v>#REF!</v>
      </c>
      <c r="H714" t="e">
        <f t="shared" si="57"/>
        <v>#REF!</v>
      </c>
      <c r="I714" s="141" t="e">
        <f t="shared" si="58"/>
        <v>#REF!</v>
      </c>
      <c r="J714" t="e">
        <f t="shared" si="59"/>
        <v>#REF!</v>
      </c>
      <c r="K714" s="141" t="e">
        <f t="shared" si="60"/>
        <v>#REF!</v>
      </c>
    </row>
    <row r="715" spans="1:11" hidden="1" x14ac:dyDescent="0.25">
      <c r="A715" t="e">
        <f>#REF!</f>
        <v>#REF!</v>
      </c>
      <c r="B715" t="e">
        <f>#REF!</f>
        <v>#REF!</v>
      </c>
      <c r="C715" t="e">
        <f>#REF!</f>
        <v>#REF!</v>
      </c>
      <c r="D715" t="e">
        <f>#REF!</f>
        <v>#REF!</v>
      </c>
      <c r="E715" t="e">
        <f>#REF!</f>
        <v>#REF!</v>
      </c>
      <c r="G715" t="e">
        <f t="shared" si="56"/>
        <v>#REF!</v>
      </c>
      <c r="H715" t="e">
        <f t="shared" si="57"/>
        <v>#REF!</v>
      </c>
      <c r="I715" s="141" t="e">
        <f t="shared" si="58"/>
        <v>#REF!</v>
      </c>
      <c r="J715" t="e">
        <f t="shared" si="59"/>
        <v>#REF!</v>
      </c>
      <c r="K715" s="141" t="e">
        <f t="shared" si="60"/>
        <v>#REF!</v>
      </c>
    </row>
    <row r="716" spans="1:11" hidden="1" x14ac:dyDescent="0.25">
      <c r="A716" t="e">
        <f>#REF!</f>
        <v>#REF!</v>
      </c>
      <c r="B716" t="e">
        <f>#REF!</f>
        <v>#REF!</v>
      </c>
      <c r="C716" t="e">
        <f>#REF!</f>
        <v>#REF!</v>
      </c>
      <c r="D716" t="e">
        <f>#REF!</f>
        <v>#REF!</v>
      </c>
      <c r="E716" t="e">
        <f>#REF!</f>
        <v>#REF!</v>
      </c>
      <c r="G716" t="e">
        <f t="shared" si="56"/>
        <v>#REF!</v>
      </c>
      <c r="H716" t="e">
        <f t="shared" si="57"/>
        <v>#REF!</v>
      </c>
      <c r="I716" s="141" t="e">
        <f t="shared" si="58"/>
        <v>#REF!</v>
      </c>
      <c r="J716" t="e">
        <f t="shared" si="59"/>
        <v>#REF!</v>
      </c>
      <c r="K716" s="141" t="e">
        <f t="shared" si="60"/>
        <v>#REF!</v>
      </c>
    </row>
    <row r="717" spans="1:11" hidden="1" x14ac:dyDescent="0.25">
      <c r="A717" t="e">
        <f>#REF!</f>
        <v>#REF!</v>
      </c>
      <c r="B717" t="e">
        <f>#REF!</f>
        <v>#REF!</v>
      </c>
      <c r="C717" t="e">
        <f>#REF!</f>
        <v>#REF!</v>
      </c>
      <c r="D717" t="e">
        <f>#REF!</f>
        <v>#REF!</v>
      </c>
      <c r="E717" t="e">
        <f>#REF!</f>
        <v>#REF!</v>
      </c>
      <c r="G717" t="e">
        <f t="shared" si="56"/>
        <v>#REF!</v>
      </c>
      <c r="H717" t="e">
        <f t="shared" si="57"/>
        <v>#REF!</v>
      </c>
      <c r="I717" s="141" t="e">
        <f t="shared" si="58"/>
        <v>#REF!</v>
      </c>
      <c r="J717" t="e">
        <f t="shared" si="59"/>
        <v>#REF!</v>
      </c>
      <c r="K717" s="141" t="e">
        <f t="shared" si="60"/>
        <v>#REF!</v>
      </c>
    </row>
    <row r="718" spans="1:11" hidden="1" x14ac:dyDescent="0.25">
      <c r="A718" t="e">
        <f>#REF!</f>
        <v>#REF!</v>
      </c>
      <c r="B718" t="e">
        <f>#REF!</f>
        <v>#REF!</v>
      </c>
      <c r="C718" t="e">
        <f>#REF!</f>
        <v>#REF!</v>
      </c>
      <c r="D718" t="e">
        <f>#REF!</f>
        <v>#REF!</v>
      </c>
      <c r="E718" t="e">
        <f>#REF!</f>
        <v>#REF!</v>
      </c>
      <c r="G718" t="e">
        <f t="shared" si="56"/>
        <v>#REF!</v>
      </c>
      <c r="H718" t="e">
        <f t="shared" si="57"/>
        <v>#REF!</v>
      </c>
      <c r="I718" s="141" t="e">
        <f t="shared" si="58"/>
        <v>#REF!</v>
      </c>
      <c r="J718" t="e">
        <f t="shared" si="59"/>
        <v>#REF!</v>
      </c>
      <c r="K718" s="141" t="e">
        <f t="shared" si="60"/>
        <v>#REF!</v>
      </c>
    </row>
    <row r="719" spans="1:11" hidden="1" x14ac:dyDescent="0.25">
      <c r="A719" t="e">
        <f>#REF!</f>
        <v>#REF!</v>
      </c>
      <c r="B719" t="e">
        <f>#REF!</f>
        <v>#REF!</v>
      </c>
      <c r="C719" t="e">
        <f>#REF!</f>
        <v>#REF!</v>
      </c>
      <c r="D719" t="e">
        <f>#REF!</f>
        <v>#REF!</v>
      </c>
      <c r="E719" t="e">
        <f>#REF!</f>
        <v>#REF!</v>
      </c>
      <c r="G719" t="e">
        <f t="shared" si="56"/>
        <v>#REF!</v>
      </c>
      <c r="H719" t="e">
        <f t="shared" si="57"/>
        <v>#REF!</v>
      </c>
      <c r="I719" s="141" t="e">
        <f t="shared" si="58"/>
        <v>#REF!</v>
      </c>
      <c r="J719" t="e">
        <f t="shared" si="59"/>
        <v>#REF!</v>
      </c>
      <c r="K719" s="141" t="e">
        <f t="shared" si="60"/>
        <v>#REF!</v>
      </c>
    </row>
    <row r="720" spans="1:11" hidden="1" x14ac:dyDescent="0.25">
      <c r="A720" t="e">
        <f>#REF!</f>
        <v>#REF!</v>
      </c>
      <c r="B720" t="e">
        <f>#REF!</f>
        <v>#REF!</v>
      </c>
      <c r="C720" t="e">
        <f>#REF!</f>
        <v>#REF!</v>
      </c>
      <c r="D720" t="e">
        <f>#REF!</f>
        <v>#REF!</v>
      </c>
      <c r="E720" t="e">
        <f>#REF!</f>
        <v>#REF!</v>
      </c>
      <c r="G720" t="e">
        <f t="shared" si="56"/>
        <v>#REF!</v>
      </c>
      <c r="H720" t="e">
        <f t="shared" si="57"/>
        <v>#REF!</v>
      </c>
      <c r="I720" s="141" t="e">
        <f t="shared" si="58"/>
        <v>#REF!</v>
      </c>
      <c r="J720" t="e">
        <f t="shared" si="59"/>
        <v>#REF!</v>
      </c>
      <c r="K720" s="141" t="e">
        <f t="shared" si="60"/>
        <v>#REF!</v>
      </c>
    </row>
    <row r="721" spans="1:11" hidden="1" x14ac:dyDescent="0.25">
      <c r="A721" t="e">
        <f>#REF!</f>
        <v>#REF!</v>
      </c>
      <c r="B721" t="e">
        <f>#REF!</f>
        <v>#REF!</v>
      </c>
      <c r="C721" t="e">
        <f>#REF!</f>
        <v>#REF!</v>
      </c>
      <c r="D721" t="e">
        <f>#REF!</f>
        <v>#REF!</v>
      </c>
      <c r="E721" t="e">
        <f>#REF!</f>
        <v>#REF!</v>
      </c>
      <c r="G721" t="e">
        <f t="shared" si="56"/>
        <v>#REF!</v>
      </c>
      <c r="H721" t="e">
        <f t="shared" si="57"/>
        <v>#REF!</v>
      </c>
      <c r="I721" s="141" t="e">
        <f t="shared" si="58"/>
        <v>#REF!</v>
      </c>
      <c r="J721" t="e">
        <f t="shared" si="59"/>
        <v>#REF!</v>
      </c>
      <c r="K721" s="141" t="e">
        <f t="shared" si="60"/>
        <v>#REF!</v>
      </c>
    </row>
    <row r="722" spans="1:11" hidden="1" x14ac:dyDescent="0.25">
      <c r="A722" t="e">
        <f>#REF!</f>
        <v>#REF!</v>
      </c>
      <c r="B722" t="e">
        <f>#REF!</f>
        <v>#REF!</v>
      </c>
      <c r="C722" t="e">
        <f>#REF!</f>
        <v>#REF!</v>
      </c>
      <c r="D722" t="e">
        <f>#REF!</f>
        <v>#REF!</v>
      </c>
      <c r="E722" t="e">
        <f>#REF!</f>
        <v>#REF!</v>
      </c>
      <c r="G722" t="e">
        <f t="shared" si="56"/>
        <v>#REF!</v>
      </c>
      <c r="H722" t="e">
        <f t="shared" si="57"/>
        <v>#REF!</v>
      </c>
      <c r="I722" s="141" t="e">
        <f t="shared" si="58"/>
        <v>#REF!</v>
      </c>
      <c r="J722" t="e">
        <f t="shared" si="59"/>
        <v>#REF!</v>
      </c>
      <c r="K722" s="141" t="e">
        <f t="shared" si="60"/>
        <v>#REF!</v>
      </c>
    </row>
    <row r="723" spans="1:11" hidden="1" x14ac:dyDescent="0.25">
      <c r="A723" t="e">
        <f>#REF!</f>
        <v>#REF!</v>
      </c>
      <c r="B723" t="e">
        <f>#REF!</f>
        <v>#REF!</v>
      </c>
      <c r="C723" t="e">
        <f>#REF!</f>
        <v>#REF!</v>
      </c>
      <c r="D723" t="e">
        <f>#REF!</f>
        <v>#REF!</v>
      </c>
      <c r="E723" t="e">
        <f>#REF!</f>
        <v>#REF!</v>
      </c>
      <c r="G723" t="e">
        <f t="shared" si="56"/>
        <v>#REF!</v>
      </c>
      <c r="H723" t="e">
        <f t="shared" si="57"/>
        <v>#REF!</v>
      </c>
      <c r="I723" s="141" t="e">
        <f t="shared" si="58"/>
        <v>#REF!</v>
      </c>
      <c r="J723" t="e">
        <f t="shared" si="59"/>
        <v>#REF!</v>
      </c>
      <c r="K723" s="141" t="e">
        <f t="shared" si="60"/>
        <v>#REF!</v>
      </c>
    </row>
    <row r="724" spans="1:11" hidden="1" x14ac:dyDescent="0.25">
      <c r="A724" t="e">
        <f>#REF!</f>
        <v>#REF!</v>
      </c>
      <c r="B724" t="e">
        <f>#REF!</f>
        <v>#REF!</v>
      </c>
      <c r="C724" t="e">
        <f>#REF!</f>
        <v>#REF!</v>
      </c>
      <c r="D724" t="e">
        <f>#REF!</f>
        <v>#REF!</v>
      </c>
      <c r="E724" t="e">
        <f>#REF!</f>
        <v>#REF!</v>
      </c>
      <c r="G724" t="e">
        <f t="shared" si="56"/>
        <v>#REF!</v>
      </c>
      <c r="H724" t="e">
        <f t="shared" si="57"/>
        <v>#REF!</v>
      </c>
      <c r="I724" s="141" t="e">
        <f t="shared" si="58"/>
        <v>#REF!</v>
      </c>
      <c r="J724" t="e">
        <f t="shared" si="59"/>
        <v>#REF!</v>
      </c>
      <c r="K724" s="141" t="e">
        <f t="shared" si="60"/>
        <v>#REF!</v>
      </c>
    </row>
    <row r="725" spans="1:11" hidden="1" x14ac:dyDescent="0.25">
      <c r="A725" t="e">
        <f>#REF!</f>
        <v>#REF!</v>
      </c>
      <c r="B725" t="e">
        <f>#REF!</f>
        <v>#REF!</v>
      </c>
      <c r="C725" t="e">
        <f>#REF!</f>
        <v>#REF!</v>
      </c>
      <c r="D725" t="e">
        <f>#REF!</f>
        <v>#REF!</v>
      </c>
      <c r="E725" t="e">
        <f>#REF!</f>
        <v>#REF!</v>
      </c>
      <c r="G725" t="e">
        <f t="shared" si="56"/>
        <v>#REF!</v>
      </c>
      <c r="H725" t="e">
        <f t="shared" si="57"/>
        <v>#REF!</v>
      </c>
      <c r="I725" s="141" t="e">
        <f t="shared" si="58"/>
        <v>#REF!</v>
      </c>
      <c r="J725" t="e">
        <f t="shared" si="59"/>
        <v>#REF!</v>
      </c>
      <c r="K725" s="141" t="e">
        <f t="shared" si="60"/>
        <v>#REF!</v>
      </c>
    </row>
    <row r="726" spans="1:11" hidden="1" x14ac:dyDescent="0.25">
      <c r="A726" t="e">
        <f>#REF!</f>
        <v>#REF!</v>
      </c>
      <c r="B726" t="e">
        <f>#REF!</f>
        <v>#REF!</v>
      </c>
      <c r="C726" t="e">
        <f>#REF!</f>
        <v>#REF!</v>
      </c>
      <c r="D726" t="e">
        <f>#REF!</f>
        <v>#REF!</v>
      </c>
      <c r="E726" t="e">
        <f>#REF!</f>
        <v>#REF!</v>
      </c>
      <c r="G726" t="e">
        <f t="shared" si="56"/>
        <v>#REF!</v>
      </c>
      <c r="H726" t="e">
        <f t="shared" si="57"/>
        <v>#REF!</v>
      </c>
      <c r="I726" s="141" t="e">
        <f t="shared" si="58"/>
        <v>#REF!</v>
      </c>
      <c r="J726" t="e">
        <f t="shared" si="59"/>
        <v>#REF!</v>
      </c>
      <c r="K726" s="141" t="e">
        <f t="shared" si="60"/>
        <v>#REF!</v>
      </c>
    </row>
    <row r="727" spans="1:11" hidden="1" x14ac:dyDescent="0.25">
      <c r="A727" t="e">
        <f>#REF!</f>
        <v>#REF!</v>
      </c>
      <c r="B727" t="e">
        <f>#REF!</f>
        <v>#REF!</v>
      </c>
      <c r="C727" t="e">
        <f>#REF!</f>
        <v>#REF!</v>
      </c>
      <c r="D727" t="e">
        <f>#REF!</f>
        <v>#REF!</v>
      </c>
      <c r="E727" t="e">
        <f>#REF!</f>
        <v>#REF!</v>
      </c>
      <c r="G727" t="e">
        <f t="shared" si="56"/>
        <v>#REF!</v>
      </c>
      <c r="H727" t="e">
        <f t="shared" si="57"/>
        <v>#REF!</v>
      </c>
      <c r="I727" s="141" t="e">
        <f t="shared" si="58"/>
        <v>#REF!</v>
      </c>
      <c r="J727" t="e">
        <f t="shared" si="59"/>
        <v>#REF!</v>
      </c>
      <c r="K727" s="141" t="e">
        <f t="shared" si="60"/>
        <v>#REF!</v>
      </c>
    </row>
    <row r="728" spans="1:11" hidden="1" x14ac:dyDescent="0.25">
      <c r="A728" t="e">
        <f>#REF!</f>
        <v>#REF!</v>
      </c>
      <c r="B728" t="e">
        <f>#REF!</f>
        <v>#REF!</v>
      </c>
      <c r="C728" t="e">
        <f>#REF!</f>
        <v>#REF!</v>
      </c>
      <c r="D728" t="e">
        <f>#REF!</f>
        <v>#REF!</v>
      </c>
      <c r="E728" t="e">
        <f>#REF!</f>
        <v>#REF!</v>
      </c>
      <c r="G728" t="e">
        <f t="shared" si="56"/>
        <v>#REF!</v>
      </c>
      <c r="H728" t="e">
        <f t="shared" si="57"/>
        <v>#REF!</v>
      </c>
      <c r="I728" s="141" t="e">
        <f t="shared" si="58"/>
        <v>#REF!</v>
      </c>
      <c r="J728" t="e">
        <f t="shared" si="59"/>
        <v>#REF!</v>
      </c>
      <c r="K728" s="141" t="e">
        <f t="shared" si="60"/>
        <v>#REF!</v>
      </c>
    </row>
    <row r="729" spans="1:11" hidden="1" x14ac:dyDescent="0.25">
      <c r="A729" t="e">
        <f>#REF!</f>
        <v>#REF!</v>
      </c>
      <c r="B729" t="e">
        <f>#REF!</f>
        <v>#REF!</v>
      </c>
      <c r="C729" t="e">
        <f>#REF!</f>
        <v>#REF!</v>
      </c>
      <c r="D729" t="e">
        <f>#REF!</f>
        <v>#REF!</v>
      </c>
      <c r="E729" t="e">
        <f>#REF!</f>
        <v>#REF!</v>
      </c>
      <c r="G729" t="e">
        <f t="shared" si="56"/>
        <v>#REF!</v>
      </c>
      <c r="H729" t="e">
        <f t="shared" si="57"/>
        <v>#REF!</v>
      </c>
      <c r="I729" s="141" t="e">
        <f t="shared" si="58"/>
        <v>#REF!</v>
      </c>
      <c r="J729" t="e">
        <f t="shared" si="59"/>
        <v>#REF!</v>
      </c>
      <c r="K729" s="141" t="e">
        <f t="shared" si="60"/>
        <v>#REF!</v>
      </c>
    </row>
    <row r="730" spans="1:11" hidden="1" x14ac:dyDescent="0.25">
      <c r="A730" t="e">
        <f>#REF!</f>
        <v>#REF!</v>
      </c>
      <c r="B730" t="e">
        <f>#REF!</f>
        <v>#REF!</v>
      </c>
      <c r="C730" t="e">
        <f>#REF!</f>
        <v>#REF!</v>
      </c>
      <c r="D730" t="e">
        <f>#REF!</f>
        <v>#REF!</v>
      </c>
      <c r="E730" t="e">
        <f>#REF!</f>
        <v>#REF!</v>
      </c>
      <c r="G730" t="e">
        <f t="shared" si="56"/>
        <v>#REF!</v>
      </c>
      <c r="H730" t="e">
        <f t="shared" si="57"/>
        <v>#REF!</v>
      </c>
      <c r="I730" s="141" t="e">
        <f t="shared" si="58"/>
        <v>#REF!</v>
      </c>
      <c r="J730" t="e">
        <f t="shared" si="59"/>
        <v>#REF!</v>
      </c>
      <c r="K730" s="141" t="e">
        <f t="shared" si="60"/>
        <v>#REF!</v>
      </c>
    </row>
    <row r="731" spans="1:11" hidden="1" x14ac:dyDescent="0.25">
      <c r="A731" t="e">
        <f>#REF!</f>
        <v>#REF!</v>
      </c>
      <c r="B731" t="e">
        <f>#REF!</f>
        <v>#REF!</v>
      </c>
      <c r="C731" t="e">
        <f>#REF!</f>
        <v>#REF!</v>
      </c>
      <c r="D731" t="e">
        <f>#REF!</f>
        <v>#REF!</v>
      </c>
      <c r="E731" t="e">
        <f>#REF!</f>
        <v>#REF!</v>
      </c>
      <c r="G731" t="e">
        <f t="shared" si="56"/>
        <v>#REF!</v>
      </c>
      <c r="H731" t="e">
        <f t="shared" si="57"/>
        <v>#REF!</v>
      </c>
      <c r="I731" s="141" t="e">
        <f t="shared" si="58"/>
        <v>#REF!</v>
      </c>
      <c r="J731" t="e">
        <f t="shared" si="59"/>
        <v>#REF!</v>
      </c>
      <c r="K731" s="141" t="e">
        <f t="shared" si="60"/>
        <v>#REF!</v>
      </c>
    </row>
    <row r="732" spans="1:11" hidden="1" x14ac:dyDescent="0.25">
      <c r="A732" t="e">
        <f>#REF!</f>
        <v>#REF!</v>
      </c>
      <c r="B732" t="e">
        <f>#REF!</f>
        <v>#REF!</v>
      </c>
      <c r="C732" t="e">
        <f>#REF!</f>
        <v>#REF!</v>
      </c>
      <c r="D732" t="e">
        <f>#REF!</f>
        <v>#REF!</v>
      </c>
      <c r="E732" t="e">
        <f>#REF!</f>
        <v>#REF!</v>
      </c>
      <c r="G732" t="e">
        <f t="shared" si="56"/>
        <v>#REF!</v>
      </c>
      <c r="H732" t="e">
        <f t="shared" si="57"/>
        <v>#REF!</v>
      </c>
      <c r="I732" s="141" t="e">
        <f t="shared" si="58"/>
        <v>#REF!</v>
      </c>
      <c r="J732" t="e">
        <f t="shared" si="59"/>
        <v>#REF!</v>
      </c>
      <c r="K732" s="141" t="e">
        <f t="shared" si="60"/>
        <v>#REF!</v>
      </c>
    </row>
    <row r="733" spans="1:11" hidden="1" x14ac:dyDescent="0.25">
      <c r="A733" t="e">
        <f>#REF!</f>
        <v>#REF!</v>
      </c>
      <c r="B733" t="e">
        <f>#REF!</f>
        <v>#REF!</v>
      </c>
      <c r="C733" t="e">
        <f>#REF!</f>
        <v>#REF!</v>
      </c>
      <c r="D733" t="e">
        <f>#REF!</f>
        <v>#REF!</v>
      </c>
      <c r="E733" t="e">
        <f>#REF!</f>
        <v>#REF!</v>
      </c>
      <c r="G733" t="e">
        <f t="shared" si="56"/>
        <v>#REF!</v>
      </c>
      <c r="H733" t="e">
        <f t="shared" si="57"/>
        <v>#REF!</v>
      </c>
      <c r="I733" s="141" t="e">
        <f t="shared" si="58"/>
        <v>#REF!</v>
      </c>
      <c r="J733" t="e">
        <f t="shared" si="59"/>
        <v>#REF!</v>
      </c>
      <c r="K733" s="141" t="e">
        <f t="shared" si="60"/>
        <v>#REF!</v>
      </c>
    </row>
    <row r="734" spans="1:11" hidden="1" x14ac:dyDescent="0.25">
      <c r="A734" t="e">
        <f>#REF!</f>
        <v>#REF!</v>
      </c>
      <c r="B734" t="e">
        <f>#REF!</f>
        <v>#REF!</v>
      </c>
      <c r="C734" t="e">
        <f>#REF!</f>
        <v>#REF!</v>
      </c>
      <c r="D734" t="e">
        <f>#REF!</f>
        <v>#REF!</v>
      </c>
      <c r="E734" t="e">
        <f>#REF!</f>
        <v>#REF!</v>
      </c>
      <c r="G734" t="e">
        <f t="shared" si="56"/>
        <v>#REF!</v>
      </c>
      <c r="H734" t="e">
        <f t="shared" si="57"/>
        <v>#REF!</v>
      </c>
      <c r="I734" s="141" t="e">
        <f t="shared" si="58"/>
        <v>#REF!</v>
      </c>
      <c r="J734" t="e">
        <f t="shared" si="59"/>
        <v>#REF!</v>
      </c>
      <c r="K734" s="141" t="e">
        <f t="shared" si="60"/>
        <v>#REF!</v>
      </c>
    </row>
    <row r="735" spans="1:11" hidden="1" x14ac:dyDescent="0.25">
      <c r="A735" t="e">
        <f>#REF!</f>
        <v>#REF!</v>
      </c>
      <c r="B735" t="e">
        <f>#REF!</f>
        <v>#REF!</v>
      </c>
      <c r="C735" t="e">
        <f>#REF!</f>
        <v>#REF!</v>
      </c>
      <c r="D735" t="e">
        <f>#REF!</f>
        <v>#REF!</v>
      </c>
      <c r="E735" t="e">
        <f>#REF!</f>
        <v>#REF!</v>
      </c>
      <c r="G735" t="e">
        <f t="shared" si="56"/>
        <v>#REF!</v>
      </c>
      <c r="H735" t="e">
        <f t="shared" si="57"/>
        <v>#REF!</v>
      </c>
      <c r="I735" s="141" t="e">
        <f t="shared" si="58"/>
        <v>#REF!</v>
      </c>
      <c r="J735" t="e">
        <f t="shared" si="59"/>
        <v>#REF!</v>
      </c>
      <c r="K735" s="141" t="e">
        <f t="shared" si="60"/>
        <v>#REF!</v>
      </c>
    </row>
    <row r="736" spans="1:11" hidden="1" x14ac:dyDescent="0.25">
      <c r="A736" t="e">
        <f>#REF!</f>
        <v>#REF!</v>
      </c>
      <c r="B736" t="e">
        <f>#REF!</f>
        <v>#REF!</v>
      </c>
      <c r="C736" t="e">
        <f>#REF!</f>
        <v>#REF!</v>
      </c>
      <c r="D736" t="e">
        <f>#REF!</f>
        <v>#REF!</v>
      </c>
      <c r="E736" t="e">
        <f>#REF!</f>
        <v>#REF!</v>
      </c>
      <c r="G736" t="e">
        <f t="shared" si="56"/>
        <v>#REF!</v>
      </c>
      <c r="H736" t="e">
        <f t="shared" si="57"/>
        <v>#REF!</v>
      </c>
      <c r="I736" s="141" t="e">
        <f t="shared" si="58"/>
        <v>#REF!</v>
      </c>
      <c r="J736" t="e">
        <f t="shared" si="59"/>
        <v>#REF!</v>
      </c>
      <c r="K736" s="141" t="e">
        <f t="shared" si="60"/>
        <v>#REF!</v>
      </c>
    </row>
    <row r="737" spans="1:11" hidden="1" x14ac:dyDescent="0.25">
      <c r="A737" t="e">
        <f>#REF!</f>
        <v>#REF!</v>
      </c>
      <c r="B737" t="e">
        <f>#REF!</f>
        <v>#REF!</v>
      </c>
      <c r="C737" t="e">
        <f>#REF!</f>
        <v>#REF!</v>
      </c>
      <c r="D737" t="e">
        <f>#REF!</f>
        <v>#REF!</v>
      </c>
      <c r="E737" t="e">
        <f>#REF!</f>
        <v>#REF!</v>
      </c>
      <c r="G737" t="e">
        <f t="shared" si="56"/>
        <v>#REF!</v>
      </c>
      <c r="H737" t="e">
        <f t="shared" si="57"/>
        <v>#REF!</v>
      </c>
      <c r="I737" s="141" t="e">
        <f t="shared" si="58"/>
        <v>#REF!</v>
      </c>
      <c r="J737" t="e">
        <f t="shared" si="59"/>
        <v>#REF!</v>
      </c>
      <c r="K737" s="141" t="e">
        <f t="shared" si="60"/>
        <v>#REF!</v>
      </c>
    </row>
    <row r="738" spans="1:11" hidden="1" x14ac:dyDescent="0.25">
      <c r="A738" t="e">
        <f>#REF!</f>
        <v>#REF!</v>
      </c>
      <c r="B738" t="e">
        <f>#REF!</f>
        <v>#REF!</v>
      </c>
      <c r="C738" t="e">
        <f>#REF!</f>
        <v>#REF!</v>
      </c>
      <c r="D738" t="e">
        <f>#REF!</f>
        <v>#REF!</v>
      </c>
      <c r="E738" t="e">
        <f>#REF!</f>
        <v>#REF!</v>
      </c>
      <c r="G738" t="e">
        <f t="shared" si="56"/>
        <v>#REF!</v>
      </c>
      <c r="H738" t="e">
        <f t="shared" si="57"/>
        <v>#REF!</v>
      </c>
      <c r="I738" s="141" t="e">
        <f t="shared" si="58"/>
        <v>#REF!</v>
      </c>
      <c r="J738" t="e">
        <f t="shared" si="59"/>
        <v>#REF!</v>
      </c>
      <c r="K738" s="141" t="e">
        <f t="shared" si="60"/>
        <v>#REF!</v>
      </c>
    </row>
    <row r="739" spans="1:11" hidden="1" x14ac:dyDescent="0.25">
      <c r="A739" t="e">
        <f>#REF!</f>
        <v>#REF!</v>
      </c>
      <c r="B739" t="e">
        <f>#REF!</f>
        <v>#REF!</v>
      </c>
      <c r="C739" t="e">
        <f>#REF!</f>
        <v>#REF!</v>
      </c>
      <c r="D739" t="e">
        <f>#REF!</f>
        <v>#REF!</v>
      </c>
      <c r="E739" t="e">
        <f>#REF!</f>
        <v>#REF!</v>
      </c>
      <c r="G739" t="e">
        <f t="shared" si="56"/>
        <v>#REF!</v>
      </c>
      <c r="H739" t="e">
        <f t="shared" si="57"/>
        <v>#REF!</v>
      </c>
      <c r="I739" s="141" t="e">
        <f t="shared" si="58"/>
        <v>#REF!</v>
      </c>
      <c r="J739" t="e">
        <f t="shared" si="59"/>
        <v>#REF!</v>
      </c>
      <c r="K739" s="141" t="e">
        <f t="shared" si="60"/>
        <v>#REF!</v>
      </c>
    </row>
    <row r="740" spans="1:11" hidden="1" x14ac:dyDescent="0.25">
      <c r="A740" t="e">
        <f>#REF!</f>
        <v>#REF!</v>
      </c>
      <c r="B740" t="e">
        <f>#REF!</f>
        <v>#REF!</v>
      </c>
      <c r="C740" t="e">
        <f>#REF!</f>
        <v>#REF!</v>
      </c>
      <c r="D740" t="e">
        <f>#REF!</f>
        <v>#REF!</v>
      </c>
      <c r="E740" t="e">
        <f>#REF!</f>
        <v>#REF!</v>
      </c>
      <c r="G740" t="e">
        <f t="shared" si="56"/>
        <v>#REF!</v>
      </c>
      <c r="H740" t="e">
        <f t="shared" si="57"/>
        <v>#REF!</v>
      </c>
      <c r="I740" s="141" t="e">
        <f t="shared" si="58"/>
        <v>#REF!</v>
      </c>
      <c r="J740" t="e">
        <f t="shared" si="59"/>
        <v>#REF!</v>
      </c>
      <c r="K740" s="141" t="e">
        <f t="shared" si="60"/>
        <v>#REF!</v>
      </c>
    </row>
    <row r="741" spans="1:11" hidden="1" x14ac:dyDescent="0.25">
      <c r="A741" t="e">
        <f>#REF!</f>
        <v>#REF!</v>
      </c>
      <c r="B741" t="e">
        <f>#REF!</f>
        <v>#REF!</v>
      </c>
      <c r="C741" t="e">
        <f>#REF!</f>
        <v>#REF!</v>
      </c>
      <c r="D741" t="e">
        <f>#REF!</f>
        <v>#REF!</v>
      </c>
      <c r="E741" t="e">
        <f>#REF!</f>
        <v>#REF!</v>
      </c>
      <c r="G741" t="e">
        <f t="shared" si="56"/>
        <v>#REF!</v>
      </c>
      <c r="H741" t="e">
        <f t="shared" si="57"/>
        <v>#REF!</v>
      </c>
      <c r="I741" s="141" t="e">
        <f t="shared" si="58"/>
        <v>#REF!</v>
      </c>
      <c r="J741" t="e">
        <f t="shared" si="59"/>
        <v>#REF!</v>
      </c>
      <c r="K741" s="141" t="e">
        <f t="shared" si="60"/>
        <v>#REF!</v>
      </c>
    </row>
    <row r="742" spans="1:11" hidden="1" x14ac:dyDescent="0.25">
      <c r="A742" t="e">
        <f>#REF!</f>
        <v>#REF!</v>
      </c>
      <c r="B742" t="e">
        <f>#REF!</f>
        <v>#REF!</v>
      </c>
      <c r="C742" t="e">
        <f>#REF!</f>
        <v>#REF!</v>
      </c>
      <c r="D742" t="e">
        <f>#REF!</f>
        <v>#REF!</v>
      </c>
      <c r="E742" t="e">
        <f>#REF!</f>
        <v>#REF!</v>
      </c>
      <c r="G742" t="e">
        <f t="shared" si="56"/>
        <v>#REF!</v>
      </c>
      <c r="H742" t="e">
        <f t="shared" si="57"/>
        <v>#REF!</v>
      </c>
      <c r="I742" s="141" t="e">
        <f t="shared" si="58"/>
        <v>#REF!</v>
      </c>
      <c r="J742" t="e">
        <f t="shared" si="59"/>
        <v>#REF!</v>
      </c>
      <c r="K742" s="141" t="e">
        <f t="shared" si="60"/>
        <v>#REF!</v>
      </c>
    </row>
    <row r="743" spans="1:11" hidden="1" x14ac:dyDescent="0.25">
      <c r="A743" t="e">
        <f>#REF!</f>
        <v>#REF!</v>
      </c>
      <c r="B743" t="e">
        <f>#REF!</f>
        <v>#REF!</v>
      </c>
      <c r="C743" t="e">
        <f>#REF!</f>
        <v>#REF!</v>
      </c>
      <c r="D743" t="e">
        <f>#REF!</f>
        <v>#REF!</v>
      </c>
      <c r="E743" t="e">
        <f>#REF!</f>
        <v>#REF!</v>
      </c>
      <c r="G743" t="e">
        <f t="shared" si="56"/>
        <v>#REF!</v>
      </c>
      <c r="H743" t="e">
        <f t="shared" si="57"/>
        <v>#REF!</v>
      </c>
      <c r="I743" s="141" t="e">
        <f t="shared" si="58"/>
        <v>#REF!</v>
      </c>
      <c r="J743" t="e">
        <f t="shared" si="59"/>
        <v>#REF!</v>
      </c>
      <c r="K743" s="141" t="e">
        <f t="shared" si="60"/>
        <v>#REF!</v>
      </c>
    </row>
    <row r="744" spans="1:11" hidden="1" x14ac:dyDescent="0.25">
      <c r="A744" t="e">
        <f>#REF!</f>
        <v>#REF!</v>
      </c>
      <c r="B744" t="e">
        <f>#REF!</f>
        <v>#REF!</v>
      </c>
      <c r="C744" t="e">
        <f>#REF!</f>
        <v>#REF!</v>
      </c>
      <c r="D744" t="e">
        <f>#REF!</f>
        <v>#REF!</v>
      </c>
      <c r="E744" t="e">
        <f>#REF!</f>
        <v>#REF!</v>
      </c>
      <c r="G744" t="e">
        <f t="shared" si="56"/>
        <v>#REF!</v>
      </c>
      <c r="H744" t="e">
        <f t="shared" si="57"/>
        <v>#REF!</v>
      </c>
      <c r="I744" s="141" t="e">
        <f t="shared" si="58"/>
        <v>#REF!</v>
      </c>
      <c r="J744" t="e">
        <f t="shared" si="59"/>
        <v>#REF!</v>
      </c>
      <c r="K744" s="141" t="e">
        <f t="shared" si="60"/>
        <v>#REF!</v>
      </c>
    </row>
    <row r="745" spans="1:11" hidden="1" x14ac:dyDescent="0.25">
      <c r="A745" t="e">
        <f>#REF!</f>
        <v>#REF!</v>
      </c>
      <c r="B745" t="e">
        <f>#REF!</f>
        <v>#REF!</v>
      </c>
      <c r="C745" t="e">
        <f>#REF!</f>
        <v>#REF!</v>
      </c>
      <c r="D745" t="e">
        <f>#REF!</f>
        <v>#REF!</v>
      </c>
      <c r="E745" t="e">
        <f>#REF!</f>
        <v>#REF!</v>
      </c>
      <c r="G745" t="e">
        <f t="shared" si="56"/>
        <v>#REF!</v>
      </c>
      <c r="H745" t="e">
        <f t="shared" si="57"/>
        <v>#REF!</v>
      </c>
      <c r="I745" s="141" t="e">
        <f t="shared" si="58"/>
        <v>#REF!</v>
      </c>
      <c r="J745" t="e">
        <f t="shared" si="59"/>
        <v>#REF!</v>
      </c>
      <c r="K745" s="141" t="e">
        <f t="shared" si="60"/>
        <v>#REF!</v>
      </c>
    </row>
    <row r="746" spans="1:11" hidden="1" x14ac:dyDescent="0.25">
      <c r="A746" t="e">
        <f>#REF!</f>
        <v>#REF!</v>
      </c>
      <c r="B746" t="e">
        <f>#REF!</f>
        <v>#REF!</v>
      </c>
      <c r="C746" t="e">
        <f>#REF!</f>
        <v>#REF!</v>
      </c>
      <c r="D746" t="e">
        <f>#REF!</f>
        <v>#REF!</v>
      </c>
      <c r="E746" t="e">
        <f>#REF!</f>
        <v>#REF!</v>
      </c>
      <c r="G746" t="e">
        <f t="shared" si="56"/>
        <v>#REF!</v>
      </c>
      <c r="H746" t="e">
        <f t="shared" si="57"/>
        <v>#REF!</v>
      </c>
      <c r="I746" s="141" t="e">
        <f t="shared" si="58"/>
        <v>#REF!</v>
      </c>
      <c r="J746" t="e">
        <f t="shared" si="59"/>
        <v>#REF!</v>
      </c>
      <c r="K746" s="141" t="e">
        <f t="shared" si="60"/>
        <v>#REF!</v>
      </c>
    </row>
    <row r="747" spans="1:11" hidden="1" x14ac:dyDescent="0.25">
      <c r="A747" t="e">
        <f>#REF!</f>
        <v>#REF!</v>
      </c>
      <c r="B747" t="e">
        <f>#REF!</f>
        <v>#REF!</v>
      </c>
      <c r="C747" t="e">
        <f>#REF!</f>
        <v>#REF!</v>
      </c>
      <c r="D747" t="e">
        <f>#REF!</f>
        <v>#REF!</v>
      </c>
      <c r="E747" t="e">
        <f>#REF!</f>
        <v>#REF!</v>
      </c>
      <c r="G747" t="e">
        <f t="shared" si="56"/>
        <v>#REF!</v>
      </c>
      <c r="H747" t="e">
        <f t="shared" si="57"/>
        <v>#REF!</v>
      </c>
      <c r="I747" s="141" t="e">
        <f t="shared" si="58"/>
        <v>#REF!</v>
      </c>
      <c r="J747" t="e">
        <f t="shared" si="59"/>
        <v>#REF!</v>
      </c>
      <c r="K747" s="141" t="e">
        <f t="shared" si="60"/>
        <v>#REF!</v>
      </c>
    </row>
    <row r="748" spans="1:11" hidden="1" x14ac:dyDescent="0.25">
      <c r="A748" t="e">
        <f>#REF!</f>
        <v>#REF!</v>
      </c>
      <c r="B748" t="e">
        <f>#REF!</f>
        <v>#REF!</v>
      </c>
      <c r="C748" t="e">
        <f>#REF!</f>
        <v>#REF!</v>
      </c>
      <c r="D748" t="e">
        <f>#REF!</f>
        <v>#REF!</v>
      </c>
      <c r="E748" t="e">
        <f>#REF!</f>
        <v>#REF!</v>
      </c>
      <c r="G748" t="e">
        <f t="shared" si="56"/>
        <v>#REF!</v>
      </c>
      <c r="H748" t="e">
        <f t="shared" si="57"/>
        <v>#REF!</v>
      </c>
      <c r="I748" s="141" t="e">
        <f t="shared" si="58"/>
        <v>#REF!</v>
      </c>
      <c r="J748" t="e">
        <f t="shared" si="59"/>
        <v>#REF!</v>
      </c>
      <c r="K748" s="141" t="e">
        <f t="shared" si="60"/>
        <v>#REF!</v>
      </c>
    </row>
    <row r="749" spans="1:11" hidden="1" x14ac:dyDescent="0.25">
      <c r="A749" t="e">
        <f>#REF!</f>
        <v>#REF!</v>
      </c>
      <c r="B749" t="e">
        <f>#REF!</f>
        <v>#REF!</v>
      </c>
      <c r="C749" t="e">
        <f>#REF!</f>
        <v>#REF!</v>
      </c>
      <c r="D749" t="e">
        <f>#REF!</f>
        <v>#REF!</v>
      </c>
      <c r="E749" t="e">
        <f>#REF!</f>
        <v>#REF!</v>
      </c>
      <c r="G749" t="e">
        <f t="shared" si="56"/>
        <v>#REF!</v>
      </c>
      <c r="H749" t="e">
        <f t="shared" si="57"/>
        <v>#REF!</v>
      </c>
      <c r="I749" s="141" t="e">
        <f t="shared" si="58"/>
        <v>#REF!</v>
      </c>
      <c r="J749" t="e">
        <f t="shared" si="59"/>
        <v>#REF!</v>
      </c>
      <c r="K749" s="141" t="e">
        <f t="shared" si="60"/>
        <v>#REF!</v>
      </c>
    </row>
    <row r="750" spans="1:11" hidden="1" x14ac:dyDescent="0.25">
      <c r="A750" t="e">
        <f>#REF!</f>
        <v>#REF!</v>
      </c>
      <c r="B750" t="e">
        <f>#REF!</f>
        <v>#REF!</v>
      </c>
      <c r="C750" t="e">
        <f>#REF!</f>
        <v>#REF!</v>
      </c>
      <c r="D750" t="e">
        <f>#REF!</f>
        <v>#REF!</v>
      </c>
      <c r="E750" t="e">
        <f>#REF!</f>
        <v>#REF!</v>
      </c>
      <c r="G750" t="e">
        <f t="shared" si="56"/>
        <v>#REF!</v>
      </c>
      <c r="H750" t="e">
        <f t="shared" si="57"/>
        <v>#REF!</v>
      </c>
      <c r="I750" s="141" t="e">
        <f t="shared" si="58"/>
        <v>#REF!</v>
      </c>
      <c r="J750" t="e">
        <f t="shared" si="59"/>
        <v>#REF!</v>
      </c>
      <c r="K750" s="141" t="e">
        <f t="shared" si="60"/>
        <v>#REF!</v>
      </c>
    </row>
    <row r="751" spans="1:11" hidden="1" x14ac:dyDescent="0.25">
      <c r="A751" t="e">
        <f>#REF!</f>
        <v>#REF!</v>
      </c>
      <c r="B751" t="e">
        <f>#REF!</f>
        <v>#REF!</v>
      </c>
      <c r="C751" t="e">
        <f>#REF!</f>
        <v>#REF!</v>
      </c>
      <c r="D751" t="e">
        <f>#REF!</f>
        <v>#REF!</v>
      </c>
      <c r="E751" t="e">
        <f>#REF!</f>
        <v>#REF!</v>
      </c>
      <c r="G751" t="e">
        <f t="shared" si="56"/>
        <v>#REF!</v>
      </c>
      <c r="H751" t="e">
        <f t="shared" si="57"/>
        <v>#REF!</v>
      </c>
      <c r="I751" s="141" t="e">
        <f t="shared" si="58"/>
        <v>#REF!</v>
      </c>
      <c r="J751" t="e">
        <f t="shared" si="59"/>
        <v>#REF!</v>
      </c>
      <c r="K751" s="141" t="e">
        <f t="shared" si="60"/>
        <v>#REF!</v>
      </c>
    </row>
    <row r="752" spans="1:11" hidden="1" x14ac:dyDescent="0.25">
      <c r="A752" t="e">
        <f>#REF!</f>
        <v>#REF!</v>
      </c>
      <c r="B752" t="e">
        <f>#REF!</f>
        <v>#REF!</v>
      </c>
      <c r="C752" t="e">
        <f>#REF!</f>
        <v>#REF!</v>
      </c>
      <c r="D752" t="e">
        <f>#REF!</f>
        <v>#REF!</v>
      </c>
      <c r="E752" t="e">
        <f>#REF!</f>
        <v>#REF!</v>
      </c>
      <c r="G752" t="e">
        <f t="shared" si="56"/>
        <v>#REF!</v>
      </c>
      <c r="H752" t="e">
        <f t="shared" si="57"/>
        <v>#REF!</v>
      </c>
      <c r="I752" s="141" t="e">
        <f t="shared" si="58"/>
        <v>#REF!</v>
      </c>
      <c r="J752" t="e">
        <f t="shared" si="59"/>
        <v>#REF!</v>
      </c>
      <c r="K752" s="141" t="e">
        <f t="shared" si="60"/>
        <v>#REF!</v>
      </c>
    </row>
    <row r="753" spans="1:11" hidden="1" x14ac:dyDescent="0.25">
      <c r="A753" t="e">
        <f>#REF!</f>
        <v>#REF!</v>
      </c>
      <c r="B753" t="e">
        <f>#REF!</f>
        <v>#REF!</v>
      </c>
      <c r="C753" t="e">
        <f>#REF!</f>
        <v>#REF!</v>
      </c>
      <c r="D753" t="e">
        <f>#REF!</f>
        <v>#REF!</v>
      </c>
      <c r="E753" t="e">
        <f>#REF!</f>
        <v>#REF!</v>
      </c>
      <c r="G753" t="e">
        <f t="shared" si="56"/>
        <v>#REF!</v>
      </c>
      <c r="H753" t="e">
        <f t="shared" si="57"/>
        <v>#REF!</v>
      </c>
      <c r="I753" s="141" t="e">
        <f t="shared" si="58"/>
        <v>#REF!</v>
      </c>
      <c r="J753" t="e">
        <f t="shared" si="59"/>
        <v>#REF!</v>
      </c>
      <c r="K753" s="141" t="e">
        <f t="shared" si="60"/>
        <v>#REF!</v>
      </c>
    </row>
    <row r="754" spans="1:11" hidden="1" x14ac:dyDescent="0.25">
      <c r="A754" t="e">
        <f>#REF!</f>
        <v>#REF!</v>
      </c>
      <c r="B754" t="e">
        <f>#REF!</f>
        <v>#REF!</v>
      </c>
      <c r="C754" t="e">
        <f>#REF!</f>
        <v>#REF!</v>
      </c>
      <c r="D754" t="e">
        <f>#REF!</f>
        <v>#REF!</v>
      </c>
      <c r="E754" t="e">
        <f>#REF!</f>
        <v>#REF!</v>
      </c>
      <c r="G754" t="e">
        <f t="shared" si="56"/>
        <v>#REF!</v>
      </c>
      <c r="H754" t="e">
        <f t="shared" si="57"/>
        <v>#REF!</v>
      </c>
      <c r="I754" s="141" t="e">
        <f t="shared" si="58"/>
        <v>#REF!</v>
      </c>
      <c r="J754" t="e">
        <f t="shared" si="59"/>
        <v>#REF!</v>
      </c>
      <c r="K754" s="141" t="e">
        <f t="shared" si="60"/>
        <v>#REF!</v>
      </c>
    </row>
    <row r="755" spans="1:11" hidden="1" x14ac:dyDescent="0.25">
      <c r="A755" t="e">
        <f>#REF!</f>
        <v>#REF!</v>
      </c>
      <c r="B755" t="e">
        <f>#REF!</f>
        <v>#REF!</v>
      </c>
      <c r="C755" t="e">
        <f>#REF!</f>
        <v>#REF!</v>
      </c>
      <c r="D755" t="e">
        <f>#REF!</f>
        <v>#REF!</v>
      </c>
      <c r="E755" t="e">
        <f>#REF!</f>
        <v>#REF!</v>
      </c>
      <c r="G755" t="e">
        <f t="shared" si="56"/>
        <v>#REF!</v>
      </c>
      <c r="H755" t="e">
        <f t="shared" si="57"/>
        <v>#REF!</v>
      </c>
      <c r="I755" s="141" t="e">
        <f t="shared" si="58"/>
        <v>#REF!</v>
      </c>
      <c r="J755" t="e">
        <f t="shared" si="59"/>
        <v>#REF!</v>
      </c>
      <c r="K755" s="141" t="e">
        <f t="shared" si="60"/>
        <v>#REF!</v>
      </c>
    </row>
    <row r="756" spans="1:11" hidden="1" x14ac:dyDescent="0.25">
      <c r="A756" t="e">
        <f>#REF!</f>
        <v>#REF!</v>
      </c>
      <c r="B756" t="e">
        <f>#REF!</f>
        <v>#REF!</v>
      </c>
      <c r="C756" t="e">
        <f>#REF!</f>
        <v>#REF!</v>
      </c>
      <c r="D756" t="e">
        <f>#REF!</f>
        <v>#REF!</v>
      </c>
      <c r="E756" t="e">
        <f>#REF!</f>
        <v>#REF!</v>
      </c>
      <c r="G756" t="e">
        <f t="shared" si="56"/>
        <v>#REF!</v>
      </c>
      <c r="H756" t="e">
        <f t="shared" si="57"/>
        <v>#REF!</v>
      </c>
      <c r="I756" s="141" t="e">
        <f t="shared" si="58"/>
        <v>#REF!</v>
      </c>
      <c r="J756" t="e">
        <f t="shared" si="59"/>
        <v>#REF!</v>
      </c>
      <c r="K756" s="141" t="e">
        <f t="shared" si="60"/>
        <v>#REF!</v>
      </c>
    </row>
    <row r="757" spans="1:11" hidden="1" x14ac:dyDescent="0.25">
      <c r="A757" t="e">
        <f>#REF!</f>
        <v>#REF!</v>
      </c>
      <c r="B757" t="e">
        <f>#REF!</f>
        <v>#REF!</v>
      </c>
      <c r="C757" t="e">
        <f>#REF!</f>
        <v>#REF!</v>
      </c>
      <c r="D757" t="e">
        <f>#REF!</f>
        <v>#REF!</v>
      </c>
      <c r="E757" t="e">
        <f>#REF!</f>
        <v>#REF!</v>
      </c>
      <c r="G757" t="e">
        <f t="shared" si="56"/>
        <v>#REF!</v>
      </c>
      <c r="H757" t="e">
        <f t="shared" si="57"/>
        <v>#REF!</v>
      </c>
      <c r="I757" s="141" t="e">
        <f t="shared" si="58"/>
        <v>#REF!</v>
      </c>
      <c r="J757" t="e">
        <f t="shared" si="59"/>
        <v>#REF!</v>
      </c>
      <c r="K757" s="141" t="e">
        <f t="shared" si="60"/>
        <v>#REF!</v>
      </c>
    </row>
    <row r="758" spans="1:11" hidden="1" x14ac:dyDescent="0.25">
      <c r="A758" t="e">
        <f>#REF!</f>
        <v>#REF!</v>
      </c>
      <c r="B758" t="e">
        <f>#REF!</f>
        <v>#REF!</v>
      </c>
      <c r="C758" t="e">
        <f>#REF!</f>
        <v>#REF!</v>
      </c>
      <c r="D758" t="e">
        <f>#REF!</f>
        <v>#REF!</v>
      </c>
      <c r="E758" t="e">
        <f>#REF!</f>
        <v>#REF!</v>
      </c>
      <c r="G758" t="e">
        <f t="shared" si="56"/>
        <v>#REF!</v>
      </c>
      <c r="H758" t="e">
        <f t="shared" si="57"/>
        <v>#REF!</v>
      </c>
      <c r="I758" s="141" t="e">
        <f t="shared" si="58"/>
        <v>#REF!</v>
      </c>
      <c r="J758" t="e">
        <f t="shared" si="59"/>
        <v>#REF!</v>
      </c>
      <c r="K758" s="141" t="e">
        <f t="shared" si="60"/>
        <v>#REF!</v>
      </c>
    </row>
    <row r="759" spans="1:11" hidden="1" x14ac:dyDescent="0.25">
      <c r="A759" t="e">
        <f>#REF!</f>
        <v>#REF!</v>
      </c>
      <c r="B759" t="e">
        <f>#REF!</f>
        <v>#REF!</v>
      </c>
      <c r="C759" t="e">
        <f>#REF!</f>
        <v>#REF!</v>
      </c>
      <c r="D759" t="e">
        <f>#REF!</f>
        <v>#REF!</v>
      </c>
      <c r="E759" t="e">
        <f>#REF!</f>
        <v>#REF!</v>
      </c>
      <c r="G759" t="e">
        <f t="shared" si="56"/>
        <v>#REF!</v>
      </c>
      <c r="H759" t="e">
        <f t="shared" si="57"/>
        <v>#REF!</v>
      </c>
      <c r="I759" s="141" t="e">
        <f t="shared" si="58"/>
        <v>#REF!</v>
      </c>
      <c r="J759" t="e">
        <f t="shared" si="59"/>
        <v>#REF!</v>
      </c>
      <c r="K759" s="141" t="e">
        <f t="shared" si="60"/>
        <v>#REF!</v>
      </c>
    </row>
    <row r="760" spans="1:11" hidden="1" x14ac:dyDescent="0.25">
      <c r="A760" t="e">
        <f>#REF!</f>
        <v>#REF!</v>
      </c>
      <c r="B760" t="e">
        <f>#REF!</f>
        <v>#REF!</v>
      </c>
      <c r="C760" t="e">
        <f>#REF!</f>
        <v>#REF!</v>
      </c>
      <c r="D760" t="e">
        <f>#REF!</f>
        <v>#REF!</v>
      </c>
      <c r="E760" t="e">
        <f>#REF!</f>
        <v>#REF!</v>
      </c>
      <c r="G760" t="e">
        <f t="shared" si="56"/>
        <v>#REF!</v>
      </c>
      <c r="H760" t="e">
        <f t="shared" si="57"/>
        <v>#REF!</v>
      </c>
      <c r="I760" s="141" t="e">
        <f t="shared" si="58"/>
        <v>#REF!</v>
      </c>
      <c r="J760" t="e">
        <f t="shared" si="59"/>
        <v>#REF!</v>
      </c>
      <c r="K760" s="141" t="e">
        <f t="shared" si="60"/>
        <v>#REF!</v>
      </c>
    </row>
    <row r="761" spans="1:11" hidden="1" x14ac:dyDescent="0.25">
      <c r="A761" t="e">
        <f>#REF!</f>
        <v>#REF!</v>
      </c>
      <c r="B761" t="e">
        <f>#REF!</f>
        <v>#REF!</v>
      </c>
      <c r="C761" t="e">
        <f>#REF!</f>
        <v>#REF!</v>
      </c>
      <c r="D761" t="e">
        <f>#REF!</f>
        <v>#REF!</v>
      </c>
      <c r="E761" t="e">
        <f>#REF!</f>
        <v>#REF!</v>
      </c>
      <c r="G761" t="e">
        <f t="shared" si="56"/>
        <v>#REF!</v>
      </c>
      <c r="H761" t="e">
        <f t="shared" si="57"/>
        <v>#REF!</v>
      </c>
      <c r="I761" s="141" t="e">
        <f t="shared" si="58"/>
        <v>#REF!</v>
      </c>
      <c r="J761" t="e">
        <f t="shared" si="59"/>
        <v>#REF!</v>
      </c>
      <c r="K761" s="141" t="e">
        <f t="shared" si="60"/>
        <v>#REF!</v>
      </c>
    </row>
    <row r="762" spans="1:11" hidden="1" x14ac:dyDescent="0.25">
      <c r="A762" t="e">
        <f>#REF!</f>
        <v>#REF!</v>
      </c>
      <c r="B762" t="e">
        <f>#REF!</f>
        <v>#REF!</v>
      </c>
      <c r="C762" t="e">
        <f>#REF!</f>
        <v>#REF!</v>
      </c>
      <c r="D762" t="e">
        <f>#REF!</f>
        <v>#REF!</v>
      </c>
      <c r="E762" t="e">
        <f>#REF!</f>
        <v>#REF!</v>
      </c>
      <c r="G762" t="e">
        <f t="shared" si="56"/>
        <v>#REF!</v>
      </c>
      <c r="H762" t="e">
        <f t="shared" si="57"/>
        <v>#REF!</v>
      </c>
      <c r="I762" s="141" t="e">
        <f t="shared" si="58"/>
        <v>#REF!</v>
      </c>
      <c r="J762" t="e">
        <f t="shared" si="59"/>
        <v>#REF!</v>
      </c>
      <c r="K762" s="141" t="e">
        <f t="shared" si="60"/>
        <v>#REF!</v>
      </c>
    </row>
    <row r="763" spans="1:11" hidden="1" x14ac:dyDescent="0.25">
      <c r="A763" t="e">
        <f>#REF!</f>
        <v>#REF!</v>
      </c>
      <c r="B763" t="e">
        <f>#REF!</f>
        <v>#REF!</v>
      </c>
      <c r="C763" t="e">
        <f>#REF!</f>
        <v>#REF!</v>
      </c>
      <c r="D763" t="e">
        <f>#REF!</f>
        <v>#REF!</v>
      </c>
      <c r="E763" t="e">
        <f>#REF!</f>
        <v>#REF!</v>
      </c>
      <c r="G763" t="e">
        <f t="shared" si="56"/>
        <v>#REF!</v>
      </c>
      <c r="H763" t="e">
        <f t="shared" si="57"/>
        <v>#REF!</v>
      </c>
      <c r="I763" s="141" t="e">
        <f t="shared" si="58"/>
        <v>#REF!</v>
      </c>
      <c r="J763" t="e">
        <f t="shared" si="59"/>
        <v>#REF!</v>
      </c>
      <c r="K763" s="141" t="e">
        <f t="shared" si="60"/>
        <v>#REF!</v>
      </c>
    </row>
    <row r="764" spans="1:11" hidden="1" x14ac:dyDescent="0.25">
      <c r="A764" t="e">
        <f>#REF!</f>
        <v>#REF!</v>
      </c>
      <c r="B764" t="e">
        <f>#REF!</f>
        <v>#REF!</v>
      </c>
      <c r="C764" t="e">
        <f>#REF!</f>
        <v>#REF!</v>
      </c>
      <c r="D764" t="e">
        <f>#REF!</f>
        <v>#REF!</v>
      </c>
      <c r="E764" t="e">
        <f>#REF!</f>
        <v>#REF!</v>
      </c>
      <c r="G764" t="e">
        <f t="shared" si="56"/>
        <v>#REF!</v>
      </c>
      <c r="H764" t="e">
        <f t="shared" si="57"/>
        <v>#REF!</v>
      </c>
      <c r="I764" s="141" t="e">
        <f t="shared" si="58"/>
        <v>#REF!</v>
      </c>
      <c r="J764" t="e">
        <f t="shared" si="59"/>
        <v>#REF!</v>
      </c>
      <c r="K764" s="141" t="e">
        <f t="shared" si="60"/>
        <v>#REF!</v>
      </c>
    </row>
    <row r="765" spans="1:11" hidden="1" x14ac:dyDescent="0.25">
      <c r="A765" t="e">
        <f>#REF!</f>
        <v>#REF!</v>
      </c>
      <c r="B765" t="e">
        <f>#REF!</f>
        <v>#REF!</v>
      </c>
      <c r="C765" t="e">
        <f>#REF!</f>
        <v>#REF!</v>
      </c>
      <c r="D765" t="e">
        <f>#REF!</f>
        <v>#REF!</v>
      </c>
      <c r="E765" t="e">
        <f>#REF!</f>
        <v>#REF!</v>
      </c>
      <c r="G765" t="e">
        <f t="shared" si="56"/>
        <v>#REF!</v>
      </c>
      <c r="H765" t="e">
        <f t="shared" si="57"/>
        <v>#REF!</v>
      </c>
      <c r="I765" s="141" t="e">
        <f t="shared" si="58"/>
        <v>#REF!</v>
      </c>
      <c r="J765" t="e">
        <f t="shared" si="59"/>
        <v>#REF!</v>
      </c>
      <c r="K765" s="141" t="e">
        <f t="shared" si="60"/>
        <v>#REF!</v>
      </c>
    </row>
    <row r="766" spans="1:11" hidden="1" x14ac:dyDescent="0.25">
      <c r="A766" t="e">
        <f>#REF!</f>
        <v>#REF!</v>
      </c>
      <c r="B766" t="e">
        <f>#REF!</f>
        <v>#REF!</v>
      </c>
      <c r="C766" t="e">
        <f>#REF!</f>
        <v>#REF!</v>
      </c>
      <c r="D766" t="e">
        <f>#REF!</f>
        <v>#REF!</v>
      </c>
      <c r="E766" t="e">
        <f>#REF!</f>
        <v>#REF!</v>
      </c>
      <c r="G766" t="e">
        <f t="shared" si="56"/>
        <v>#REF!</v>
      </c>
      <c r="H766" t="e">
        <f t="shared" si="57"/>
        <v>#REF!</v>
      </c>
      <c r="I766" s="141" t="e">
        <f t="shared" si="58"/>
        <v>#REF!</v>
      </c>
      <c r="J766" t="e">
        <f t="shared" si="59"/>
        <v>#REF!</v>
      </c>
      <c r="K766" s="141" t="e">
        <f t="shared" si="60"/>
        <v>#REF!</v>
      </c>
    </row>
    <row r="767" spans="1:11" hidden="1" x14ac:dyDescent="0.25">
      <c r="A767" t="e">
        <f>#REF!</f>
        <v>#REF!</v>
      </c>
      <c r="B767" t="e">
        <f>#REF!</f>
        <v>#REF!</v>
      </c>
      <c r="C767" t="e">
        <f>#REF!</f>
        <v>#REF!</v>
      </c>
      <c r="D767" t="e">
        <f>#REF!</f>
        <v>#REF!</v>
      </c>
      <c r="E767" t="e">
        <f>#REF!</f>
        <v>#REF!</v>
      </c>
      <c r="G767" t="e">
        <f t="shared" si="56"/>
        <v>#REF!</v>
      </c>
      <c r="H767" t="e">
        <f t="shared" si="57"/>
        <v>#REF!</v>
      </c>
      <c r="I767" s="141" t="e">
        <f t="shared" si="58"/>
        <v>#REF!</v>
      </c>
      <c r="J767" t="e">
        <f t="shared" si="59"/>
        <v>#REF!</v>
      </c>
      <c r="K767" s="141" t="e">
        <f t="shared" si="60"/>
        <v>#REF!</v>
      </c>
    </row>
    <row r="768" spans="1:11" hidden="1" x14ac:dyDescent="0.25">
      <c r="A768" t="e">
        <f>#REF!</f>
        <v>#REF!</v>
      </c>
      <c r="B768" t="e">
        <f>#REF!</f>
        <v>#REF!</v>
      </c>
      <c r="C768" t="e">
        <f>#REF!</f>
        <v>#REF!</v>
      </c>
      <c r="D768" t="e">
        <f>#REF!</f>
        <v>#REF!</v>
      </c>
      <c r="E768" t="e">
        <f>#REF!</f>
        <v>#REF!</v>
      </c>
      <c r="G768" t="e">
        <f t="shared" si="56"/>
        <v>#REF!</v>
      </c>
      <c r="H768" t="e">
        <f t="shared" si="57"/>
        <v>#REF!</v>
      </c>
      <c r="I768" s="141" t="e">
        <f t="shared" si="58"/>
        <v>#REF!</v>
      </c>
      <c r="J768" t="e">
        <f t="shared" si="59"/>
        <v>#REF!</v>
      </c>
      <c r="K768" s="141" t="e">
        <f t="shared" si="60"/>
        <v>#REF!</v>
      </c>
    </row>
    <row r="769" spans="1:11" hidden="1" x14ac:dyDescent="0.25">
      <c r="A769" t="e">
        <f>#REF!</f>
        <v>#REF!</v>
      </c>
      <c r="B769" t="e">
        <f>#REF!</f>
        <v>#REF!</v>
      </c>
      <c r="C769" t="e">
        <f>#REF!</f>
        <v>#REF!</v>
      </c>
      <c r="D769" t="e">
        <f>#REF!</f>
        <v>#REF!</v>
      </c>
      <c r="E769" t="e">
        <f>#REF!</f>
        <v>#REF!</v>
      </c>
      <c r="G769" t="e">
        <f t="shared" si="56"/>
        <v>#REF!</v>
      </c>
      <c r="H769" t="e">
        <f t="shared" si="57"/>
        <v>#REF!</v>
      </c>
      <c r="I769" s="141" t="e">
        <f t="shared" si="58"/>
        <v>#REF!</v>
      </c>
      <c r="J769" t="e">
        <f t="shared" si="59"/>
        <v>#REF!</v>
      </c>
      <c r="K769" s="141" t="e">
        <f t="shared" si="60"/>
        <v>#REF!</v>
      </c>
    </row>
    <row r="770" spans="1:11" hidden="1" x14ac:dyDescent="0.25">
      <c r="A770" t="e">
        <f>#REF!</f>
        <v>#REF!</v>
      </c>
      <c r="B770" t="e">
        <f>#REF!</f>
        <v>#REF!</v>
      </c>
      <c r="C770" t="e">
        <f>#REF!</f>
        <v>#REF!</v>
      </c>
      <c r="D770" t="e">
        <f>#REF!</f>
        <v>#REF!</v>
      </c>
      <c r="E770" t="e">
        <f>#REF!</f>
        <v>#REF!</v>
      </c>
      <c r="G770" t="e">
        <f t="shared" ref="G770:G833" si="61">A770</f>
        <v>#REF!</v>
      </c>
      <c r="H770" t="e">
        <f t="shared" ref="H770:H833" si="62">B770</f>
        <v>#REF!</v>
      </c>
      <c r="I770" s="141" t="e">
        <f t="shared" ref="I770:I833" si="63">C770</f>
        <v>#REF!</v>
      </c>
      <c r="J770" t="e">
        <f t="shared" ref="J770:J833" si="64">D770</f>
        <v>#REF!</v>
      </c>
      <c r="K770" s="141" t="e">
        <f t="shared" ref="K770:K833" si="65">E770</f>
        <v>#REF!</v>
      </c>
    </row>
    <row r="771" spans="1:11" hidden="1" x14ac:dyDescent="0.25">
      <c r="A771" t="e">
        <f>#REF!</f>
        <v>#REF!</v>
      </c>
      <c r="B771" t="e">
        <f>#REF!</f>
        <v>#REF!</v>
      </c>
      <c r="C771" t="e">
        <f>#REF!</f>
        <v>#REF!</v>
      </c>
      <c r="D771" t="e">
        <f>#REF!</f>
        <v>#REF!</v>
      </c>
      <c r="E771" t="e">
        <f>#REF!</f>
        <v>#REF!</v>
      </c>
      <c r="G771" t="e">
        <f t="shared" si="61"/>
        <v>#REF!</v>
      </c>
      <c r="H771" t="e">
        <f t="shared" si="62"/>
        <v>#REF!</v>
      </c>
      <c r="I771" s="141" t="e">
        <f t="shared" si="63"/>
        <v>#REF!</v>
      </c>
      <c r="J771" t="e">
        <f t="shared" si="64"/>
        <v>#REF!</v>
      </c>
      <c r="K771" s="141" t="e">
        <f t="shared" si="65"/>
        <v>#REF!</v>
      </c>
    </row>
    <row r="772" spans="1:11" hidden="1" x14ac:dyDescent="0.25">
      <c r="A772" t="e">
        <f>#REF!</f>
        <v>#REF!</v>
      </c>
      <c r="B772" t="e">
        <f>#REF!</f>
        <v>#REF!</v>
      </c>
      <c r="C772" t="e">
        <f>#REF!</f>
        <v>#REF!</v>
      </c>
      <c r="D772" t="e">
        <f>#REF!</f>
        <v>#REF!</v>
      </c>
      <c r="E772" t="e">
        <f>#REF!</f>
        <v>#REF!</v>
      </c>
      <c r="G772" t="e">
        <f t="shared" si="61"/>
        <v>#REF!</v>
      </c>
      <c r="H772" t="e">
        <f t="shared" si="62"/>
        <v>#REF!</v>
      </c>
      <c r="I772" s="141" t="e">
        <f t="shared" si="63"/>
        <v>#REF!</v>
      </c>
      <c r="J772" t="e">
        <f t="shared" si="64"/>
        <v>#REF!</v>
      </c>
      <c r="K772" s="141" t="e">
        <f t="shared" si="65"/>
        <v>#REF!</v>
      </c>
    </row>
    <row r="773" spans="1:11" hidden="1" x14ac:dyDescent="0.25">
      <c r="A773" t="e">
        <f>#REF!</f>
        <v>#REF!</v>
      </c>
      <c r="B773" t="e">
        <f>#REF!</f>
        <v>#REF!</v>
      </c>
      <c r="C773" t="e">
        <f>#REF!</f>
        <v>#REF!</v>
      </c>
      <c r="D773" t="e">
        <f>#REF!</f>
        <v>#REF!</v>
      </c>
      <c r="E773" t="e">
        <f>#REF!</f>
        <v>#REF!</v>
      </c>
      <c r="G773" t="e">
        <f t="shared" si="61"/>
        <v>#REF!</v>
      </c>
      <c r="H773" t="e">
        <f t="shared" si="62"/>
        <v>#REF!</v>
      </c>
      <c r="I773" s="141" t="e">
        <f t="shared" si="63"/>
        <v>#REF!</v>
      </c>
      <c r="J773" t="e">
        <f t="shared" si="64"/>
        <v>#REF!</v>
      </c>
      <c r="K773" s="141" t="e">
        <f t="shared" si="65"/>
        <v>#REF!</v>
      </c>
    </row>
    <row r="774" spans="1:11" hidden="1" x14ac:dyDescent="0.25">
      <c r="A774" t="e">
        <f>#REF!</f>
        <v>#REF!</v>
      </c>
      <c r="B774" t="e">
        <f>#REF!</f>
        <v>#REF!</v>
      </c>
      <c r="C774" t="e">
        <f>#REF!</f>
        <v>#REF!</v>
      </c>
      <c r="D774" t="e">
        <f>#REF!</f>
        <v>#REF!</v>
      </c>
      <c r="E774" t="e">
        <f>#REF!</f>
        <v>#REF!</v>
      </c>
      <c r="G774" t="e">
        <f t="shared" si="61"/>
        <v>#REF!</v>
      </c>
      <c r="H774" t="e">
        <f t="shared" si="62"/>
        <v>#REF!</v>
      </c>
      <c r="I774" s="141" t="e">
        <f t="shared" si="63"/>
        <v>#REF!</v>
      </c>
      <c r="J774" t="e">
        <f t="shared" si="64"/>
        <v>#REF!</v>
      </c>
      <c r="K774" s="141" t="e">
        <f t="shared" si="65"/>
        <v>#REF!</v>
      </c>
    </row>
    <row r="775" spans="1:11" hidden="1" x14ac:dyDescent="0.25">
      <c r="A775" t="e">
        <f>#REF!</f>
        <v>#REF!</v>
      </c>
      <c r="B775" t="e">
        <f>#REF!</f>
        <v>#REF!</v>
      </c>
      <c r="C775" t="e">
        <f>#REF!</f>
        <v>#REF!</v>
      </c>
      <c r="D775" t="e">
        <f>#REF!</f>
        <v>#REF!</v>
      </c>
      <c r="E775" t="e">
        <f>#REF!</f>
        <v>#REF!</v>
      </c>
      <c r="G775" t="e">
        <f t="shared" si="61"/>
        <v>#REF!</v>
      </c>
      <c r="H775" t="e">
        <f t="shared" si="62"/>
        <v>#REF!</v>
      </c>
      <c r="I775" s="141" t="e">
        <f t="shared" si="63"/>
        <v>#REF!</v>
      </c>
      <c r="J775" t="e">
        <f t="shared" si="64"/>
        <v>#REF!</v>
      </c>
      <c r="K775" s="141" t="e">
        <f t="shared" si="65"/>
        <v>#REF!</v>
      </c>
    </row>
    <row r="776" spans="1:11" hidden="1" x14ac:dyDescent="0.25">
      <c r="A776" t="e">
        <f>#REF!</f>
        <v>#REF!</v>
      </c>
      <c r="B776" t="e">
        <f>#REF!</f>
        <v>#REF!</v>
      </c>
      <c r="C776" t="e">
        <f>#REF!</f>
        <v>#REF!</v>
      </c>
      <c r="D776" t="e">
        <f>#REF!</f>
        <v>#REF!</v>
      </c>
      <c r="E776" t="e">
        <f>#REF!</f>
        <v>#REF!</v>
      </c>
      <c r="G776" t="e">
        <f t="shared" si="61"/>
        <v>#REF!</v>
      </c>
      <c r="H776" t="e">
        <f t="shared" si="62"/>
        <v>#REF!</v>
      </c>
      <c r="I776" s="141" t="e">
        <f t="shared" si="63"/>
        <v>#REF!</v>
      </c>
      <c r="J776" t="e">
        <f t="shared" si="64"/>
        <v>#REF!</v>
      </c>
      <c r="K776" s="141" t="e">
        <f t="shared" si="65"/>
        <v>#REF!</v>
      </c>
    </row>
    <row r="777" spans="1:11" hidden="1" x14ac:dyDescent="0.25">
      <c r="A777" t="e">
        <f>#REF!</f>
        <v>#REF!</v>
      </c>
      <c r="B777" t="e">
        <f>#REF!</f>
        <v>#REF!</v>
      </c>
      <c r="C777" t="e">
        <f>#REF!</f>
        <v>#REF!</v>
      </c>
      <c r="D777" t="e">
        <f>#REF!</f>
        <v>#REF!</v>
      </c>
      <c r="E777" t="e">
        <f>#REF!</f>
        <v>#REF!</v>
      </c>
      <c r="G777" t="e">
        <f t="shared" si="61"/>
        <v>#REF!</v>
      </c>
      <c r="H777" t="e">
        <f t="shared" si="62"/>
        <v>#REF!</v>
      </c>
      <c r="I777" s="141" t="e">
        <f t="shared" si="63"/>
        <v>#REF!</v>
      </c>
      <c r="J777" t="e">
        <f t="shared" si="64"/>
        <v>#REF!</v>
      </c>
      <c r="K777" s="141" t="e">
        <f t="shared" si="65"/>
        <v>#REF!</v>
      </c>
    </row>
    <row r="778" spans="1:11" hidden="1" x14ac:dyDescent="0.25">
      <c r="A778" t="e">
        <f>#REF!</f>
        <v>#REF!</v>
      </c>
      <c r="B778" t="e">
        <f>#REF!</f>
        <v>#REF!</v>
      </c>
      <c r="C778" t="e">
        <f>#REF!</f>
        <v>#REF!</v>
      </c>
      <c r="D778" t="e">
        <f>#REF!</f>
        <v>#REF!</v>
      </c>
      <c r="E778" t="e">
        <f>#REF!</f>
        <v>#REF!</v>
      </c>
      <c r="G778" t="e">
        <f t="shared" si="61"/>
        <v>#REF!</v>
      </c>
      <c r="H778" t="e">
        <f t="shared" si="62"/>
        <v>#REF!</v>
      </c>
      <c r="I778" s="141" t="e">
        <f t="shared" si="63"/>
        <v>#REF!</v>
      </c>
      <c r="J778" t="e">
        <f t="shared" si="64"/>
        <v>#REF!</v>
      </c>
      <c r="K778" s="141" t="e">
        <f t="shared" si="65"/>
        <v>#REF!</v>
      </c>
    </row>
    <row r="779" spans="1:11" hidden="1" x14ac:dyDescent="0.25">
      <c r="A779" t="e">
        <f>#REF!</f>
        <v>#REF!</v>
      </c>
      <c r="B779" t="e">
        <f>#REF!</f>
        <v>#REF!</v>
      </c>
      <c r="C779" t="e">
        <f>#REF!</f>
        <v>#REF!</v>
      </c>
      <c r="D779" t="e">
        <f>#REF!</f>
        <v>#REF!</v>
      </c>
      <c r="E779" t="e">
        <f>#REF!</f>
        <v>#REF!</v>
      </c>
      <c r="G779" t="e">
        <f t="shared" si="61"/>
        <v>#REF!</v>
      </c>
      <c r="H779" t="e">
        <f t="shared" si="62"/>
        <v>#REF!</v>
      </c>
      <c r="I779" s="141" t="e">
        <f t="shared" si="63"/>
        <v>#REF!</v>
      </c>
      <c r="J779" t="e">
        <f t="shared" si="64"/>
        <v>#REF!</v>
      </c>
      <c r="K779" s="141" t="e">
        <f t="shared" si="65"/>
        <v>#REF!</v>
      </c>
    </row>
    <row r="780" spans="1:11" hidden="1" x14ac:dyDescent="0.25">
      <c r="A780" t="e">
        <f>#REF!</f>
        <v>#REF!</v>
      </c>
      <c r="B780" t="e">
        <f>#REF!</f>
        <v>#REF!</v>
      </c>
      <c r="C780" t="e">
        <f>#REF!</f>
        <v>#REF!</v>
      </c>
      <c r="D780" t="e">
        <f>#REF!</f>
        <v>#REF!</v>
      </c>
      <c r="E780" t="e">
        <f>#REF!</f>
        <v>#REF!</v>
      </c>
      <c r="G780" t="e">
        <f t="shared" si="61"/>
        <v>#REF!</v>
      </c>
      <c r="H780" t="e">
        <f t="shared" si="62"/>
        <v>#REF!</v>
      </c>
      <c r="I780" s="141" t="e">
        <f t="shared" si="63"/>
        <v>#REF!</v>
      </c>
      <c r="J780" t="e">
        <f t="shared" si="64"/>
        <v>#REF!</v>
      </c>
      <c r="K780" s="141" t="e">
        <f t="shared" si="65"/>
        <v>#REF!</v>
      </c>
    </row>
    <row r="781" spans="1:11" hidden="1" x14ac:dyDescent="0.25">
      <c r="A781" t="e">
        <f>#REF!</f>
        <v>#REF!</v>
      </c>
      <c r="B781" t="e">
        <f>#REF!</f>
        <v>#REF!</v>
      </c>
      <c r="C781" t="e">
        <f>#REF!</f>
        <v>#REF!</v>
      </c>
      <c r="D781" t="e">
        <f>#REF!</f>
        <v>#REF!</v>
      </c>
      <c r="E781" t="e">
        <f>#REF!</f>
        <v>#REF!</v>
      </c>
      <c r="G781" t="e">
        <f t="shared" si="61"/>
        <v>#REF!</v>
      </c>
      <c r="H781" t="e">
        <f t="shared" si="62"/>
        <v>#REF!</v>
      </c>
      <c r="I781" s="141" t="e">
        <f t="shared" si="63"/>
        <v>#REF!</v>
      </c>
      <c r="J781" t="e">
        <f t="shared" si="64"/>
        <v>#REF!</v>
      </c>
      <c r="K781" s="141" t="e">
        <f t="shared" si="65"/>
        <v>#REF!</v>
      </c>
    </row>
    <row r="782" spans="1:11" hidden="1" x14ac:dyDescent="0.25">
      <c r="A782" t="e">
        <f>#REF!</f>
        <v>#REF!</v>
      </c>
      <c r="B782" t="e">
        <f>#REF!</f>
        <v>#REF!</v>
      </c>
      <c r="C782" t="e">
        <f>#REF!</f>
        <v>#REF!</v>
      </c>
      <c r="D782" t="e">
        <f>#REF!</f>
        <v>#REF!</v>
      </c>
      <c r="E782" t="e">
        <f>#REF!</f>
        <v>#REF!</v>
      </c>
      <c r="G782" t="e">
        <f t="shared" si="61"/>
        <v>#REF!</v>
      </c>
      <c r="H782" t="e">
        <f t="shared" si="62"/>
        <v>#REF!</v>
      </c>
      <c r="I782" s="141" t="e">
        <f t="shared" si="63"/>
        <v>#REF!</v>
      </c>
      <c r="J782" t="e">
        <f t="shared" si="64"/>
        <v>#REF!</v>
      </c>
      <c r="K782" s="141" t="e">
        <f t="shared" si="65"/>
        <v>#REF!</v>
      </c>
    </row>
    <row r="783" spans="1:11" hidden="1" x14ac:dyDescent="0.25">
      <c r="A783" t="e">
        <f>#REF!</f>
        <v>#REF!</v>
      </c>
      <c r="B783" t="e">
        <f>#REF!</f>
        <v>#REF!</v>
      </c>
      <c r="C783" t="e">
        <f>#REF!</f>
        <v>#REF!</v>
      </c>
      <c r="D783" t="e">
        <f>#REF!</f>
        <v>#REF!</v>
      </c>
      <c r="E783" t="e">
        <f>#REF!</f>
        <v>#REF!</v>
      </c>
      <c r="G783" t="e">
        <f t="shared" si="61"/>
        <v>#REF!</v>
      </c>
      <c r="H783" t="e">
        <f t="shared" si="62"/>
        <v>#REF!</v>
      </c>
      <c r="I783" s="141" t="e">
        <f t="shared" si="63"/>
        <v>#REF!</v>
      </c>
      <c r="J783" t="e">
        <f t="shared" si="64"/>
        <v>#REF!</v>
      </c>
      <c r="K783" s="141" t="e">
        <f t="shared" si="65"/>
        <v>#REF!</v>
      </c>
    </row>
    <row r="784" spans="1:11" hidden="1" x14ac:dyDescent="0.25">
      <c r="A784" t="e">
        <f>#REF!</f>
        <v>#REF!</v>
      </c>
      <c r="B784" t="e">
        <f>#REF!</f>
        <v>#REF!</v>
      </c>
      <c r="C784" t="e">
        <f>#REF!</f>
        <v>#REF!</v>
      </c>
      <c r="D784" t="e">
        <f>#REF!</f>
        <v>#REF!</v>
      </c>
      <c r="E784" t="e">
        <f>#REF!</f>
        <v>#REF!</v>
      </c>
      <c r="G784" t="e">
        <f t="shared" si="61"/>
        <v>#REF!</v>
      </c>
      <c r="H784" t="e">
        <f t="shared" si="62"/>
        <v>#REF!</v>
      </c>
      <c r="I784" s="141" t="e">
        <f t="shared" si="63"/>
        <v>#REF!</v>
      </c>
      <c r="J784" t="e">
        <f t="shared" si="64"/>
        <v>#REF!</v>
      </c>
      <c r="K784" s="141" t="e">
        <f t="shared" si="65"/>
        <v>#REF!</v>
      </c>
    </row>
    <row r="785" spans="1:11" hidden="1" x14ac:dyDescent="0.25">
      <c r="A785" t="e">
        <f>#REF!</f>
        <v>#REF!</v>
      </c>
      <c r="B785" t="e">
        <f>#REF!</f>
        <v>#REF!</v>
      </c>
      <c r="C785" t="e">
        <f>#REF!</f>
        <v>#REF!</v>
      </c>
      <c r="D785" t="e">
        <f>#REF!</f>
        <v>#REF!</v>
      </c>
      <c r="E785" t="e">
        <f>#REF!</f>
        <v>#REF!</v>
      </c>
      <c r="G785" t="e">
        <f t="shared" si="61"/>
        <v>#REF!</v>
      </c>
      <c r="H785" t="e">
        <f t="shared" si="62"/>
        <v>#REF!</v>
      </c>
      <c r="I785" s="141" t="e">
        <f t="shared" si="63"/>
        <v>#REF!</v>
      </c>
      <c r="J785" t="e">
        <f t="shared" si="64"/>
        <v>#REF!</v>
      </c>
      <c r="K785" s="141" t="e">
        <f t="shared" si="65"/>
        <v>#REF!</v>
      </c>
    </row>
    <row r="786" spans="1:11" hidden="1" x14ac:dyDescent="0.25">
      <c r="A786" t="e">
        <f>#REF!</f>
        <v>#REF!</v>
      </c>
      <c r="B786" t="e">
        <f>#REF!</f>
        <v>#REF!</v>
      </c>
      <c r="C786" t="e">
        <f>#REF!</f>
        <v>#REF!</v>
      </c>
      <c r="D786" t="e">
        <f>#REF!</f>
        <v>#REF!</v>
      </c>
      <c r="E786" t="e">
        <f>#REF!</f>
        <v>#REF!</v>
      </c>
      <c r="G786" t="e">
        <f t="shared" si="61"/>
        <v>#REF!</v>
      </c>
      <c r="H786" t="e">
        <f t="shared" si="62"/>
        <v>#REF!</v>
      </c>
      <c r="I786" s="141" t="e">
        <f t="shared" si="63"/>
        <v>#REF!</v>
      </c>
      <c r="J786" t="e">
        <f t="shared" si="64"/>
        <v>#REF!</v>
      </c>
      <c r="K786" s="141" t="e">
        <f t="shared" si="65"/>
        <v>#REF!</v>
      </c>
    </row>
    <row r="787" spans="1:11" hidden="1" x14ac:dyDescent="0.25">
      <c r="A787" t="e">
        <f>#REF!</f>
        <v>#REF!</v>
      </c>
      <c r="B787" t="e">
        <f>#REF!</f>
        <v>#REF!</v>
      </c>
      <c r="C787" t="e">
        <f>#REF!</f>
        <v>#REF!</v>
      </c>
      <c r="D787" t="e">
        <f>#REF!</f>
        <v>#REF!</v>
      </c>
      <c r="E787" t="e">
        <f>#REF!</f>
        <v>#REF!</v>
      </c>
      <c r="G787" t="e">
        <f t="shared" si="61"/>
        <v>#REF!</v>
      </c>
      <c r="H787" t="e">
        <f t="shared" si="62"/>
        <v>#REF!</v>
      </c>
      <c r="I787" s="141" t="e">
        <f t="shared" si="63"/>
        <v>#REF!</v>
      </c>
      <c r="J787" t="e">
        <f t="shared" si="64"/>
        <v>#REF!</v>
      </c>
      <c r="K787" s="141" t="e">
        <f t="shared" si="65"/>
        <v>#REF!</v>
      </c>
    </row>
    <row r="788" spans="1:11" hidden="1" x14ac:dyDescent="0.25">
      <c r="A788" t="e">
        <f>#REF!</f>
        <v>#REF!</v>
      </c>
      <c r="B788" t="e">
        <f>#REF!</f>
        <v>#REF!</v>
      </c>
      <c r="C788" t="e">
        <f>#REF!</f>
        <v>#REF!</v>
      </c>
      <c r="D788" t="e">
        <f>#REF!</f>
        <v>#REF!</v>
      </c>
      <c r="E788" t="e">
        <f>#REF!</f>
        <v>#REF!</v>
      </c>
      <c r="G788" t="e">
        <f t="shared" si="61"/>
        <v>#REF!</v>
      </c>
      <c r="H788" t="e">
        <f t="shared" si="62"/>
        <v>#REF!</v>
      </c>
      <c r="I788" s="141" t="e">
        <f t="shared" si="63"/>
        <v>#REF!</v>
      </c>
      <c r="J788" t="e">
        <f t="shared" si="64"/>
        <v>#REF!</v>
      </c>
      <c r="K788" s="141" t="e">
        <f t="shared" si="65"/>
        <v>#REF!</v>
      </c>
    </row>
    <row r="789" spans="1:11" hidden="1" x14ac:dyDescent="0.25">
      <c r="A789" t="e">
        <f>#REF!</f>
        <v>#REF!</v>
      </c>
      <c r="B789" t="e">
        <f>#REF!</f>
        <v>#REF!</v>
      </c>
      <c r="C789" t="e">
        <f>#REF!</f>
        <v>#REF!</v>
      </c>
      <c r="D789" t="e">
        <f>#REF!</f>
        <v>#REF!</v>
      </c>
      <c r="E789" t="e">
        <f>#REF!</f>
        <v>#REF!</v>
      </c>
      <c r="G789" t="e">
        <f t="shared" si="61"/>
        <v>#REF!</v>
      </c>
      <c r="H789" t="e">
        <f t="shared" si="62"/>
        <v>#REF!</v>
      </c>
      <c r="I789" s="141" t="e">
        <f t="shared" si="63"/>
        <v>#REF!</v>
      </c>
      <c r="J789" t="e">
        <f t="shared" si="64"/>
        <v>#REF!</v>
      </c>
      <c r="K789" s="141" t="e">
        <f t="shared" si="65"/>
        <v>#REF!</v>
      </c>
    </row>
    <row r="790" spans="1:11" hidden="1" x14ac:dyDescent="0.25">
      <c r="A790" t="e">
        <f>#REF!</f>
        <v>#REF!</v>
      </c>
      <c r="B790" t="e">
        <f>#REF!</f>
        <v>#REF!</v>
      </c>
      <c r="C790" t="e">
        <f>#REF!</f>
        <v>#REF!</v>
      </c>
      <c r="D790" t="e">
        <f>#REF!</f>
        <v>#REF!</v>
      </c>
      <c r="E790" t="e">
        <f>#REF!</f>
        <v>#REF!</v>
      </c>
      <c r="G790" t="e">
        <f t="shared" si="61"/>
        <v>#REF!</v>
      </c>
      <c r="H790" t="e">
        <f t="shared" si="62"/>
        <v>#REF!</v>
      </c>
      <c r="I790" s="141" t="e">
        <f t="shared" si="63"/>
        <v>#REF!</v>
      </c>
      <c r="J790" t="e">
        <f t="shared" si="64"/>
        <v>#REF!</v>
      </c>
      <c r="K790" s="141" t="e">
        <f t="shared" si="65"/>
        <v>#REF!</v>
      </c>
    </row>
    <row r="791" spans="1:11" hidden="1" x14ac:dyDescent="0.25">
      <c r="A791" t="e">
        <f>#REF!</f>
        <v>#REF!</v>
      </c>
      <c r="B791" t="e">
        <f>#REF!</f>
        <v>#REF!</v>
      </c>
      <c r="C791" t="e">
        <f>#REF!</f>
        <v>#REF!</v>
      </c>
      <c r="D791" t="e">
        <f>#REF!</f>
        <v>#REF!</v>
      </c>
      <c r="E791" t="e">
        <f>#REF!</f>
        <v>#REF!</v>
      </c>
      <c r="G791" t="e">
        <f t="shared" si="61"/>
        <v>#REF!</v>
      </c>
      <c r="H791" t="e">
        <f t="shared" si="62"/>
        <v>#REF!</v>
      </c>
      <c r="I791" s="141" t="e">
        <f t="shared" si="63"/>
        <v>#REF!</v>
      </c>
      <c r="J791" t="e">
        <f t="shared" si="64"/>
        <v>#REF!</v>
      </c>
      <c r="K791" s="141" t="e">
        <f t="shared" si="65"/>
        <v>#REF!</v>
      </c>
    </row>
    <row r="792" spans="1:11" hidden="1" x14ac:dyDescent="0.25">
      <c r="A792" t="e">
        <f>#REF!</f>
        <v>#REF!</v>
      </c>
      <c r="B792" t="e">
        <f>#REF!</f>
        <v>#REF!</v>
      </c>
      <c r="C792" t="e">
        <f>#REF!</f>
        <v>#REF!</v>
      </c>
      <c r="D792" t="e">
        <f>#REF!</f>
        <v>#REF!</v>
      </c>
      <c r="E792" t="e">
        <f>#REF!</f>
        <v>#REF!</v>
      </c>
      <c r="G792" t="e">
        <f t="shared" si="61"/>
        <v>#REF!</v>
      </c>
      <c r="H792" t="e">
        <f t="shared" si="62"/>
        <v>#REF!</v>
      </c>
      <c r="I792" s="141" t="e">
        <f t="shared" si="63"/>
        <v>#REF!</v>
      </c>
      <c r="J792" t="e">
        <f t="shared" si="64"/>
        <v>#REF!</v>
      </c>
      <c r="K792" s="141" t="e">
        <f t="shared" si="65"/>
        <v>#REF!</v>
      </c>
    </row>
    <row r="793" spans="1:11" hidden="1" x14ac:dyDescent="0.25">
      <c r="A793" t="e">
        <f>#REF!</f>
        <v>#REF!</v>
      </c>
      <c r="B793" t="e">
        <f>#REF!</f>
        <v>#REF!</v>
      </c>
      <c r="C793" t="e">
        <f>#REF!</f>
        <v>#REF!</v>
      </c>
      <c r="D793" t="e">
        <f>#REF!</f>
        <v>#REF!</v>
      </c>
      <c r="E793" t="e">
        <f>#REF!</f>
        <v>#REF!</v>
      </c>
      <c r="G793" t="e">
        <f t="shared" si="61"/>
        <v>#REF!</v>
      </c>
      <c r="H793" t="e">
        <f t="shared" si="62"/>
        <v>#REF!</v>
      </c>
      <c r="I793" s="141" t="e">
        <f t="shared" si="63"/>
        <v>#REF!</v>
      </c>
      <c r="J793" t="e">
        <f t="shared" si="64"/>
        <v>#REF!</v>
      </c>
      <c r="K793" s="141" t="e">
        <f t="shared" si="65"/>
        <v>#REF!</v>
      </c>
    </row>
    <row r="794" spans="1:11" hidden="1" x14ac:dyDescent="0.25">
      <c r="A794" t="e">
        <f>#REF!</f>
        <v>#REF!</v>
      </c>
      <c r="B794" t="e">
        <f>#REF!</f>
        <v>#REF!</v>
      </c>
      <c r="C794" t="e">
        <f>#REF!</f>
        <v>#REF!</v>
      </c>
      <c r="D794" t="e">
        <f>#REF!</f>
        <v>#REF!</v>
      </c>
      <c r="E794" t="e">
        <f>#REF!</f>
        <v>#REF!</v>
      </c>
      <c r="G794" t="e">
        <f t="shared" si="61"/>
        <v>#REF!</v>
      </c>
      <c r="H794" t="e">
        <f t="shared" si="62"/>
        <v>#REF!</v>
      </c>
      <c r="I794" s="141" t="e">
        <f t="shared" si="63"/>
        <v>#REF!</v>
      </c>
      <c r="J794" t="e">
        <f t="shared" si="64"/>
        <v>#REF!</v>
      </c>
      <c r="K794" s="141" t="e">
        <f t="shared" si="65"/>
        <v>#REF!</v>
      </c>
    </row>
    <row r="795" spans="1:11" hidden="1" x14ac:dyDescent="0.25">
      <c r="A795" t="e">
        <f>#REF!</f>
        <v>#REF!</v>
      </c>
      <c r="B795" t="e">
        <f>#REF!</f>
        <v>#REF!</v>
      </c>
      <c r="C795" t="e">
        <f>#REF!</f>
        <v>#REF!</v>
      </c>
      <c r="D795" t="e">
        <f>#REF!</f>
        <v>#REF!</v>
      </c>
      <c r="E795" t="e">
        <f>#REF!</f>
        <v>#REF!</v>
      </c>
      <c r="G795" t="e">
        <f t="shared" si="61"/>
        <v>#REF!</v>
      </c>
      <c r="H795" t="e">
        <f t="shared" si="62"/>
        <v>#REF!</v>
      </c>
      <c r="I795" s="141" t="e">
        <f t="shared" si="63"/>
        <v>#REF!</v>
      </c>
      <c r="J795" t="e">
        <f t="shared" si="64"/>
        <v>#REF!</v>
      </c>
      <c r="K795" s="141" t="e">
        <f t="shared" si="65"/>
        <v>#REF!</v>
      </c>
    </row>
    <row r="796" spans="1:11" hidden="1" x14ac:dyDescent="0.25">
      <c r="A796" t="e">
        <f>#REF!</f>
        <v>#REF!</v>
      </c>
      <c r="B796" t="e">
        <f>#REF!</f>
        <v>#REF!</v>
      </c>
      <c r="C796" t="e">
        <f>#REF!</f>
        <v>#REF!</v>
      </c>
      <c r="D796" t="e">
        <f>#REF!</f>
        <v>#REF!</v>
      </c>
      <c r="E796" t="e">
        <f>#REF!</f>
        <v>#REF!</v>
      </c>
      <c r="G796" t="e">
        <f t="shared" si="61"/>
        <v>#REF!</v>
      </c>
      <c r="H796" t="e">
        <f t="shared" si="62"/>
        <v>#REF!</v>
      </c>
      <c r="I796" s="141" t="e">
        <f t="shared" si="63"/>
        <v>#REF!</v>
      </c>
      <c r="J796" t="e">
        <f t="shared" si="64"/>
        <v>#REF!</v>
      </c>
      <c r="K796" s="141" t="e">
        <f t="shared" si="65"/>
        <v>#REF!</v>
      </c>
    </row>
    <row r="797" spans="1:11" hidden="1" x14ac:dyDescent="0.25">
      <c r="A797" t="e">
        <f>#REF!</f>
        <v>#REF!</v>
      </c>
      <c r="B797" t="e">
        <f>#REF!</f>
        <v>#REF!</v>
      </c>
      <c r="C797" t="e">
        <f>#REF!</f>
        <v>#REF!</v>
      </c>
      <c r="D797" t="e">
        <f>#REF!</f>
        <v>#REF!</v>
      </c>
      <c r="E797" t="e">
        <f>#REF!</f>
        <v>#REF!</v>
      </c>
      <c r="G797" t="e">
        <f t="shared" si="61"/>
        <v>#REF!</v>
      </c>
      <c r="H797" t="e">
        <f t="shared" si="62"/>
        <v>#REF!</v>
      </c>
      <c r="I797" s="141" t="e">
        <f t="shared" si="63"/>
        <v>#REF!</v>
      </c>
      <c r="J797" t="e">
        <f t="shared" si="64"/>
        <v>#REF!</v>
      </c>
      <c r="K797" s="141" t="e">
        <f t="shared" si="65"/>
        <v>#REF!</v>
      </c>
    </row>
    <row r="798" spans="1:11" hidden="1" x14ac:dyDescent="0.25">
      <c r="A798" t="e">
        <f>#REF!</f>
        <v>#REF!</v>
      </c>
      <c r="B798" t="e">
        <f>#REF!</f>
        <v>#REF!</v>
      </c>
      <c r="C798" t="e">
        <f>#REF!</f>
        <v>#REF!</v>
      </c>
      <c r="D798" t="e">
        <f>#REF!</f>
        <v>#REF!</v>
      </c>
      <c r="E798" t="e">
        <f>#REF!</f>
        <v>#REF!</v>
      </c>
      <c r="G798" t="e">
        <f t="shared" si="61"/>
        <v>#REF!</v>
      </c>
      <c r="H798" t="e">
        <f t="shared" si="62"/>
        <v>#REF!</v>
      </c>
      <c r="I798" s="141" t="e">
        <f t="shared" si="63"/>
        <v>#REF!</v>
      </c>
      <c r="J798" t="e">
        <f t="shared" si="64"/>
        <v>#REF!</v>
      </c>
      <c r="K798" s="141" t="e">
        <f t="shared" si="65"/>
        <v>#REF!</v>
      </c>
    </row>
    <row r="799" spans="1:11" hidden="1" x14ac:dyDescent="0.25">
      <c r="A799" t="e">
        <f>#REF!</f>
        <v>#REF!</v>
      </c>
      <c r="B799" t="e">
        <f>#REF!</f>
        <v>#REF!</v>
      </c>
      <c r="C799" t="e">
        <f>#REF!</f>
        <v>#REF!</v>
      </c>
      <c r="D799" t="e">
        <f>#REF!</f>
        <v>#REF!</v>
      </c>
      <c r="E799" t="e">
        <f>#REF!</f>
        <v>#REF!</v>
      </c>
      <c r="G799" t="e">
        <f t="shared" si="61"/>
        <v>#REF!</v>
      </c>
      <c r="H799" t="e">
        <f t="shared" si="62"/>
        <v>#REF!</v>
      </c>
      <c r="I799" s="141" t="e">
        <f t="shared" si="63"/>
        <v>#REF!</v>
      </c>
      <c r="J799" t="e">
        <f t="shared" si="64"/>
        <v>#REF!</v>
      </c>
      <c r="K799" s="141" t="e">
        <f t="shared" si="65"/>
        <v>#REF!</v>
      </c>
    </row>
    <row r="800" spans="1:11" hidden="1" x14ac:dyDescent="0.25">
      <c r="A800" t="e">
        <f>#REF!</f>
        <v>#REF!</v>
      </c>
      <c r="B800" t="e">
        <f>#REF!</f>
        <v>#REF!</v>
      </c>
      <c r="C800" t="e">
        <f>#REF!</f>
        <v>#REF!</v>
      </c>
      <c r="D800" t="e">
        <f>#REF!</f>
        <v>#REF!</v>
      </c>
      <c r="E800" t="e">
        <f>#REF!</f>
        <v>#REF!</v>
      </c>
      <c r="G800" t="e">
        <f t="shared" si="61"/>
        <v>#REF!</v>
      </c>
      <c r="H800" t="e">
        <f t="shared" si="62"/>
        <v>#REF!</v>
      </c>
      <c r="I800" s="141" t="e">
        <f t="shared" si="63"/>
        <v>#REF!</v>
      </c>
      <c r="J800" t="e">
        <f t="shared" si="64"/>
        <v>#REF!</v>
      </c>
      <c r="K800" s="141" t="e">
        <f t="shared" si="65"/>
        <v>#REF!</v>
      </c>
    </row>
    <row r="801" spans="1:11" hidden="1" x14ac:dyDescent="0.25">
      <c r="A801" t="e">
        <f>#REF!</f>
        <v>#REF!</v>
      </c>
      <c r="B801" t="e">
        <f>#REF!</f>
        <v>#REF!</v>
      </c>
      <c r="C801" t="e">
        <f>#REF!</f>
        <v>#REF!</v>
      </c>
      <c r="D801" t="e">
        <f>#REF!</f>
        <v>#REF!</v>
      </c>
      <c r="E801" t="e">
        <f>#REF!</f>
        <v>#REF!</v>
      </c>
      <c r="G801" t="e">
        <f t="shared" si="61"/>
        <v>#REF!</v>
      </c>
      <c r="H801" t="e">
        <f t="shared" si="62"/>
        <v>#REF!</v>
      </c>
      <c r="I801" s="141" t="e">
        <f t="shared" si="63"/>
        <v>#REF!</v>
      </c>
      <c r="J801" t="e">
        <f t="shared" si="64"/>
        <v>#REF!</v>
      </c>
      <c r="K801" s="141" t="e">
        <f t="shared" si="65"/>
        <v>#REF!</v>
      </c>
    </row>
    <row r="802" spans="1:11" hidden="1" x14ac:dyDescent="0.25">
      <c r="A802" t="e">
        <f>#REF!</f>
        <v>#REF!</v>
      </c>
      <c r="B802" t="e">
        <f>#REF!</f>
        <v>#REF!</v>
      </c>
      <c r="C802" t="e">
        <f>#REF!</f>
        <v>#REF!</v>
      </c>
      <c r="D802" t="e">
        <f>#REF!</f>
        <v>#REF!</v>
      </c>
      <c r="E802" t="e">
        <f>#REF!</f>
        <v>#REF!</v>
      </c>
      <c r="G802" t="e">
        <f t="shared" si="61"/>
        <v>#REF!</v>
      </c>
      <c r="H802" t="e">
        <f t="shared" si="62"/>
        <v>#REF!</v>
      </c>
      <c r="I802" s="141" t="e">
        <f t="shared" si="63"/>
        <v>#REF!</v>
      </c>
      <c r="J802" t="e">
        <f t="shared" si="64"/>
        <v>#REF!</v>
      </c>
      <c r="K802" s="141" t="e">
        <f t="shared" si="65"/>
        <v>#REF!</v>
      </c>
    </row>
    <row r="803" spans="1:11" hidden="1" x14ac:dyDescent="0.25">
      <c r="A803" t="e">
        <f>#REF!</f>
        <v>#REF!</v>
      </c>
      <c r="B803" t="e">
        <f>#REF!</f>
        <v>#REF!</v>
      </c>
      <c r="C803" t="e">
        <f>#REF!</f>
        <v>#REF!</v>
      </c>
      <c r="D803" t="e">
        <f>#REF!</f>
        <v>#REF!</v>
      </c>
      <c r="E803" t="e">
        <f>#REF!</f>
        <v>#REF!</v>
      </c>
      <c r="G803" t="e">
        <f t="shared" si="61"/>
        <v>#REF!</v>
      </c>
      <c r="H803" t="e">
        <f t="shared" si="62"/>
        <v>#REF!</v>
      </c>
      <c r="I803" s="141" t="e">
        <f t="shared" si="63"/>
        <v>#REF!</v>
      </c>
      <c r="J803" t="e">
        <f t="shared" si="64"/>
        <v>#REF!</v>
      </c>
      <c r="K803" s="141" t="e">
        <f t="shared" si="65"/>
        <v>#REF!</v>
      </c>
    </row>
    <row r="804" spans="1:11" hidden="1" x14ac:dyDescent="0.25">
      <c r="A804" t="e">
        <f>#REF!</f>
        <v>#REF!</v>
      </c>
      <c r="B804" t="e">
        <f>#REF!</f>
        <v>#REF!</v>
      </c>
      <c r="C804" t="e">
        <f>#REF!</f>
        <v>#REF!</v>
      </c>
      <c r="D804" t="e">
        <f>#REF!</f>
        <v>#REF!</v>
      </c>
      <c r="E804" t="e">
        <f>#REF!</f>
        <v>#REF!</v>
      </c>
      <c r="G804" t="e">
        <f t="shared" si="61"/>
        <v>#REF!</v>
      </c>
      <c r="H804" t="e">
        <f t="shared" si="62"/>
        <v>#REF!</v>
      </c>
      <c r="I804" s="141" t="e">
        <f t="shared" si="63"/>
        <v>#REF!</v>
      </c>
      <c r="J804" t="e">
        <f t="shared" si="64"/>
        <v>#REF!</v>
      </c>
      <c r="K804" s="141" t="e">
        <f t="shared" si="65"/>
        <v>#REF!</v>
      </c>
    </row>
    <row r="805" spans="1:11" hidden="1" x14ac:dyDescent="0.25">
      <c r="A805" t="e">
        <f>#REF!</f>
        <v>#REF!</v>
      </c>
      <c r="B805" t="e">
        <f>#REF!</f>
        <v>#REF!</v>
      </c>
      <c r="C805" t="e">
        <f>#REF!</f>
        <v>#REF!</v>
      </c>
      <c r="D805" t="e">
        <f>#REF!</f>
        <v>#REF!</v>
      </c>
      <c r="E805" t="e">
        <f>#REF!</f>
        <v>#REF!</v>
      </c>
      <c r="G805" t="e">
        <f t="shared" si="61"/>
        <v>#REF!</v>
      </c>
      <c r="H805" t="e">
        <f t="shared" si="62"/>
        <v>#REF!</v>
      </c>
      <c r="I805" s="141" t="e">
        <f t="shared" si="63"/>
        <v>#REF!</v>
      </c>
      <c r="J805" t="e">
        <f t="shared" si="64"/>
        <v>#REF!</v>
      </c>
      <c r="K805" s="141" t="e">
        <f t="shared" si="65"/>
        <v>#REF!</v>
      </c>
    </row>
    <row r="806" spans="1:11" hidden="1" x14ac:dyDescent="0.25">
      <c r="A806" t="e">
        <f>#REF!</f>
        <v>#REF!</v>
      </c>
      <c r="B806" t="e">
        <f>#REF!</f>
        <v>#REF!</v>
      </c>
      <c r="C806" t="e">
        <f>#REF!</f>
        <v>#REF!</v>
      </c>
      <c r="D806" t="e">
        <f>#REF!</f>
        <v>#REF!</v>
      </c>
      <c r="E806" t="e">
        <f>#REF!</f>
        <v>#REF!</v>
      </c>
      <c r="G806" t="e">
        <f t="shared" si="61"/>
        <v>#REF!</v>
      </c>
      <c r="H806" t="e">
        <f t="shared" si="62"/>
        <v>#REF!</v>
      </c>
      <c r="I806" s="141" t="e">
        <f t="shared" si="63"/>
        <v>#REF!</v>
      </c>
      <c r="J806" t="e">
        <f t="shared" si="64"/>
        <v>#REF!</v>
      </c>
      <c r="K806" s="141" t="e">
        <f t="shared" si="65"/>
        <v>#REF!</v>
      </c>
    </row>
    <row r="807" spans="1:11" hidden="1" x14ac:dyDescent="0.25">
      <c r="A807" t="e">
        <f>#REF!</f>
        <v>#REF!</v>
      </c>
      <c r="B807" t="e">
        <f>#REF!</f>
        <v>#REF!</v>
      </c>
      <c r="C807" t="e">
        <f>#REF!</f>
        <v>#REF!</v>
      </c>
      <c r="D807" t="e">
        <f>#REF!</f>
        <v>#REF!</v>
      </c>
      <c r="E807" t="e">
        <f>#REF!</f>
        <v>#REF!</v>
      </c>
      <c r="G807" t="e">
        <f t="shared" si="61"/>
        <v>#REF!</v>
      </c>
      <c r="H807" t="e">
        <f t="shared" si="62"/>
        <v>#REF!</v>
      </c>
      <c r="I807" s="141" t="e">
        <f t="shared" si="63"/>
        <v>#REF!</v>
      </c>
      <c r="J807" t="e">
        <f t="shared" si="64"/>
        <v>#REF!</v>
      </c>
      <c r="K807" s="141" t="e">
        <f t="shared" si="65"/>
        <v>#REF!</v>
      </c>
    </row>
    <row r="808" spans="1:11" hidden="1" x14ac:dyDescent="0.25">
      <c r="A808" t="e">
        <f>#REF!</f>
        <v>#REF!</v>
      </c>
      <c r="B808" t="e">
        <f>#REF!</f>
        <v>#REF!</v>
      </c>
      <c r="C808" t="e">
        <f>#REF!</f>
        <v>#REF!</v>
      </c>
      <c r="D808" t="e">
        <f>#REF!</f>
        <v>#REF!</v>
      </c>
      <c r="E808" t="e">
        <f>#REF!</f>
        <v>#REF!</v>
      </c>
      <c r="G808" t="e">
        <f t="shared" si="61"/>
        <v>#REF!</v>
      </c>
      <c r="H808" t="e">
        <f t="shared" si="62"/>
        <v>#REF!</v>
      </c>
      <c r="I808" s="141" t="e">
        <f t="shared" si="63"/>
        <v>#REF!</v>
      </c>
      <c r="J808" t="e">
        <f t="shared" si="64"/>
        <v>#REF!</v>
      </c>
      <c r="K808" s="141" t="e">
        <f t="shared" si="65"/>
        <v>#REF!</v>
      </c>
    </row>
    <row r="809" spans="1:11" hidden="1" x14ac:dyDescent="0.25">
      <c r="A809" t="e">
        <f>#REF!</f>
        <v>#REF!</v>
      </c>
      <c r="B809" t="e">
        <f>#REF!</f>
        <v>#REF!</v>
      </c>
      <c r="C809" t="e">
        <f>#REF!</f>
        <v>#REF!</v>
      </c>
      <c r="D809" t="e">
        <f>#REF!</f>
        <v>#REF!</v>
      </c>
      <c r="E809" t="e">
        <f>#REF!</f>
        <v>#REF!</v>
      </c>
      <c r="G809" t="e">
        <f t="shared" si="61"/>
        <v>#REF!</v>
      </c>
      <c r="H809" t="e">
        <f t="shared" si="62"/>
        <v>#REF!</v>
      </c>
      <c r="I809" s="141" t="e">
        <f t="shared" si="63"/>
        <v>#REF!</v>
      </c>
      <c r="J809" t="e">
        <f t="shared" si="64"/>
        <v>#REF!</v>
      </c>
      <c r="K809" s="141" t="e">
        <f t="shared" si="65"/>
        <v>#REF!</v>
      </c>
    </row>
    <row r="810" spans="1:11" hidden="1" x14ac:dyDescent="0.25">
      <c r="A810" t="e">
        <f>#REF!</f>
        <v>#REF!</v>
      </c>
      <c r="B810" t="e">
        <f>#REF!</f>
        <v>#REF!</v>
      </c>
      <c r="C810" t="e">
        <f>#REF!</f>
        <v>#REF!</v>
      </c>
      <c r="D810" t="e">
        <f>#REF!</f>
        <v>#REF!</v>
      </c>
      <c r="E810" t="e">
        <f>#REF!</f>
        <v>#REF!</v>
      </c>
      <c r="G810" t="e">
        <f t="shared" si="61"/>
        <v>#REF!</v>
      </c>
      <c r="H810" t="e">
        <f t="shared" si="62"/>
        <v>#REF!</v>
      </c>
      <c r="I810" s="141" t="e">
        <f t="shared" si="63"/>
        <v>#REF!</v>
      </c>
      <c r="J810" t="e">
        <f t="shared" si="64"/>
        <v>#REF!</v>
      </c>
      <c r="K810" s="141" t="e">
        <f t="shared" si="65"/>
        <v>#REF!</v>
      </c>
    </row>
    <row r="811" spans="1:11" hidden="1" x14ac:dyDescent="0.25">
      <c r="A811" t="e">
        <f>#REF!</f>
        <v>#REF!</v>
      </c>
      <c r="B811" t="e">
        <f>#REF!</f>
        <v>#REF!</v>
      </c>
      <c r="C811" t="e">
        <f>#REF!</f>
        <v>#REF!</v>
      </c>
      <c r="D811" t="e">
        <f>#REF!</f>
        <v>#REF!</v>
      </c>
      <c r="E811" t="e">
        <f>#REF!</f>
        <v>#REF!</v>
      </c>
      <c r="G811" t="e">
        <f t="shared" si="61"/>
        <v>#REF!</v>
      </c>
      <c r="H811" t="e">
        <f t="shared" si="62"/>
        <v>#REF!</v>
      </c>
      <c r="I811" s="141" t="e">
        <f t="shared" si="63"/>
        <v>#REF!</v>
      </c>
      <c r="J811" t="e">
        <f t="shared" si="64"/>
        <v>#REF!</v>
      </c>
      <c r="K811" s="141" t="e">
        <f t="shared" si="65"/>
        <v>#REF!</v>
      </c>
    </row>
    <row r="812" spans="1:11" hidden="1" x14ac:dyDescent="0.25">
      <c r="A812" t="e">
        <f>#REF!</f>
        <v>#REF!</v>
      </c>
      <c r="B812" t="e">
        <f>#REF!</f>
        <v>#REF!</v>
      </c>
      <c r="C812" t="e">
        <f>#REF!</f>
        <v>#REF!</v>
      </c>
      <c r="D812" t="e">
        <f>#REF!</f>
        <v>#REF!</v>
      </c>
      <c r="E812" t="e">
        <f>#REF!</f>
        <v>#REF!</v>
      </c>
      <c r="G812" t="e">
        <f t="shared" si="61"/>
        <v>#REF!</v>
      </c>
      <c r="H812" t="e">
        <f t="shared" si="62"/>
        <v>#REF!</v>
      </c>
      <c r="I812" s="141" t="e">
        <f t="shared" si="63"/>
        <v>#REF!</v>
      </c>
      <c r="J812" t="e">
        <f t="shared" si="64"/>
        <v>#REF!</v>
      </c>
      <c r="K812" s="141" t="e">
        <f t="shared" si="65"/>
        <v>#REF!</v>
      </c>
    </row>
    <row r="813" spans="1:11" hidden="1" x14ac:dyDescent="0.25">
      <c r="A813" t="e">
        <f>#REF!</f>
        <v>#REF!</v>
      </c>
      <c r="B813" t="e">
        <f>#REF!</f>
        <v>#REF!</v>
      </c>
      <c r="C813" t="e">
        <f>#REF!</f>
        <v>#REF!</v>
      </c>
      <c r="D813" t="e">
        <f>#REF!</f>
        <v>#REF!</v>
      </c>
      <c r="E813" t="e">
        <f>#REF!</f>
        <v>#REF!</v>
      </c>
      <c r="G813" t="e">
        <f t="shared" si="61"/>
        <v>#REF!</v>
      </c>
      <c r="H813" t="e">
        <f t="shared" si="62"/>
        <v>#REF!</v>
      </c>
      <c r="I813" s="141" t="e">
        <f t="shared" si="63"/>
        <v>#REF!</v>
      </c>
      <c r="J813" t="e">
        <f t="shared" si="64"/>
        <v>#REF!</v>
      </c>
      <c r="K813" s="141" t="e">
        <f t="shared" si="65"/>
        <v>#REF!</v>
      </c>
    </row>
    <row r="814" spans="1:11" hidden="1" x14ac:dyDescent="0.25">
      <c r="A814" t="e">
        <f>#REF!</f>
        <v>#REF!</v>
      </c>
      <c r="B814" t="e">
        <f>#REF!</f>
        <v>#REF!</v>
      </c>
      <c r="C814" t="e">
        <f>#REF!</f>
        <v>#REF!</v>
      </c>
      <c r="D814" t="e">
        <f>#REF!</f>
        <v>#REF!</v>
      </c>
      <c r="E814" t="e">
        <f>#REF!</f>
        <v>#REF!</v>
      </c>
      <c r="G814" t="e">
        <f t="shared" si="61"/>
        <v>#REF!</v>
      </c>
      <c r="H814" t="e">
        <f t="shared" si="62"/>
        <v>#REF!</v>
      </c>
      <c r="I814" s="141" t="e">
        <f t="shared" si="63"/>
        <v>#REF!</v>
      </c>
      <c r="J814" t="e">
        <f t="shared" si="64"/>
        <v>#REF!</v>
      </c>
      <c r="K814" s="141" t="e">
        <f t="shared" si="65"/>
        <v>#REF!</v>
      </c>
    </row>
    <row r="815" spans="1:11" hidden="1" x14ac:dyDescent="0.25">
      <c r="A815" t="e">
        <f>#REF!</f>
        <v>#REF!</v>
      </c>
      <c r="B815" t="e">
        <f>#REF!</f>
        <v>#REF!</v>
      </c>
      <c r="C815" t="e">
        <f>#REF!</f>
        <v>#REF!</v>
      </c>
      <c r="D815" t="e">
        <f>#REF!</f>
        <v>#REF!</v>
      </c>
      <c r="E815" t="e">
        <f>#REF!</f>
        <v>#REF!</v>
      </c>
      <c r="G815" t="e">
        <f t="shared" si="61"/>
        <v>#REF!</v>
      </c>
      <c r="H815" t="e">
        <f t="shared" si="62"/>
        <v>#REF!</v>
      </c>
      <c r="I815" s="141" t="e">
        <f t="shared" si="63"/>
        <v>#REF!</v>
      </c>
      <c r="J815" t="e">
        <f t="shared" si="64"/>
        <v>#REF!</v>
      </c>
      <c r="K815" s="141" t="e">
        <f t="shared" si="65"/>
        <v>#REF!</v>
      </c>
    </row>
    <row r="816" spans="1:11" hidden="1" x14ac:dyDescent="0.25">
      <c r="A816" t="e">
        <f>#REF!</f>
        <v>#REF!</v>
      </c>
      <c r="B816" t="e">
        <f>#REF!</f>
        <v>#REF!</v>
      </c>
      <c r="C816" t="e">
        <f>#REF!</f>
        <v>#REF!</v>
      </c>
      <c r="D816" t="e">
        <f>#REF!</f>
        <v>#REF!</v>
      </c>
      <c r="E816" t="e">
        <f>#REF!</f>
        <v>#REF!</v>
      </c>
      <c r="G816" t="e">
        <f t="shared" si="61"/>
        <v>#REF!</v>
      </c>
      <c r="H816" t="e">
        <f t="shared" si="62"/>
        <v>#REF!</v>
      </c>
      <c r="I816" s="141" t="e">
        <f t="shared" si="63"/>
        <v>#REF!</v>
      </c>
      <c r="J816" t="e">
        <f t="shared" si="64"/>
        <v>#REF!</v>
      </c>
      <c r="K816" s="141" t="e">
        <f t="shared" si="65"/>
        <v>#REF!</v>
      </c>
    </row>
    <row r="817" spans="1:11" hidden="1" x14ac:dyDescent="0.25">
      <c r="A817" t="e">
        <f>#REF!</f>
        <v>#REF!</v>
      </c>
      <c r="B817" t="e">
        <f>#REF!</f>
        <v>#REF!</v>
      </c>
      <c r="C817" t="e">
        <f>#REF!</f>
        <v>#REF!</v>
      </c>
      <c r="D817" t="e">
        <f>#REF!</f>
        <v>#REF!</v>
      </c>
      <c r="E817" t="e">
        <f>#REF!</f>
        <v>#REF!</v>
      </c>
      <c r="G817" t="e">
        <f t="shared" si="61"/>
        <v>#REF!</v>
      </c>
      <c r="H817" t="e">
        <f t="shared" si="62"/>
        <v>#REF!</v>
      </c>
      <c r="I817" s="141" t="e">
        <f t="shared" si="63"/>
        <v>#REF!</v>
      </c>
      <c r="J817" t="e">
        <f t="shared" si="64"/>
        <v>#REF!</v>
      </c>
      <c r="K817" s="141" t="e">
        <f t="shared" si="65"/>
        <v>#REF!</v>
      </c>
    </row>
    <row r="818" spans="1:11" hidden="1" x14ac:dyDescent="0.25">
      <c r="A818" t="e">
        <f>#REF!</f>
        <v>#REF!</v>
      </c>
      <c r="B818" t="e">
        <f>#REF!</f>
        <v>#REF!</v>
      </c>
      <c r="C818" t="e">
        <f>#REF!</f>
        <v>#REF!</v>
      </c>
      <c r="D818" t="e">
        <f>#REF!</f>
        <v>#REF!</v>
      </c>
      <c r="E818" t="e">
        <f>#REF!</f>
        <v>#REF!</v>
      </c>
      <c r="G818" t="e">
        <f t="shared" si="61"/>
        <v>#REF!</v>
      </c>
      <c r="H818" t="e">
        <f t="shared" si="62"/>
        <v>#REF!</v>
      </c>
      <c r="I818" s="141" t="e">
        <f t="shared" si="63"/>
        <v>#REF!</v>
      </c>
      <c r="J818" t="e">
        <f t="shared" si="64"/>
        <v>#REF!</v>
      </c>
      <c r="K818" s="141" t="e">
        <f t="shared" si="65"/>
        <v>#REF!</v>
      </c>
    </row>
    <row r="819" spans="1:11" hidden="1" x14ac:dyDescent="0.25">
      <c r="A819" t="e">
        <f>#REF!</f>
        <v>#REF!</v>
      </c>
      <c r="B819" t="e">
        <f>#REF!</f>
        <v>#REF!</v>
      </c>
      <c r="C819" t="e">
        <f>#REF!</f>
        <v>#REF!</v>
      </c>
      <c r="D819" t="e">
        <f>#REF!</f>
        <v>#REF!</v>
      </c>
      <c r="E819" t="e">
        <f>#REF!</f>
        <v>#REF!</v>
      </c>
      <c r="G819" t="e">
        <f t="shared" si="61"/>
        <v>#REF!</v>
      </c>
      <c r="H819" t="e">
        <f t="shared" si="62"/>
        <v>#REF!</v>
      </c>
      <c r="I819" s="141" t="e">
        <f t="shared" si="63"/>
        <v>#REF!</v>
      </c>
      <c r="J819" t="e">
        <f t="shared" si="64"/>
        <v>#REF!</v>
      </c>
      <c r="K819" s="141" t="e">
        <f t="shared" si="65"/>
        <v>#REF!</v>
      </c>
    </row>
    <row r="820" spans="1:11" hidden="1" x14ac:dyDescent="0.25">
      <c r="A820" t="e">
        <f>#REF!</f>
        <v>#REF!</v>
      </c>
      <c r="B820" t="e">
        <f>#REF!</f>
        <v>#REF!</v>
      </c>
      <c r="C820" t="e">
        <f>#REF!</f>
        <v>#REF!</v>
      </c>
      <c r="D820" t="e">
        <f>#REF!</f>
        <v>#REF!</v>
      </c>
      <c r="E820" t="e">
        <f>#REF!</f>
        <v>#REF!</v>
      </c>
      <c r="G820" t="e">
        <f t="shared" si="61"/>
        <v>#REF!</v>
      </c>
      <c r="H820" t="e">
        <f t="shared" si="62"/>
        <v>#REF!</v>
      </c>
      <c r="I820" s="141" t="e">
        <f t="shared" si="63"/>
        <v>#REF!</v>
      </c>
      <c r="J820" t="e">
        <f t="shared" si="64"/>
        <v>#REF!</v>
      </c>
      <c r="K820" s="141" t="e">
        <f t="shared" si="65"/>
        <v>#REF!</v>
      </c>
    </row>
    <row r="821" spans="1:11" hidden="1" x14ac:dyDescent="0.25">
      <c r="A821" t="e">
        <f>#REF!</f>
        <v>#REF!</v>
      </c>
      <c r="B821" t="e">
        <f>#REF!</f>
        <v>#REF!</v>
      </c>
      <c r="C821" t="e">
        <f>#REF!</f>
        <v>#REF!</v>
      </c>
      <c r="D821" t="e">
        <f>#REF!</f>
        <v>#REF!</v>
      </c>
      <c r="E821" t="e">
        <f>#REF!</f>
        <v>#REF!</v>
      </c>
      <c r="G821" t="e">
        <f t="shared" si="61"/>
        <v>#REF!</v>
      </c>
      <c r="H821" t="e">
        <f t="shared" si="62"/>
        <v>#REF!</v>
      </c>
      <c r="I821" s="141" t="e">
        <f t="shared" si="63"/>
        <v>#REF!</v>
      </c>
      <c r="J821" t="e">
        <f t="shared" si="64"/>
        <v>#REF!</v>
      </c>
      <c r="K821" s="141" t="e">
        <f t="shared" si="65"/>
        <v>#REF!</v>
      </c>
    </row>
    <row r="822" spans="1:11" hidden="1" x14ac:dyDescent="0.25">
      <c r="A822" t="e">
        <f>#REF!</f>
        <v>#REF!</v>
      </c>
      <c r="B822" t="e">
        <f>#REF!</f>
        <v>#REF!</v>
      </c>
      <c r="C822" t="e">
        <f>#REF!</f>
        <v>#REF!</v>
      </c>
      <c r="D822" t="e">
        <f>#REF!</f>
        <v>#REF!</v>
      </c>
      <c r="E822" t="e">
        <f>#REF!</f>
        <v>#REF!</v>
      </c>
      <c r="G822" t="e">
        <f t="shared" si="61"/>
        <v>#REF!</v>
      </c>
      <c r="H822" t="e">
        <f t="shared" si="62"/>
        <v>#REF!</v>
      </c>
      <c r="I822" s="141" t="e">
        <f t="shared" si="63"/>
        <v>#REF!</v>
      </c>
      <c r="J822" t="e">
        <f t="shared" si="64"/>
        <v>#REF!</v>
      </c>
      <c r="K822" s="141" t="e">
        <f t="shared" si="65"/>
        <v>#REF!</v>
      </c>
    </row>
    <row r="823" spans="1:11" hidden="1" x14ac:dyDescent="0.25">
      <c r="A823" t="e">
        <f>#REF!</f>
        <v>#REF!</v>
      </c>
      <c r="B823" t="e">
        <f>#REF!</f>
        <v>#REF!</v>
      </c>
      <c r="C823" t="e">
        <f>#REF!</f>
        <v>#REF!</v>
      </c>
      <c r="D823" t="e">
        <f>#REF!</f>
        <v>#REF!</v>
      </c>
      <c r="E823" t="e">
        <f>#REF!</f>
        <v>#REF!</v>
      </c>
      <c r="G823" t="e">
        <f t="shared" si="61"/>
        <v>#REF!</v>
      </c>
      <c r="H823" t="e">
        <f t="shared" si="62"/>
        <v>#REF!</v>
      </c>
      <c r="I823" s="141" t="e">
        <f t="shared" si="63"/>
        <v>#REF!</v>
      </c>
      <c r="J823" t="e">
        <f t="shared" si="64"/>
        <v>#REF!</v>
      </c>
      <c r="K823" s="141" t="e">
        <f t="shared" si="65"/>
        <v>#REF!</v>
      </c>
    </row>
    <row r="824" spans="1:11" hidden="1" x14ac:dyDescent="0.25">
      <c r="A824" t="e">
        <f>#REF!</f>
        <v>#REF!</v>
      </c>
      <c r="B824" t="e">
        <f>#REF!</f>
        <v>#REF!</v>
      </c>
      <c r="C824" t="e">
        <f>#REF!</f>
        <v>#REF!</v>
      </c>
      <c r="D824" t="e">
        <f>#REF!</f>
        <v>#REF!</v>
      </c>
      <c r="E824" t="e">
        <f>#REF!</f>
        <v>#REF!</v>
      </c>
      <c r="G824" t="e">
        <f t="shared" si="61"/>
        <v>#REF!</v>
      </c>
      <c r="H824" t="e">
        <f t="shared" si="62"/>
        <v>#REF!</v>
      </c>
      <c r="I824" s="141" t="e">
        <f t="shared" si="63"/>
        <v>#REF!</v>
      </c>
      <c r="J824" t="e">
        <f t="shared" si="64"/>
        <v>#REF!</v>
      </c>
      <c r="K824" s="141" t="e">
        <f t="shared" si="65"/>
        <v>#REF!</v>
      </c>
    </row>
    <row r="825" spans="1:11" hidden="1" x14ac:dyDescent="0.25">
      <c r="A825" t="e">
        <f>#REF!</f>
        <v>#REF!</v>
      </c>
      <c r="B825" t="e">
        <f>#REF!</f>
        <v>#REF!</v>
      </c>
      <c r="C825" t="e">
        <f>#REF!</f>
        <v>#REF!</v>
      </c>
      <c r="D825" t="e">
        <f>#REF!</f>
        <v>#REF!</v>
      </c>
      <c r="E825" t="e">
        <f>#REF!</f>
        <v>#REF!</v>
      </c>
      <c r="G825" t="e">
        <f t="shared" si="61"/>
        <v>#REF!</v>
      </c>
      <c r="H825" t="e">
        <f t="shared" si="62"/>
        <v>#REF!</v>
      </c>
      <c r="I825" s="141" t="e">
        <f t="shared" si="63"/>
        <v>#REF!</v>
      </c>
      <c r="J825" t="e">
        <f t="shared" si="64"/>
        <v>#REF!</v>
      </c>
      <c r="K825" s="141" t="e">
        <f t="shared" si="65"/>
        <v>#REF!</v>
      </c>
    </row>
    <row r="826" spans="1:11" hidden="1" x14ac:dyDescent="0.25">
      <c r="A826" t="e">
        <f>#REF!</f>
        <v>#REF!</v>
      </c>
      <c r="B826" t="e">
        <f>#REF!</f>
        <v>#REF!</v>
      </c>
      <c r="C826" t="e">
        <f>#REF!</f>
        <v>#REF!</v>
      </c>
      <c r="D826" t="e">
        <f>#REF!</f>
        <v>#REF!</v>
      </c>
      <c r="E826" t="e">
        <f>#REF!</f>
        <v>#REF!</v>
      </c>
      <c r="G826" t="e">
        <f t="shared" si="61"/>
        <v>#REF!</v>
      </c>
      <c r="H826" t="e">
        <f t="shared" si="62"/>
        <v>#REF!</v>
      </c>
      <c r="I826" s="141" t="e">
        <f t="shared" si="63"/>
        <v>#REF!</v>
      </c>
      <c r="J826" t="e">
        <f t="shared" si="64"/>
        <v>#REF!</v>
      </c>
      <c r="K826" s="141" t="e">
        <f t="shared" si="65"/>
        <v>#REF!</v>
      </c>
    </row>
    <row r="827" spans="1:11" hidden="1" x14ac:dyDescent="0.25">
      <c r="A827" t="e">
        <f>#REF!</f>
        <v>#REF!</v>
      </c>
      <c r="B827" t="e">
        <f>#REF!</f>
        <v>#REF!</v>
      </c>
      <c r="C827" t="e">
        <f>#REF!</f>
        <v>#REF!</v>
      </c>
      <c r="D827" t="e">
        <f>#REF!</f>
        <v>#REF!</v>
      </c>
      <c r="E827" t="e">
        <f>#REF!</f>
        <v>#REF!</v>
      </c>
      <c r="G827" t="e">
        <f t="shared" si="61"/>
        <v>#REF!</v>
      </c>
      <c r="H827" t="e">
        <f t="shared" si="62"/>
        <v>#REF!</v>
      </c>
      <c r="I827" s="141" t="e">
        <f t="shared" si="63"/>
        <v>#REF!</v>
      </c>
      <c r="J827" t="e">
        <f t="shared" si="64"/>
        <v>#REF!</v>
      </c>
      <c r="K827" s="141" t="e">
        <f t="shared" si="65"/>
        <v>#REF!</v>
      </c>
    </row>
    <row r="828" spans="1:11" hidden="1" x14ac:dyDescent="0.25">
      <c r="A828" t="e">
        <f>#REF!</f>
        <v>#REF!</v>
      </c>
      <c r="B828" t="e">
        <f>#REF!</f>
        <v>#REF!</v>
      </c>
      <c r="C828" t="e">
        <f>#REF!</f>
        <v>#REF!</v>
      </c>
      <c r="D828" t="e">
        <f>#REF!</f>
        <v>#REF!</v>
      </c>
      <c r="E828" t="e">
        <f>#REF!</f>
        <v>#REF!</v>
      </c>
      <c r="G828" t="e">
        <f t="shared" si="61"/>
        <v>#REF!</v>
      </c>
      <c r="H828" t="e">
        <f t="shared" si="62"/>
        <v>#REF!</v>
      </c>
      <c r="I828" s="141" t="e">
        <f t="shared" si="63"/>
        <v>#REF!</v>
      </c>
      <c r="J828" t="e">
        <f t="shared" si="64"/>
        <v>#REF!</v>
      </c>
      <c r="K828" s="141" t="e">
        <f t="shared" si="65"/>
        <v>#REF!</v>
      </c>
    </row>
    <row r="829" spans="1:11" hidden="1" x14ac:dyDescent="0.25">
      <c r="A829" t="e">
        <f>#REF!</f>
        <v>#REF!</v>
      </c>
      <c r="B829" t="e">
        <f>#REF!</f>
        <v>#REF!</v>
      </c>
      <c r="C829" t="e">
        <f>#REF!</f>
        <v>#REF!</v>
      </c>
      <c r="D829" t="e">
        <f>#REF!</f>
        <v>#REF!</v>
      </c>
      <c r="E829" t="e">
        <f>#REF!</f>
        <v>#REF!</v>
      </c>
      <c r="G829" t="e">
        <f t="shared" si="61"/>
        <v>#REF!</v>
      </c>
      <c r="H829" t="e">
        <f t="shared" si="62"/>
        <v>#REF!</v>
      </c>
      <c r="I829" s="141" t="e">
        <f t="shared" si="63"/>
        <v>#REF!</v>
      </c>
      <c r="J829" t="e">
        <f t="shared" si="64"/>
        <v>#REF!</v>
      </c>
      <c r="K829" s="141" t="e">
        <f t="shared" si="65"/>
        <v>#REF!</v>
      </c>
    </row>
    <row r="830" spans="1:11" hidden="1" x14ac:dyDescent="0.25">
      <c r="A830" t="e">
        <f>#REF!</f>
        <v>#REF!</v>
      </c>
      <c r="B830" t="e">
        <f>#REF!</f>
        <v>#REF!</v>
      </c>
      <c r="C830" t="e">
        <f>#REF!</f>
        <v>#REF!</v>
      </c>
      <c r="D830" t="e">
        <f>#REF!</f>
        <v>#REF!</v>
      </c>
      <c r="E830" t="e">
        <f>#REF!</f>
        <v>#REF!</v>
      </c>
      <c r="G830" t="e">
        <f t="shared" si="61"/>
        <v>#REF!</v>
      </c>
      <c r="H830" t="e">
        <f t="shared" si="62"/>
        <v>#REF!</v>
      </c>
      <c r="I830" s="141" t="e">
        <f t="shared" si="63"/>
        <v>#REF!</v>
      </c>
      <c r="J830" t="e">
        <f t="shared" si="64"/>
        <v>#REF!</v>
      </c>
      <c r="K830" s="141" t="e">
        <f t="shared" si="65"/>
        <v>#REF!</v>
      </c>
    </row>
    <row r="831" spans="1:11" hidden="1" x14ac:dyDescent="0.25">
      <c r="A831" t="e">
        <f>#REF!</f>
        <v>#REF!</v>
      </c>
      <c r="B831" t="e">
        <f>#REF!</f>
        <v>#REF!</v>
      </c>
      <c r="C831" t="e">
        <f>#REF!</f>
        <v>#REF!</v>
      </c>
      <c r="D831" t="e">
        <f>#REF!</f>
        <v>#REF!</v>
      </c>
      <c r="E831" t="e">
        <f>#REF!</f>
        <v>#REF!</v>
      </c>
      <c r="G831" t="e">
        <f t="shared" si="61"/>
        <v>#REF!</v>
      </c>
      <c r="H831" t="e">
        <f t="shared" si="62"/>
        <v>#REF!</v>
      </c>
      <c r="I831" s="141" t="e">
        <f t="shared" si="63"/>
        <v>#REF!</v>
      </c>
      <c r="J831" t="e">
        <f t="shared" si="64"/>
        <v>#REF!</v>
      </c>
      <c r="K831" s="141" t="e">
        <f t="shared" si="65"/>
        <v>#REF!</v>
      </c>
    </row>
    <row r="832" spans="1:11" hidden="1" x14ac:dyDescent="0.25">
      <c r="A832" t="e">
        <f>#REF!</f>
        <v>#REF!</v>
      </c>
      <c r="B832" t="e">
        <f>#REF!</f>
        <v>#REF!</v>
      </c>
      <c r="C832" t="e">
        <f>#REF!</f>
        <v>#REF!</v>
      </c>
      <c r="D832" t="e">
        <f>#REF!</f>
        <v>#REF!</v>
      </c>
      <c r="E832" t="e">
        <f>#REF!</f>
        <v>#REF!</v>
      </c>
      <c r="G832" t="e">
        <f t="shared" si="61"/>
        <v>#REF!</v>
      </c>
      <c r="H832" t="e">
        <f t="shared" si="62"/>
        <v>#REF!</v>
      </c>
      <c r="I832" s="141" t="e">
        <f t="shared" si="63"/>
        <v>#REF!</v>
      </c>
      <c r="J832" t="e">
        <f t="shared" si="64"/>
        <v>#REF!</v>
      </c>
      <c r="K832" s="141" t="e">
        <f t="shared" si="65"/>
        <v>#REF!</v>
      </c>
    </row>
    <row r="833" spans="1:11" hidden="1" x14ac:dyDescent="0.25">
      <c r="A833" t="e">
        <f>#REF!</f>
        <v>#REF!</v>
      </c>
      <c r="B833" t="e">
        <f>#REF!</f>
        <v>#REF!</v>
      </c>
      <c r="C833" t="e">
        <f>#REF!</f>
        <v>#REF!</v>
      </c>
      <c r="D833" t="e">
        <f>#REF!</f>
        <v>#REF!</v>
      </c>
      <c r="E833" t="e">
        <f>#REF!</f>
        <v>#REF!</v>
      </c>
      <c r="G833" t="e">
        <f t="shared" si="61"/>
        <v>#REF!</v>
      </c>
      <c r="H833" t="e">
        <f t="shared" si="62"/>
        <v>#REF!</v>
      </c>
      <c r="I833" s="141" t="e">
        <f t="shared" si="63"/>
        <v>#REF!</v>
      </c>
      <c r="J833" t="e">
        <f t="shared" si="64"/>
        <v>#REF!</v>
      </c>
      <c r="K833" s="141" t="e">
        <f t="shared" si="65"/>
        <v>#REF!</v>
      </c>
    </row>
    <row r="834" spans="1:11" hidden="1" x14ac:dyDescent="0.25">
      <c r="A834" t="e">
        <f>#REF!</f>
        <v>#REF!</v>
      </c>
      <c r="B834" t="e">
        <f>#REF!</f>
        <v>#REF!</v>
      </c>
      <c r="C834" t="e">
        <f>#REF!</f>
        <v>#REF!</v>
      </c>
      <c r="D834" t="e">
        <f>#REF!</f>
        <v>#REF!</v>
      </c>
      <c r="E834" t="e">
        <f>#REF!</f>
        <v>#REF!</v>
      </c>
      <c r="G834" t="e">
        <f t="shared" ref="G834:G897" si="66">A834</f>
        <v>#REF!</v>
      </c>
      <c r="H834" t="e">
        <f t="shared" ref="H834:H897" si="67">B834</f>
        <v>#REF!</v>
      </c>
      <c r="I834" s="141" t="e">
        <f t="shared" ref="I834:I897" si="68">C834</f>
        <v>#REF!</v>
      </c>
      <c r="J834" t="e">
        <f t="shared" ref="J834:J897" si="69">D834</f>
        <v>#REF!</v>
      </c>
      <c r="K834" s="141" t="e">
        <f t="shared" ref="K834:K897" si="70">E834</f>
        <v>#REF!</v>
      </c>
    </row>
    <row r="835" spans="1:11" hidden="1" x14ac:dyDescent="0.25">
      <c r="A835" t="e">
        <f>#REF!</f>
        <v>#REF!</v>
      </c>
      <c r="B835" t="e">
        <f>#REF!</f>
        <v>#REF!</v>
      </c>
      <c r="C835" t="e">
        <f>#REF!</f>
        <v>#REF!</v>
      </c>
      <c r="D835" t="e">
        <f>#REF!</f>
        <v>#REF!</v>
      </c>
      <c r="E835" t="e">
        <f>#REF!</f>
        <v>#REF!</v>
      </c>
      <c r="G835" t="e">
        <f t="shared" si="66"/>
        <v>#REF!</v>
      </c>
      <c r="H835" t="e">
        <f t="shared" si="67"/>
        <v>#REF!</v>
      </c>
      <c r="I835" s="141" t="e">
        <f t="shared" si="68"/>
        <v>#REF!</v>
      </c>
      <c r="J835" t="e">
        <f t="shared" si="69"/>
        <v>#REF!</v>
      </c>
      <c r="K835" s="141" t="e">
        <f t="shared" si="70"/>
        <v>#REF!</v>
      </c>
    </row>
    <row r="836" spans="1:11" hidden="1" x14ac:dyDescent="0.25">
      <c r="A836" t="e">
        <f>#REF!</f>
        <v>#REF!</v>
      </c>
      <c r="B836" t="e">
        <f>#REF!</f>
        <v>#REF!</v>
      </c>
      <c r="C836" t="e">
        <f>#REF!</f>
        <v>#REF!</v>
      </c>
      <c r="D836" t="e">
        <f>#REF!</f>
        <v>#REF!</v>
      </c>
      <c r="E836" t="e">
        <f>#REF!</f>
        <v>#REF!</v>
      </c>
      <c r="G836" t="e">
        <f t="shared" si="66"/>
        <v>#REF!</v>
      </c>
      <c r="H836" t="e">
        <f t="shared" si="67"/>
        <v>#REF!</v>
      </c>
      <c r="I836" s="141" t="e">
        <f t="shared" si="68"/>
        <v>#REF!</v>
      </c>
      <c r="J836" t="e">
        <f t="shared" si="69"/>
        <v>#REF!</v>
      </c>
      <c r="K836" s="141" t="e">
        <f t="shared" si="70"/>
        <v>#REF!</v>
      </c>
    </row>
    <row r="837" spans="1:11" hidden="1" x14ac:dyDescent="0.25">
      <c r="A837" t="e">
        <f>#REF!</f>
        <v>#REF!</v>
      </c>
      <c r="B837" t="e">
        <f>#REF!</f>
        <v>#REF!</v>
      </c>
      <c r="C837" t="e">
        <f>#REF!</f>
        <v>#REF!</v>
      </c>
      <c r="D837" t="e">
        <f>#REF!</f>
        <v>#REF!</v>
      </c>
      <c r="E837" t="e">
        <f>#REF!</f>
        <v>#REF!</v>
      </c>
      <c r="G837" t="e">
        <f t="shared" si="66"/>
        <v>#REF!</v>
      </c>
      <c r="H837" t="e">
        <f t="shared" si="67"/>
        <v>#REF!</v>
      </c>
      <c r="I837" s="141" t="e">
        <f t="shared" si="68"/>
        <v>#REF!</v>
      </c>
      <c r="J837" t="e">
        <f t="shared" si="69"/>
        <v>#REF!</v>
      </c>
      <c r="K837" s="141" t="e">
        <f t="shared" si="70"/>
        <v>#REF!</v>
      </c>
    </row>
    <row r="838" spans="1:11" hidden="1" x14ac:dyDescent="0.25">
      <c r="A838" t="e">
        <f>#REF!</f>
        <v>#REF!</v>
      </c>
      <c r="B838" t="e">
        <f>#REF!</f>
        <v>#REF!</v>
      </c>
      <c r="C838" t="e">
        <f>#REF!</f>
        <v>#REF!</v>
      </c>
      <c r="D838" t="e">
        <f>#REF!</f>
        <v>#REF!</v>
      </c>
      <c r="E838" t="e">
        <f>#REF!</f>
        <v>#REF!</v>
      </c>
      <c r="G838" t="e">
        <f t="shared" si="66"/>
        <v>#REF!</v>
      </c>
      <c r="H838" t="e">
        <f t="shared" si="67"/>
        <v>#REF!</v>
      </c>
      <c r="I838" s="141" t="e">
        <f t="shared" si="68"/>
        <v>#REF!</v>
      </c>
      <c r="J838" t="e">
        <f t="shared" si="69"/>
        <v>#REF!</v>
      </c>
      <c r="K838" s="141" t="e">
        <f t="shared" si="70"/>
        <v>#REF!</v>
      </c>
    </row>
    <row r="839" spans="1:11" hidden="1" x14ac:dyDescent="0.25">
      <c r="A839" t="e">
        <f>#REF!</f>
        <v>#REF!</v>
      </c>
      <c r="B839" t="e">
        <f>#REF!</f>
        <v>#REF!</v>
      </c>
      <c r="C839" t="e">
        <f>#REF!</f>
        <v>#REF!</v>
      </c>
      <c r="D839" t="e">
        <f>#REF!</f>
        <v>#REF!</v>
      </c>
      <c r="E839" t="e">
        <f>#REF!</f>
        <v>#REF!</v>
      </c>
      <c r="G839" t="e">
        <f t="shared" si="66"/>
        <v>#REF!</v>
      </c>
      <c r="H839" t="e">
        <f t="shared" si="67"/>
        <v>#REF!</v>
      </c>
      <c r="I839" s="141" t="e">
        <f t="shared" si="68"/>
        <v>#REF!</v>
      </c>
      <c r="J839" t="e">
        <f t="shared" si="69"/>
        <v>#REF!</v>
      </c>
      <c r="K839" s="141" t="e">
        <f t="shared" si="70"/>
        <v>#REF!</v>
      </c>
    </row>
    <row r="840" spans="1:11" hidden="1" x14ac:dyDescent="0.25">
      <c r="A840" t="e">
        <f>#REF!</f>
        <v>#REF!</v>
      </c>
      <c r="B840" t="e">
        <f>#REF!</f>
        <v>#REF!</v>
      </c>
      <c r="C840" t="e">
        <f>#REF!</f>
        <v>#REF!</v>
      </c>
      <c r="D840" t="e">
        <f>#REF!</f>
        <v>#REF!</v>
      </c>
      <c r="E840" t="e">
        <f>#REF!</f>
        <v>#REF!</v>
      </c>
      <c r="G840" t="e">
        <f t="shared" si="66"/>
        <v>#REF!</v>
      </c>
      <c r="H840" t="e">
        <f t="shared" si="67"/>
        <v>#REF!</v>
      </c>
      <c r="I840" s="141" t="e">
        <f t="shared" si="68"/>
        <v>#REF!</v>
      </c>
      <c r="J840" t="e">
        <f t="shared" si="69"/>
        <v>#REF!</v>
      </c>
      <c r="K840" s="141" t="e">
        <f t="shared" si="70"/>
        <v>#REF!</v>
      </c>
    </row>
    <row r="841" spans="1:11" hidden="1" x14ac:dyDescent="0.25">
      <c r="A841" t="e">
        <f>#REF!</f>
        <v>#REF!</v>
      </c>
      <c r="B841" t="e">
        <f>#REF!</f>
        <v>#REF!</v>
      </c>
      <c r="C841" t="e">
        <f>#REF!</f>
        <v>#REF!</v>
      </c>
      <c r="D841" t="e">
        <f>#REF!</f>
        <v>#REF!</v>
      </c>
      <c r="E841" t="e">
        <f>#REF!</f>
        <v>#REF!</v>
      </c>
      <c r="G841" t="e">
        <f t="shared" si="66"/>
        <v>#REF!</v>
      </c>
      <c r="H841" t="e">
        <f t="shared" si="67"/>
        <v>#REF!</v>
      </c>
      <c r="I841" s="141" t="e">
        <f t="shared" si="68"/>
        <v>#REF!</v>
      </c>
      <c r="J841" t="e">
        <f t="shared" si="69"/>
        <v>#REF!</v>
      </c>
      <c r="K841" s="141" t="e">
        <f t="shared" si="70"/>
        <v>#REF!</v>
      </c>
    </row>
    <row r="842" spans="1:11" hidden="1" x14ac:dyDescent="0.25">
      <c r="A842" t="e">
        <f>#REF!</f>
        <v>#REF!</v>
      </c>
      <c r="B842" t="e">
        <f>#REF!</f>
        <v>#REF!</v>
      </c>
      <c r="C842" t="e">
        <f>#REF!</f>
        <v>#REF!</v>
      </c>
      <c r="D842" t="e">
        <f>#REF!</f>
        <v>#REF!</v>
      </c>
      <c r="E842" t="e">
        <f>#REF!</f>
        <v>#REF!</v>
      </c>
      <c r="G842" t="e">
        <f t="shared" si="66"/>
        <v>#REF!</v>
      </c>
      <c r="H842" t="e">
        <f t="shared" si="67"/>
        <v>#REF!</v>
      </c>
      <c r="I842" s="141" t="e">
        <f t="shared" si="68"/>
        <v>#REF!</v>
      </c>
      <c r="J842" t="e">
        <f t="shared" si="69"/>
        <v>#REF!</v>
      </c>
      <c r="K842" s="141" t="e">
        <f t="shared" si="70"/>
        <v>#REF!</v>
      </c>
    </row>
    <row r="843" spans="1:11" hidden="1" x14ac:dyDescent="0.25">
      <c r="A843" t="e">
        <f>#REF!</f>
        <v>#REF!</v>
      </c>
      <c r="B843" t="e">
        <f>#REF!</f>
        <v>#REF!</v>
      </c>
      <c r="C843" t="e">
        <f>#REF!</f>
        <v>#REF!</v>
      </c>
      <c r="D843" t="e">
        <f>#REF!</f>
        <v>#REF!</v>
      </c>
      <c r="E843" t="e">
        <f>#REF!</f>
        <v>#REF!</v>
      </c>
      <c r="G843" t="e">
        <f t="shared" si="66"/>
        <v>#REF!</v>
      </c>
      <c r="H843" t="e">
        <f t="shared" si="67"/>
        <v>#REF!</v>
      </c>
      <c r="I843" s="141" t="e">
        <f t="shared" si="68"/>
        <v>#REF!</v>
      </c>
      <c r="J843" t="e">
        <f t="shared" si="69"/>
        <v>#REF!</v>
      </c>
      <c r="K843" s="141" t="e">
        <f t="shared" si="70"/>
        <v>#REF!</v>
      </c>
    </row>
    <row r="844" spans="1:11" hidden="1" x14ac:dyDescent="0.25">
      <c r="A844" t="e">
        <f>#REF!</f>
        <v>#REF!</v>
      </c>
      <c r="B844" t="e">
        <f>#REF!</f>
        <v>#REF!</v>
      </c>
      <c r="C844" t="e">
        <f>#REF!</f>
        <v>#REF!</v>
      </c>
      <c r="D844" t="e">
        <f>#REF!</f>
        <v>#REF!</v>
      </c>
      <c r="E844" t="e">
        <f>#REF!</f>
        <v>#REF!</v>
      </c>
      <c r="G844" t="e">
        <f t="shared" si="66"/>
        <v>#REF!</v>
      </c>
      <c r="H844" t="e">
        <f t="shared" si="67"/>
        <v>#REF!</v>
      </c>
      <c r="I844" s="141" t="e">
        <f t="shared" si="68"/>
        <v>#REF!</v>
      </c>
      <c r="J844" t="e">
        <f t="shared" si="69"/>
        <v>#REF!</v>
      </c>
      <c r="K844" s="141" t="e">
        <f t="shared" si="70"/>
        <v>#REF!</v>
      </c>
    </row>
    <row r="845" spans="1:11" hidden="1" x14ac:dyDescent="0.25">
      <c r="A845" t="e">
        <f>#REF!</f>
        <v>#REF!</v>
      </c>
      <c r="B845" t="e">
        <f>#REF!</f>
        <v>#REF!</v>
      </c>
      <c r="C845" t="e">
        <f>#REF!</f>
        <v>#REF!</v>
      </c>
      <c r="D845" t="e">
        <f>#REF!</f>
        <v>#REF!</v>
      </c>
      <c r="E845" t="e">
        <f>#REF!</f>
        <v>#REF!</v>
      </c>
      <c r="G845" t="e">
        <f t="shared" si="66"/>
        <v>#REF!</v>
      </c>
      <c r="H845" t="e">
        <f t="shared" si="67"/>
        <v>#REF!</v>
      </c>
      <c r="I845" s="141" t="e">
        <f t="shared" si="68"/>
        <v>#REF!</v>
      </c>
      <c r="J845" t="e">
        <f t="shared" si="69"/>
        <v>#REF!</v>
      </c>
      <c r="K845" s="141" t="e">
        <f t="shared" si="70"/>
        <v>#REF!</v>
      </c>
    </row>
    <row r="846" spans="1:11" hidden="1" x14ac:dyDescent="0.25">
      <c r="A846" t="e">
        <f>#REF!</f>
        <v>#REF!</v>
      </c>
      <c r="B846" t="e">
        <f>#REF!</f>
        <v>#REF!</v>
      </c>
      <c r="C846" t="e">
        <f>#REF!</f>
        <v>#REF!</v>
      </c>
      <c r="D846" t="e">
        <f>#REF!</f>
        <v>#REF!</v>
      </c>
      <c r="E846" t="e">
        <f>#REF!</f>
        <v>#REF!</v>
      </c>
      <c r="G846" t="e">
        <f t="shared" si="66"/>
        <v>#REF!</v>
      </c>
      <c r="H846" t="e">
        <f t="shared" si="67"/>
        <v>#REF!</v>
      </c>
      <c r="I846" s="141" t="e">
        <f t="shared" si="68"/>
        <v>#REF!</v>
      </c>
      <c r="J846" t="e">
        <f t="shared" si="69"/>
        <v>#REF!</v>
      </c>
      <c r="K846" s="141" t="e">
        <f t="shared" si="70"/>
        <v>#REF!</v>
      </c>
    </row>
    <row r="847" spans="1:11" hidden="1" x14ac:dyDescent="0.25">
      <c r="A847" t="e">
        <f>#REF!</f>
        <v>#REF!</v>
      </c>
      <c r="B847" t="e">
        <f>#REF!</f>
        <v>#REF!</v>
      </c>
      <c r="C847" t="e">
        <f>#REF!</f>
        <v>#REF!</v>
      </c>
      <c r="D847" t="e">
        <f>#REF!</f>
        <v>#REF!</v>
      </c>
      <c r="E847" t="e">
        <f>#REF!</f>
        <v>#REF!</v>
      </c>
      <c r="G847" t="e">
        <f t="shared" si="66"/>
        <v>#REF!</v>
      </c>
      <c r="H847" t="e">
        <f t="shared" si="67"/>
        <v>#REF!</v>
      </c>
      <c r="I847" s="141" t="e">
        <f t="shared" si="68"/>
        <v>#REF!</v>
      </c>
      <c r="J847" t="e">
        <f t="shared" si="69"/>
        <v>#REF!</v>
      </c>
      <c r="K847" s="141" t="e">
        <f t="shared" si="70"/>
        <v>#REF!</v>
      </c>
    </row>
    <row r="848" spans="1:11" hidden="1" x14ac:dyDescent="0.25">
      <c r="A848" t="e">
        <f>#REF!</f>
        <v>#REF!</v>
      </c>
      <c r="B848" t="e">
        <f>#REF!</f>
        <v>#REF!</v>
      </c>
      <c r="C848" t="e">
        <f>#REF!</f>
        <v>#REF!</v>
      </c>
      <c r="D848" t="e">
        <f>#REF!</f>
        <v>#REF!</v>
      </c>
      <c r="E848" t="e">
        <f>#REF!</f>
        <v>#REF!</v>
      </c>
      <c r="G848" t="e">
        <f t="shared" si="66"/>
        <v>#REF!</v>
      </c>
      <c r="H848" t="e">
        <f t="shared" si="67"/>
        <v>#REF!</v>
      </c>
      <c r="I848" s="141" t="e">
        <f t="shared" si="68"/>
        <v>#REF!</v>
      </c>
      <c r="J848" t="e">
        <f t="shared" si="69"/>
        <v>#REF!</v>
      </c>
      <c r="K848" s="141" t="e">
        <f t="shared" si="70"/>
        <v>#REF!</v>
      </c>
    </row>
    <row r="849" spans="1:11" hidden="1" x14ac:dyDescent="0.25">
      <c r="A849" t="e">
        <f>#REF!</f>
        <v>#REF!</v>
      </c>
      <c r="B849" t="e">
        <f>#REF!</f>
        <v>#REF!</v>
      </c>
      <c r="C849" t="e">
        <f>#REF!</f>
        <v>#REF!</v>
      </c>
      <c r="D849" t="e">
        <f>#REF!</f>
        <v>#REF!</v>
      </c>
      <c r="E849" t="e">
        <f>#REF!</f>
        <v>#REF!</v>
      </c>
      <c r="G849" t="e">
        <f t="shared" si="66"/>
        <v>#REF!</v>
      </c>
      <c r="H849" t="e">
        <f t="shared" si="67"/>
        <v>#REF!</v>
      </c>
      <c r="I849" s="141" t="e">
        <f t="shared" si="68"/>
        <v>#REF!</v>
      </c>
      <c r="J849" t="e">
        <f t="shared" si="69"/>
        <v>#REF!</v>
      </c>
      <c r="K849" s="141" t="e">
        <f t="shared" si="70"/>
        <v>#REF!</v>
      </c>
    </row>
    <row r="850" spans="1:11" hidden="1" x14ac:dyDescent="0.25">
      <c r="A850" t="e">
        <f>#REF!</f>
        <v>#REF!</v>
      </c>
      <c r="B850" t="e">
        <f>#REF!</f>
        <v>#REF!</v>
      </c>
      <c r="C850" t="e">
        <f>#REF!</f>
        <v>#REF!</v>
      </c>
      <c r="D850" t="e">
        <f>#REF!</f>
        <v>#REF!</v>
      </c>
      <c r="E850" t="e">
        <f>#REF!</f>
        <v>#REF!</v>
      </c>
      <c r="G850" t="e">
        <f t="shared" si="66"/>
        <v>#REF!</v>
      </c>
      <c r="H850" t="e">
        <f t="shared" si="67"/>
        <v>#REF!</v>
      </c>
      <c r="I850" s="141" t="e">
        <f t="shared" si="68"/>
        <v>#REF!</v>
      </c>
      <c r="J850" t="e">
        <f t="shared" si="69"/>
        <v>#REF!</v>
      </c>
      <c r="K850" s="141" t="e">
        <f t="shared" si="70"/>
        <v>#REF!</v>
      </c>
    </row>
    <row r="851" spans="1:11" hidden="1" x14ac:dyDescent="0.25">
      <c r="A851" t="e">
        <f>#REF!</f>
        <v>#REF!</v>
      </c>
      <c r="B851" t="e">
        <f>#REF!</f>
        <v>#REF!</v>
      </c>
      <c r="C851" t="e">
        <f>#REF!</f>
        <v>#REF!</v>
      </c>
      <c r="D851" t="e">
        <f>#REF!</f>
        <v>#REF!</v>
      </c>
      <c r="E851" t="e">
        <f>#REF!</f>
        <v>#REF!</v>
      </c>
      <c r="G851" t="e">
        <f t="shared" si="66"/>
        <v>#REF!</v>
      </c>
      <c r="H851" t="e">
        <f t="shared" si="67"/>
        <v>#REF!</v>
      </c>
      <c r="I851" s="141" t="e">
        <f t="shared" si="68"/>
        <v>#REF!</v>
      </c>
      <c r="J851" t="e">
        <f t="shared" si="69"/>
        <v>#REF!</v>
      </c>
      <c r="K851" s="141" t="e">
        <f t="shared" si="70"/>
        <v>#REF!</v>
      </c>
    </row>
    <row r="852" spans="1:11" hidden="1" x14ac:dyDescent="0.25">
      <c r="A852" t="e">
        <f>#REF!</f>
        <v>#REF!</v>
      </c>
      <c r="B852" t="e">
        <f>#REF!</f>
        <v>#REF!</v>
      </c>
      <c r="C852" t="e">
        <f>#REF!</f>
        <v>#REF!</v>
      </c>
      <c r="D852" t="e">
        <f>#REF!</f>
        <v>#REF!</v>
      </c>
      <c r="E852" t="e">
        <f>#REF!</f>
        <v>#REF!</v>
      </c>
      <c r="G852" t="e">
        <f t="shared" si="66"/>
        <v>#REF!</v>
      </c>
      <c r="H852" t="e">
        <f t="shared" si="67"/>
        <v>#REF!</v>
      </c>
      <c r="I852" s="141" t="e">
        <f t="shared" si="68"/>
        <v>#REF!</v>
      </c>
      <c r="J852" t="e">
        <f t="shared" si="69"/>
        <v>#REF!</v>
      </c>
      <c r="K852" s="141" t="e">
        <f t="shared" si="70"/>
        <v>#REF!</v>
      </c>
    </row>
    <row r="853" spans="1:11" hidden="1" x14ac:dyDescent="0.25">
      <c r="A853" t="e">
        <f>#REF!</f>
        <v>#REF!</v>
      </c>
      <c r="B853" t="e">
        <f>#REF!</f>
        <v>#REF!</v>
      </c>
      <c r="C853" t="e">
        <f>#REF!</f>
        <v>#REF!</v>
      </c>
      <c r="D853" t="e">
        <f>#REF!</f>
        <v>#REF!</v>
      </c>
      <c r="E853" t="e">
        <f>#REF!</f>
        <v>#REF!</v>
      </c>
      <c r="G853" t="e">
        <f t="shared" si="66"/>
        <v>#REF!</v>
      </c>
      <c r="H853" t="e">
        <f t="shared" si="67"/>
        <v>#REF!</v>
      </c>
      <c r="I853" s="141" t="e">
        <f t="shared" si="68"/>
        <v>#REF!</v>
      </c>
      <c r="J853" t="e">
        <f t="shared" si="69"/>
        <v>#REF!</v>
      </c>
      <c r="K853" s="141" t="e">
        <f t="shared" si="70"/>
        <v>#REF!</v>
      </c>
    </row>
    <row r="854" spans="1:11" hidden="1" x14ac:dyDescent="0.25">
      <c r="A854" t="e">
        <f>#REF!</f>
        <v>#REF!</v>
      </c>
      <c r="B854" t="e">
        <f>#REF!</f>
        <v>#REF!</v>
      </c>
      <c r="C854" t="e">
        <f>#REF!</f>
        <v>#REF!</v>
      </c>
      <c r="D854" t="e">
        <f>#REF!</f>
        <v>#REF!</v>
      </c>
      <c r="E854" t="e">
        <f>#REF!</f>
        <v>#REF!</v>
      </c>
      <c r="G854" t="e">
        <f t="shared" si="66"/>
        <v>#REF!</v>
      </c>
      <c r="H854" t="e">
        <f t="shared" si="67"/>
        <v>#REF!</v>
      </c>
      <c r="I854" s="141" t="e">
        <f t="shared" si="68"/>
        <v>#REF!</v>
      </c>
      <c r="J854" t="e">
        <f t="shared" si="69"/>
        <v>#REF!</v>
      </c>
      <c r="K854" s="141" t="e">
        <f t="shared" si="70"/>
        <v>#REF!</v>
      </c>
    </row>
    <row r="855" spans="1:11" hidden="1" x14ac:dyDescent="0.25">
      <c r="A855" t="e">
        <f>#REF!</f>
        <v>#REF!</v>
      </c>
      <c r="B855" t="e">
        <f>#REF!</f>
        <v>#REF!</v>
      </c>
      <c r="C855" t="e">
        <f>#REF!</f>
        <v>#REF!</v>
      </c>
      <c r="D855" t="e">
        <f>#REF!</f>
        <v>#REF!</v>
      </c>
      <c r="E855" t="e">
        <f>#REF!</f>
        <v>#REF!</v>
      </c>
      <c r="G855" t="e">
        <f t="shared" si="66"/>
        <v>#REF!</v>
      </c>
      <c r="H855" t="e">
        <f t="shared" si="67"/>
        <v>#REF!</v>
      </c>
      <c r="I855" s="141" t="e">
        <f t="shared" si="68"/>
        <v>#REF!</v>
      </c>
      <c r="J855" t="e">
        <f t="shared" si="69"/>
        <v>#REF!</v>
      </c>
      <c r="K855" s="141" t="e">
        <f t="shared" si="70"/>
        <v>#REF!</v>
      </c>
    </row>
    <row r="856" spans="1:11" hidden="1" x14ac:dyDescent="0.25">
      <c r="A856" t="e">
        <f>#REF!</f>
        <v>#REF!</v>
      </c>
      <c r="B856" t="e">
        <f>#REF!</f>
        <v>#REF!</v>
      </c>
      <c r="C856" t="e">
        <f>#REF!</f>
        <v>#REF!</v>
      </c>
      <c r="D856" t="e">
        <f>#REF!</f>
        <v>#REF!</v>
      </c>
      <c r="E856" t="e">
        <f>#REF!</f>
        <v>#REF!</v>
      </c>
      <c r="G856" t="e">
        <f t="shared" si="66"/>
        <v>#REF!</v>
      </c>
      <c r="H856" t="e">
        <f t="shared" si="67"/>
        <v>#REF!</v>
      </c>
      <c r="I856" s="141" t="e">
        <f t="shared" si="68"/>
        <v>#REF!</v>
      </c>
      <c r="J856" t="e">
        <f t="shared" si="69"/>
        <v>#REF!</v>
      </c>
      <c r="K856" s="141" t="e">
        <f t="shared" si="70"/>
        <v>#REF!</v>
      </c>
    </row>
    <row r="857" spans="1:11" hidden="1" x14ac:dyDescent="0.25">
      <c r="A857" t="e">
        <f>#REF!</f>
        <v>#REF!</v>
      </c>
      <c r="B857" t="e">
        <f>#REF!</f>
        <v>#REF!</v>
      </c>
      <c r="C857" t="e">
        <f>#REF!</f>
        <v>#REF!</v>
      </c>
      <c r="D857" t="e">
        <f>#REF!</f>
        <v>#REF!</v>
      </c>
      <c r="E857" t="e">
        <f>#REF!</f>
        <v>#REF!</v>
      </c>
      <c r="G857" t="e">
        <f t="shared" si="66"/>
        <v>#REF!</v>
      </c>
      <c r="H857" t="e">
        <f t="shared" si="67"/>
        <v>#REF!</v>
      </c>
      <c r="I857" s="141" t="e">
        <f t="shared" si="68"/>
        <v>#REF!</v>
      </c>
      <c r="J857" t="e">
        <f t="shared" si="69"/>
        <v>#REF!</v>
      </c>
      <c r="K857" s="141" t="e">
        <f t="shared" si="70"/>
        <v>#REF!</v>
      </c>
    </row>
    <row r="858" spans="1:11" hidden="1" x14ac:dyDescent="0.25">
      <c r="A858" t="e">
        <f>#REF!</f>
        <v>#REF!</v>
      </c>
      <c r="B858" t="e">
        <f>#REF!</f>
        <v>#REF!</v>
      </c>
      <c r="C858" t="e">
        <f>#REF!</f>
        <v>#REF!</v>
      </c>
      <c r="D858" t="e">
        <f>#REF!</f>
        <v>#REF!</v>
      </c>
      <c r="E858" t="e">
        <f>#REF!</f>
        <v>#REF!</v>
      </c>
      <c r="G858" t="e">
        <f t="shared" si="66"/>
        <v>#REF!</v>
      </c>
      <c r="H858" t="e">
        <f t="shared" si="67"/>
        <v>#REF!</v>
      </c>
      <c r="I858" s="141" t="e">
        <f t="shared" si="68"/>
        <v>#REF!</v>
      </c>
      <c r="J858" t="e">
        <f t="shared" si="69"/>
        <v>#REF!</v>
      </c>
      <c r="K858" s="141" t="e">
        <f t="shared" si="70"/>
        <v>#REF!</v>
      </c>
    </row>
    <row r="859" spans="1:11" hidden="1" x14ac:dyDescent="0.25">
      <c r="A859" t="e">
        <f>#REF!</f>
        <v>#REF!</v>
      </c>
      <c r="B859" t="e">
        <f>#REF!</f>
        <v>#REF!</v>
      </c>
      <c r="C859" t="e">
        <f>#REF!</f>
        <v>#REF!</v>
      </c>
      <c r="D859" t="e">
        <f>#REF!</f>
        <v>#REF!</v>
      </c>
      <c r="E859" t="e">
        <f>#REF!</f>
        <v>#REF!</v>
      </c>
      <c r="G859" t="e">
        <f t="shared" si="66"/>
        <v>#REF!</v>
      </c>
      <c r="H859" t="e">
        <f t="shared" si="67"/>
        <v>#REF!</v>
      </c>
      <c r="I859" s="141" t="e">
        <f t="shared" si="68"/>
        <v>#REF!</v>
      </c>
      <c r="J859" t="e">
        <f t="shared" si="69"/>
        <v>#REF!</v>
      </c>
      <c r="K859" s="141" t="e">
        <f t="shared" si="70"/>
        <v>#REF!</v>
      </c>
    </row>
    <row r="860" spans="1:11" hidden="1" x14ac:dyDescent="0.25">
      <c r="A860" t="e">
        <f>#REF!</f>
        <v>#REF!</v>
      </c>
      <c r="B860" t="e">
        <f>#REF!</f>
        <v>#REF!</v>
      </c>
      <c r="C860" t="e">
        <f>#REF!</f>
        <v>#REF!</v>
      </c>
      <c r="D860" t="e">
        <f>#REF!</f>
        <v>#REF!</v>
      </c>
      <c r="E860" t="e">
        <f>#REF!</f>
        <v>#REF!</v>
      </c>
      <c r="G860" t="e">
        <f t="shared" si="66"/>
        <v>#REF!</v>
      </c>
      <c r="H860" t="e">
        <f t="shared" si="67"/>
        <v>#REF!</v>
      </c>
      <c r="I860" s="141" t="e">
        <f t="shared" si="68"/>
        <v>#REF!</v>
      </c>
      <c r="J860" t="e">
        <f t="shared" si="69"/>
        <v>#REF!</v>
      </c>
      <c r="K860" s="141" t="e">
        <f t="shared" si="70"/>
        <v>#REF!</v>
      </c>
    </row>
    <row r="861" spans="1:11" hidden="1" x14ac:dyDescent="0.25">
      <c r="A861" t="e">
        <f>#REF!</f>
        <v>#REF!</v>
      </c>
      <c r="B861" t="e">
        <f>#REF!</f>
        <v>#REF!</v>
      </c>
      <c r="C861" t="e">
        <f>#REF!</f>
        <v>#REF!</v>
      </c>
      <c r="D861" t="e">
        <f>#REF!</f>
        <v>#REF!</v>
      </c>
      <c r="E861" t="e">
        <f>#REF!</f>
        <v>#REF!</v>
      </c>
      <c r="G861" t="e">
        <f t="shared" si="66"/>
        <v>#REF!</v>
      </c>
      <c r="H861" t="e">
        <f t="shared" si="67"/>
        <v>#REF!</v>
      </c>
      <c r="I861" s="141" t="e">
        <f t="shared" si="68"/>
        <v>#REF!</v>
      </c>
      <c r="J861" t="e">
        <f t="shared" si="69"/>
        <v>#REF!</v>
      </c>
      <c r="K861" s="141" t="e">
        <f t="shared" si="70"/>
        <v>#REF!</v>
      </c>
    </row>
    <row r="862" spans="1:11" hidden="1" x14ac:dyDescent="0.25">
      <c r="A862" t="e">
        <f>#REF!</f>
        <v>#REF!</v>
      </c>
      <c r="B862" t="e">
        <f>#REF!</f>
        <v>#REF!</v>
      </c>
      <c r="C862" t="e">
        <f>#REF!</f>
        <v>#REF!</v>
      </c>
      <c r="D862" t="e">
        <f>#REF!</f>
        <v>#REF!</v>
      </c>
      <c r="E862" t="e">
        <f>#REF!</f>
        <v>#REF!</v>
      </c>
      <c r="G862" t="e">
        <f t="shared" si="66"/>
        <v>#REF!</v>
      </c>
      <c r="H862" t="e">
        <f t="shared" si="67"/>
        <v>#REF!</v>
      </c>
      <c r="I862" s="141" t="e">
        <f t="shared" si="68"/>
        <v>#REF!</v>
      </c>
      <c r="J862" t="e">
        <f t="shared" si="69"/>
        <v>#REF!</v>
      </c>
      <c r="K862" s="141" t="e">
        <f t="shared" si="70"/>
        <v>#REF!</v>
      </c>
    </row>
    <row r="863" spans="1:11" hidden="1" x14ac:dyDescent="0.25">
      <c r="A863" t="e">
        <f>#REF!</f>
        <v>#REF!</v>
      </c>
      <c r="B863" t="e">
        <f>#REF!</f>
        <v>#REF!</v>
      </c>
      <c r="C863" t="e">
        <f>#REF!</f>
        <v>#REF!</v>
      </c>
      <c r="D863" t="e">
        <f>#REF!</f>
        <v>#REF!</v>
      </c>
      <c r="E863" t="e">
        <f>#REF!</f>
        <v>#REF!</v>
      </c>
      <c r="G863" t="e">
        <f t="shared" si="66"/>
        <v>#REF!</v>
      </c>
      <c r="H863" t="e">
        <f t="shared" si="67"/>
        <v>#REF!</v>
      </c>
      <c r="I863" s="141" t="e">
        <f t="shared" si="68"/>
        <v>#REF!</v>
      </c>
      <c r="J863" t="e">
        <f t="shared" si="69"/>
        <v>#REF!</v>
      </c>
      <c r="K863" s="141" t="e">
        <f t="shared" si="70"/>
        <v>#REF!</v>
      </c>
    </row>
    <row r="864" spans="1:11" hidden="1" x14ac:dyDescent="0.25">
      <c r="A864" t="e">
        <f>#REF!</f>
        <v>#REF!</v>
      </c>
      <c r="B864" t="e">
        <f>#REF!</f>
        <v>#REF!</v>
      </c>
      <c r="C864" t="e">
        <f>#REF!</f>
        <v>#REF!</v>
      </c>
      <c r="D864" t="e">
        <f>#REF!</f>
        <v>#REF!</v>
      </c>
      <c r="E864" t="e">
        <f>#REF!</f>
        <v>#REF!</v>
      </c>
      <c r="G864" t="e">
        <f t="shared" si="66"/>
        <v>#REF!</v>
      </c>
      <c r="H864" t="e">
        <f t="shared" si="67"/>
        <v>#REF!</v>
      </c>
      <c r="I864" s="141" t="e">
        <f t="shared" si="68"/>
        <v>#REF!</v>
      </c>
      <c r="J864" t="e">
        <f t="shared" si="69"/>
        <v>#REF!</v>
      </c>
      <c r="K864" s="141" t="e">
        <f t="shared" si="70"/>
        <v>#REF!</v>
      </c>
    </row>
    <row r="865" spans="1:11" hidden="1" x14ac:dyDescent="0.25">
      <c r="A865" t="e">
        <f>#REF!</f>
        <v>#REF!</v>
      </c>
      <c r="B865" t="e">
        <f>#REF!</f>
        <v>#REF!</v>
      </c>
      <c r="C865" t="e">
        <f>#REF!</f>
        <v>#REF!</v>
      </c>
      <c r="D865" t="e">
        <f>#REF!</f>
        <v>#REF!</v>
      </c>
      <c r="E865" t="e">
        <f>#REF!</f>
        <v>#REF!</v>
      </c>
      <c r="G865" t="e">
        <f t="shared" si="66"/>
        <v>#REF!</v>
      </c>
      <c r="H865" t="e">
        <f t="shared" si="67"/>
        <v>#REF!</v>
      </c>
      <c r="I865" s="141" t="e">
        <f t="shared" si="68"/>
        <v>#REF!</v>
      </c>
      <c r="J865" t="e">
        <f t="shared" si="69"/>
        <v>#REF!</v>
      </c>
      <c r="K865" s="141" t="e">
        <f t="shared" si="70"/>
        <v>#REF!</v>
      </c>
    </row>
    <row r="866" spans="1:11" hidden="1" x14ac:dyDescent="0.25">
      <c r="A866" t="e">
        <f>#REF!</f>
        <v>#REF!</v>
      </c>
      <c r="B866" t="e">
        <f>#REF!</f>
        <v>#REF!</v>
      </c>
      <c r="C866" t="e">
        <f>#REF!</f>
        <v>#REF!</v>
      </c>
      <c r="D866" t="e">
        <f>#REF!</f>
        <v>#REF!</v>
      </c>
      <c r="E866" t="e">
        <f>#REF!</f>
        <v>#REF!</v>
      </c>
      <c r="G866" t="e">
        <f t="shared" si="66"/>
        <v>#REF!</v>
      </c>
      <c r="H866" t="e">
        <f t="shared" si="67"/>
        <v>#REF!</v>
      </c>
      <c r="I866" s="141" t="e">
        <f t="shared" si="68"/>
        <v>#REF!</v>
      </c>
      <c r="J866" t="e">
        <f t="shared" si="69"/>
        <v>#REF!</v>
      </c>
      <c r="K866" s="141" t="e">
        <f t="shared" si="70"/>
        <v>#REF!</v>
      </c>
    </row>
    <row r="867" spans="1:11" hidden="1" x14ac:dyDescent="0.25">
      <c r="A867" t="e">
        <f>#REF!</f>
        <v>#REF!</v>
      </c>
      <c r="B867" t="e">
        <f>#REF!</f>
        <v>#REF!</v>
      </c>
      <c r="C867" t="e">
        <f>#REF!</f>
        <v>#REF!</v>
      </c>
      <c r="D867" t="e">
        <f>#REF!</f>
        <v>#REF!</v>
      </c>
      <c r="E867" t="e">
        <f>#REF!</f>
        <v>#REF!</v>
      </c>
      <c r="G867" t="e">
        <f t="shared" si="66"/>
        <v>#REF!</v>
      </c>
      <c r="H867" t="e">
        <f t="shared" si="67"/>
        <v>#REF!</v>
      </c>
      <c r="I867" s="141" t="e">
        <f t="shared" si="68"/>
        <v>#REF!</v>
      </c>
      <c r="J867" t="e">
        <f t="shared" si="69"/>
        <v>#REF!</v>
      </c>
      <c r="K867" s="141" t="e">
        <f t="shared" si="70"/>
        <v>#REF!</v>
      </c>
    </row>
    <row r="868" spans="1:11" hidden="1" x14ac:dyDescent="0.25">
      <c r="A868" t="e">
        <f>#REF!</f>
        <v>#REF!</v>
      </c>
      <c r="B868" t="e">
        <f>#REF!</f>
        <v>#REF!</v>
      </c>
      <c r="C868" t="e">
        <f>#REF!</f>
        <v>#REF!</v>
      </c>
      <c r="D868" t="e">
        <f>#REF!</f>
        <v>#REF!</v>
      </c>
      <c r="E868" t="e">
        <f>#REF!</f>
        <v>#REF!</v>
      </c>
      <c r="G868" t="e">
        <f t="shared" si="66"/>
        <v>#REF!</v>
      </c>
      <c r="H868" t="e">
        <f t="shared" si="67"/>
        <v>#REF!</v>
      </c>
      <c r="I868" s="141" t="e">
        <f t="shared" si="68"/>
        <v>#REF!</v>
      </c>
      <c r="J868" t="e">
        <f t="shared" si="69"/>
        <v>#REF!</v>
      </c>
      <c r="K868" s="141" t="e">
        <f t="shared" si="70"/>
        <v>#REF!</v>
      </c>
    </row>
    <row r="869" spans="1:11" hidden="1" x14ac:dyDescent="0.25">
      <c r="A869" t="e">
        <f>#REF!</f>
        <v>#REF!</v>
      </c>
      <c r="B869" t="e">
        <f>#REF!</f>
        <v>#REF!</v>
      </c>
      <c r="C869" t="e">
        <f>#REF!</f>
        <v>#REF!</v>
      </c>
      <c r="D869" t="e">
        <f>#REF!</f>
        <v>#REF!</v>
      </c>
      <c r="E869" t="e">
        <f>#REF!</f>
        <v>#REF!</v>
      </c>
      <c r="G869" t="e">
        <f t="shared" si="66"/>
        <v>#REF!</v>
      </c>
      <c r="H869" t="e">
        <f t="shared" si="67"/>
        <v>#REF!</v>
      </c>
      <c r="I869" s="141" t="e">
        <f t="shared" si="68"/>
        <v>#REF!</v>
      </c>
      <c r="J869" t="e">
        <f t="shared" si="69"/>
        <v>#REF!</v>
      </c>
      <c r="K869" s="141" t="e">
        <f t="shared" si="70"/>
        <v>#REF!</v>
      </c>
    </row>
    <row r="870" spans="1:11" hidden="1" x14ac:dyDescent="0.25">
      <c r="A870" t="e">
        <f>#REF!</f>
        <v>#REF!</v>
      </c>
      <c r="B870" t="e">
        <f>#REF!</f>
        <v>#REF!</v>
      </c>
      <c r="C870" t="e">
        <f>#REF!</f>
        <v>#REF!</v>
      </c>
      <c r="D870" t="e">
        <f>#REF!</f>
        <v>#REF!</v>
      </c>
      <c r="E870" t="e">
        <f>#REF!</f>
        <v>#REF!</v>
      </c>
      <c r="G870" t="e">
        <f t="shared" si="66"/>
        <v>#REF!</v>
      </c>
      <c r="H870" t="e">
        <f t="shared" si="67"/>
        <v>#REF!</v>
      </c>
      <c r="I870" s="141" t="e">
        <f t="shared" si="68"/>
        <v>#REF!</v>
      </c>
      <c r="J870" t="e">
        <f t="shared" si="69"/>
        <v>#REF!</v>
      </c>
      <c r="K870" s="141" t="e">
        <f t="shared" si="70"/>
        <v>#REF!</v>
      </c>
    </row>
    <row r="871" spans="1:11" hidden="1" x14ac:dyDescent="0.25">
      <c r="A871" t="e">
        <f>#REF!</f>
        <v>#REF!</v>
      </c>
      <c r="B871" t="e">
        <f>#REF!</f>
        <v>#REF!</v>
      </c>
      <c r="C871" t="e">
        <f>#REF!</f>
        <v>#REF!</v>
      </c>
      <c r="D871" t="e">
        <f>#REF!</f>
        <v>#REF!</v>
      </c>
      <c r="E871" t="e">
        <f>#REF!</f>
        <v>#REF!</v>
      </c>
      <c r="G871" t="e">
        <f t="shared" si="66"/>
        <v>#REF!</v>
      </c>
      <c r="H871" t="e">
        <f t="shared" si="67"/>
        <v>#REF!</v>
      </c>
      <c r="I871" s="141" t="e">
        <f t="shared" si="68"/>
        <v>#REF!</v>
      </c>
      <c r="J871" t="e">
        <f t="shared" si="69"/>
        <v>#REF!</v>
      </c>
      <c r="K871" s="141" t="e">
        <f t="shared" si="70"/>
        <v>#REF!</v>
      </c>
    </row>
    <row r="872" spans="1:11" hidden="1" x14ac:dyDescent="0.25">
      <c r="A872" t="e">
        <f>#REF!</f>
        <v>#REF!</v>
      </c>
      <c r="B872" t="e">
        <f>#REF!</f>
        <v>#REF!</v>
      </c>
      <c r="C872" t="e">
        <f>#REF!</f>
        <v>#REF!</v>
      </c>
      <c r="D872" t="e">
        <f>#REF!</f>
        <v>#REF!</v>
      </c>
      <c r="E872" t="e">
        <f>#REF!</f>
        <v>#REF!</v>
      </c>
      <c r="G872" t="e">
        <f t="shared" si="66"/>
        <v>#REF!</v>
      </c>
      <c r="H872" t="e">
        <f t="shared" si="67"/>
        <v>#REF!</v>
      </c>
      <c r="I872" s="141" t="e">
        <f t="shared" si="68"/>
        <v>#REF!</v>
      </c>
      <c r="J872" t="e">
        <f t="shared" si="69"/>
        <v>#REF!</v>
      </c>
      <c r="K872" s="141" t="e">
        <f t="shared" si="70"/>
        <v>#REF!</v>
      </c>
    </row>
    <row r="873" spans="1:11" hidden="1" x14ac:dyDescent="0.25">
      <c r="A873" t="e">
        <f>#REF!</f>
        <v>#REF!</v>
      </c>
      <c r="B873" t="e">
        <f>#REF!</f>
        <v>#REF!</v>
      </c>
      <c r="C873" t="e">
        <f>#REF!</f>
        <v>#REF!</v>
      </c>
      <c r="D873" t="e">
        <f>#REF!</f>
        <v>#REF!</v>
      </c>
      <c r="E873" t="e">
        <f>#REF!</f>
        <v>#REF!</v>
      </c>
      <c r="G873" t="e">
        <f t="shared" si="66"/>
        <v>#REF!</v>
      </c>
      <c r="H873" t="e">
        <f t="shared" si="67"/>
        <v>#REF!</v>
      </c>
      <c r="I873" s="141" t="e">
        <f t="shared" si="68"/>
        <v>#REF!</v>
      </c>
      <c r="J873" t="e">
        <f t="shared" si="69"/>
        <v>#REF!</v>
      </c>
      <c r="K873" s="141" t="e">
        <f t="shared" si="70"/>
        <v>#REF!</v>
      </c>
    </row>
    <row r="874" spans="1:11" hidden="1" x14ac:dyDescent="0.25">
      <c r="A874" t="e">
        <f>#REF!</f>
        <v>#REF!</v>
      </c>
      <c r="B874" t="e">
        <f>#REF!</f>
        <v>#REF!</v>
      </c>
      <c r="C874" t="e">
        <f>#REF!</f>
        <v>#REF!</v>
      </c>
      <c r="D874" t="e">
        <f>#REF!</f>
        <v>#REF!</v>
      </c>
      <c r="E874" t="e">
        <f>#REF!</f>
        <v>#REF!</v>
      </c>
      <c r="G874" t="e">
        <f t="shared" si="66"/>
        <v>#REF!</v>
      </c>
      <c r="H874" t="e">
        <f t="shared" si="67"/>
        <v>#REF!</v>
      </c>
      <c r="I874" s="141" t="e">
        <f t="shared" si="68"/>
        <v>#REF!</v>
      </c>
      <c r="J874" t="e">
        <f t="shared" si="69"/>
        <v>#REF!</v>
      </c>
      <c r="K874" s="141" t="e">
        <f t="shared" si="70"/>
        <v>#REF!</v>
      </c>
    </row>
    <row r="875" spans="1:11" hidden="1" x14ac:dyDescent="0.25">
      <c r="A875" t="e">
        <f>#REF!</f>
        <v>#REF!</v>
      </c>
      <c r="B875" t="e">
        <f>#REF!</f>
        <v>#REF!</v>
      </c>
      <c r="C875" t="e">
        <f>#REF!</f>
        <v>#REF!</v>
      </c>
      <c r="D875" t="e">
        <f>#REF!</f>
        <v>#REF!</v>
      </c>
      <c r="E875" t="e">
        <f>#REF!</f>
        <v>#REF!</v>
      </c>
      <c r="G875" t="e">
        <f t="shared" si="66"/>
        <v>#REF!</v>
      </c>
      <c r="H875" t="e">
        <f t="shared" si="67"/>
        <v>#REF!</v>
      </c>
      <c r="I875" s="141" t="e">
        <f t="shared" si="68"/>
        <v>#REF!</v>
      </c>
      <c r="J875" t="e">
        <f t="shared" si="69"/>
        <v>#REF!</v>
      </c>
      <c r="K875" s="141" t="e">
        <f t="shared" si="70"/>
        <v>#REF!</v>
      </c>
    </row>
    <row r="876" spans="1:11" hidden="1" x14ac:dyDescent="0.25">
      <c r="A876" t="e">
        <f>#REF!</f>
        <v>#REF!</v>
      </c>
      <c r="B876" t="e">
        <f>#REF!</f>
        <v>#REF!</v>
      </c>
      <c r="C876" t="e">
        <f>#REF!</f>
        <v>#REF!</v>
      </c>
      <c r="D876" t="e">
        <f>#REF!</f>
        <v>#REF!</v>
      </c>
      <c r="E876" t="e">
        <f>#REF!</f>
        <v>#REF!</v>
      </c>
      <c r="G876" t="e">
        <f t="shared" si="66"/>
        <v>#REF!</v>
      </c>
      <c r="H876" t="e">
        <f t="shared" si="67"/>
        <v>#REF!</v>
      </c>
      <c r="I876" s="141" t="e">
        <f t="shared" si="68"/>
        <v>#REF!</v>
      </c>
      <c r="J876" t="e">
        <f t="shared" si="69"/>
        <v>#REF!</v>
      </c>
      <c r="K876" s="141" t="e">
        <f t="shared" si="70"/>
        <v>#REF!</v>
      </c>
    </row>
    <row r="877" spans="1:11" hidden="1" x14ac:dyDescent="0.25">
      <c r="A877" t="e">
        <f>#REF!</f>
        <v>#REF!</v>
      </c>
      <c r="B877" t="e">
        <f>#REF!</f>
        <v>#REF!</v>
      </c>
      <c r="C877" t="e">
        <f>#REF!</f>
        <v>#REF!</v>
      </c>
      <c r="D877" t="e">
        <f>#REF!</f>
        <v>#REF!</v>
      </c>
      <c r="E877" t="e">
        <f>#REF!</f>
        <v>#REF!</v>
      </c>
      <c r="G877" t="e">
        <f t="shared" si="66"/>
        <v>#REF!</v>
      </c>
      <c r="H877" t="e">
        <f t="shared" si="67"/>
        <v>#REF!</v>
      </c>
      <c r="I877" s="141" t="e">
        <f t="shared" si="68"/>
        <v>#REF!</v>
      </c>
      <c r="J877" t="e">
        <f t="shared" si="69"/>
        <v>#REF!</v>
      </c>
      <c r="K877" s="141" t="e">
        <f t="shared" si="70"/>
        <v>#REF!</v>
      </c>
    </row>
    <row r="878" spans="1:11" hidden="1" x14ac:dyDescent="0.25">
      <c r="A878" t="e">
        <f>#REF!</f>
        <v>#REF!</v>
      </c>
      <c r="B878" t="e">
        <f>#REF!</f>
        <v>#REF!</v>
      </c>
      <c r="C878" t="e">
        <f>#REF!</f>
        <v>#REF!</v>
      </c>
      <c r="D878" t="e">
        <f>#REF!</f>
        <v>#REF!</v>
      </c>
      <c r="E878" t="e">
        <f>#REF!</f>
        <v>#REF!</v>
      </c>
      <c r="G878" t="e">
        <f t="shared" si="66"/>
        <v>#REF!</v>
      </c>
      <c r="H878" t="e">
        <f t="shared" si="67"/>
        <v>#REF!</v>
      </c>
      <c r="I878" s="141" t="e">
        <f t="shared" si="68"/>
        <v>#REF!</v>
      </c>
      <c r="J878" t="e">
        <f t="shared" si="69"/>
        <v>#REF!</v>
      </c>
      <c r="K878" s="141" t="e">
        <f t="shared" si="70"/>
        <v>#REF!</v>
      </c>
    </row>
    <row r="879" spans="1:11" hidden="1" x14ac:dyDescent="0.25">
      <c r="A879" t="e">
        <f>#REF!</f>
        <v>#REF!</v>
      </c>
      <c r="B879" t="e">
        <f>#REF!</f>
        <v>#REF!</v>
      </c>
      <c r="C879" t="e">
        <f>#REF!</f>
        <v>#REF!</v>
      </c>
      <c r="D879" t="e">
        <f>#REF!</f>
        <v>#REF!</v>
      </c>
      <c r="E879" t="e">
        <f>#REF!</f>
        <v>#REF!</v>
      </c>
      <c r="G879" t="e">
        <f t="shared" si="66"/>
        <v>#REF!</v>
      </c>
      <c r="H879" t="e">
        <f t="shared" si="67"/>
        <v>#REF!</v>
      </c>
      <c r="I879" s="141" t="e">
        <f t="shared" si="68"/>
        <v>#REF!</v>
      </c>
      <c r="J879" t="e">
        <f t="shared" si="69"/>
        <v>#REF!</v>
      </c>
      <c r="K879" s="141" t="e">
        <f t="shared" si="70"/>
        <v>#REF!</v>
      </c>
    </row>
    <row r="880" spans="1:11" hidden="1" x14ac:dyDescent="0.25">
      <c r="A880" t="e">
        <f>#REF!</f>
        <v>#REF!</v>
      </c>
      <c r="B880" t="e">
        <f>#REF!</f>
        <v>#REF!</v>
      </c>
      <c r="C880" t="e">
        <f>#REF!</f>
        <v>#REF!</v>
      </c>
      <c r="D880" t="e">
        <f>#REF!</f>
        <v>#REF!</v>
      </c>
      <c r="E880" t="e">
        <f>#REF!</f>
        <v>#REF!</v>
      </c>
      <c r="G880" t="e">
        <f t="shared" si="66"/>
        <v>#REF!</v>
      </c>
      <c r="H880" t="e">
        <f t="shared" si="67"/>
        <v>#REF!</v>
      </c>
      <c r="I880" s="141" t="e">
        <f t="shared" si="68"/>
        <v>#REF!</v>
      </c>
      <c r="J880" t="e">
        <f t="shared" si="69"/>
        <v>#REF!</v>
      </c>
      <c r="K880" s="141" t="e">
        <f t="shared" si="70"/>
        <v>#REF!</v>
      </c>
    </row>
    <row r="881" spans="1:11" hidden="1" x14ac:dyDescent="0.25">
      <c r="A881" t="e">
        <f>#REF!</f>
        <v>#REF!</v>
      </c>
      <c r="B881" t="e">
        <f>#REF!</f>
        <v>#REF!</v>
      </c>
      <c r="C881" t="e">
        <f>#REF!</f>
        <v>#REF!</v>
      </c>
      <c r="D881" t="e">
        <f>#REF!</f>
        <v>#REF!</v>
      </c>
      <c r="E881" t="e">
        <f>#REF!</f>
        <v>#REF!</v>
      </c>
      <c r="G881" t="e">
        <f t="shared" si="66"/>
        <v>#REF!</v>
      </c>
      <c r="H881" t="e">
        <f t="shared" si="67"/>
        <v>#REF!</v>
      </c>
      <c r="I881" s="141" t="e">
        <f t="shared" si="68"/>
        <v>#REF!</v>
      </c>
      <c r="J881" t="e">
        <f t="shared" si="69"/>
        <v>#REF!</v>
      </c>
      <c r="K881" s="141" t="e">
        <f t="shared" si="70"/>
        <v>#REF!</v>
      </c>
    </row>
    <row r="882" spans="1:11" hidden="1" x14ac:dyDescent="0.25">
      <c r="A882" t="e">
        <f>#REF!</f>
        <v>#REF!</v>
      </c>
      <c r="B882" t="e">
        <f>#REF!</f>
        <v>#REF!</v>
      </c>
      <c r="C882" t="e">
        <f>#REF!</f>
        <v>#REF!</v>
      </c>
      <c r="D882" t="e">
        <f>#REF!</f>
        <v>#REF!</v>
      </c>
      <c r="E882" t="e">
        <f>#REF!</f>
        <v>#REF!</v>
      </c>
      <c r="G882" t="e">
        <f t="shared" si="66"/>
        <v>#REF!</v>
      </c>
      <c r="H882" t="e">
        <f t="shared" si="67"/>
        <v>#REF!</v>
      </c>
      <c r="I882" s="141" t="e">
        <f t="shared" si="68"/>
        <v>#REF!</v>
      </c>
      <c r="J882" t="e">
        <f t="shared" si="69"/>
        <v>#REF!</v>
      </c>
      <c r="K882" s="141" t="e">
        <f t="shared" si="70"/>
        <v>#REF!</v>
      </c>
    </row>
    <row r="883" spans="1:11" hidden="1" x14ac:dyDescent="0.25">
      <c r="A883" t="e">
        <f>#REF!</f>
        <v>#REF!</v>
      </c>
      <c r="B883" t="e">
        <f>#REF!</f>
        <v>#REF!</v>
      </c>
      <c r="C883" t="e">
        <f>#REF!</f>
        <v>#REF!</v>
      </c>
      <c r="D883" t="e">
        <f>#REF!</f>
        <v>#REF!</v>
      </c>
      <c r="E883" t="e">
        <f>#REF!</f>
        <v>#REF!</v>
      </c>
      <c r="G883" t="e">
        <f t="shared" si="66"/>
        <v>#REF!</v>
      </c>
      <c r="H883" t="e">
        <f t="shared" si="67"/>
        <v>#REF!</v>
      </c>
      <c r="I883" s="141" t="e">
        <f t="shared" si="68"/>
        <v>#REF!</v>
      </c>
      <c r="J883" t="e">
        <f t="shared" si="69"/>
        <v>#REF!</v>
      </c>
      <c r="K883" s="141" t="e">
        <f t="shared" si="70"/>
        <v>#REF!</v>
      </c>
    </row>
    <row r="884" spans="1:11" hidden="1" x14ac:dyDescent="0.25">
      <c r="A884" t="e">
        <f>#REF!</f>
        <v>#REF!</v>
      </c>
      <c r="B884" t="e">
        <f>#REF!</f>
        <v>#REF!</v>
      </c>
      <c r="C884" t="e">
        <f>#REF!</f>
        <v>#REF!</v>
      </c>
      <c r="D884" t="e">
        <f>#REF!</f>
        <v>#REF!</v>
      </c>
      <c r="E884" t="e">
        <f>#REF!</f>
        <v>#REF!</v>
      </c>
      <c r="G884" t="e">
        <f t="shared" si="66"/>
        <v>#REF!</v>
      </c>
      <c r="H884" t="e">
        <f t="shared" si="67"/>
        <v>#REF!</v>
      </c>
      <c r="I884" s="141" t="e">
        <f t="shared" si="68"/>
        <v>#REF!</v>
      </c>
      <c r="J884" t="e">
        <f t="shared" si="69"/>
        <v>#REF!</v>
      </c>
      <c r="K884" s="141" t="e">
        <f t="shared" si="70"/>
        <v>#REF!</v>
      </c>
    </row>
    <row r="885" spans="1:11" hidden="1" x14ac:dyDescent="0.25">
      <c r="A885" t="e">
        <f>#REF!</f>
        <v>#REF!</v>
      </c>
      <c r="B885" t="e">
        <f>#REF!</f>
        <v>#REF!</v>
      </c>
      <c r="C885" t="e">
        <f>#REF!</f>
        <v>#REF!</v>
      </c>
      <c r="D885" t="e">
        <f>#REF!</f>
        <v>#REF!</v>
      </c>
      <c r="E885" t="e">
        <f>#REF!</f>
        <v>#REF!</v>
      </c>
      <c r="G885" t="e">
        <f t="shared" si="66"/>
        <v>#REF!</v>
      </c>
      <c r="H885" t="e">
        <f t="shared" si="67"/>
        <v>#REF!</v>
      </c>
      <c r="I885" s="141" t="e">
        <f t="shared" si="68"/>
        <v>#REF!</v>
      </c>
      <c r="J885" t="e">
        <f t="shared" si="69"/>
        <v>#REF!</v>
      </c>
      <c r="K885" s="141" t="e">
        <f t="shared" si="70"/>
        <v>#REF!</v>
      </c>
    </row>
    <row r="886" spans="1:11" hidden="1" x14ac:dyDescent="0.25">
      <c r="A886" t="e">
        <f>#REF!</f>
        <v>#REF!</v>
      </c>
      <c r="B886" t="e">
        <f>#REF!</f>
        <v>#REF!</v>
      </c>
      <c r="C886" t="e">
        <f>#REF!</f>
        <v>#REF!</v>
      </c>
      <c r="D886" t="e">
        <f>#REF!</f>
        <v>#REF!</v>
      </c>
      <c r="E886" t="e">
        <f>#REF!</f>
        <v>#REF!</v>
      </c>
      <c r="G886" t="e">
        <f t="shared" si="66"/>
        <v>#REF!</v>
      </c>
      <c r="H886" t="e">
        <f t="shared" si="67"/>
        <v>#REF!</v>
      </c>
      <c r="I886" s="141" t="e">
        <f t="shared" si="68"/>
        <v>#REF!</v>
      </c>
      <c r="J886" t="e">
        <f t="shared" si="69"/>
        <v>#REF!</v>
      </c>
      <c r="K886" s="141" t="e">
        <f t="shared" si="70"/>
        <v>#REF!</v>
      </c>
    </row>
    <row r="887" spans="1:11" hidden="1" x14ac:dyDescent="0.25">
      <c r="A887" t="e">
        <f>#REF!</f>
        <v>#REF!</v>
      </c>
      <c r="B887" t="e">
        <f>#REF!</f>
        <v>#REF!</v>
      </c>
      <c r="C887" t="e">
        <f>#REF!</f>
        <v>#REF!</v>
      </c>
      <c r="D887" t="e">
        <f>#REF!</f>
        <v>#REF!</v>
      </c>
      <c r="E887" t="e">
        <f>#REF!</f>
        <v>#REF!</v>
      </c>
      <c r="G887" t="e">
        <f t="shared" si="66"/>
        <v>#REF!</v>
      </c>
      <c r="H887" t="e">
        <f t="shared" si="67"/>
        <v>#REF!</v>
      </c>
      <c r="I887" s="141" t="e">
        <f t="shared" si="68"/>
        <v>#REF!</v>
      </c>
      <c r="J887" t="e">
        <f t="shared" si="69"/>
        <v>#REF!</v>
      </c>
      <c r="K887" s="141" t="e">
        <f t="shared" si="70"/>
        <v>#REF!</v>
      </c>
    </row>
    <row r="888" spans="1:11" hidden="1" x14ac:dyDescent="0.25">
      <c r="A888" t="e">
        <f>#REF!</f>
        <v>#REF!</v>
      </c>
      <c r="B888" t="e">
        <f>#REF!</f>
        <v>#REF!</v>
      </c>
      <c r="C888" t="e">
        <f>#REF!</f>
        <v>#REF!</v>
      </c>
      <c r="D888" t="e">
        <f>#REF!</f>
        <v>#REF!</v>
      </c>
      <c r="E888" t="e">
        <f>#REF!</f>
        <v>#REF!</v>
      </c>
      <c r="G888" t="e">
        <f t="shared" si="66"/>
        <v>#REF!</v>
      </c>
      <c r="H888" t="e">
        <f t="shared" si="67"/>
        <v>#REF!</v>
      </c>
      <c r="I888" s="141" t="e">
        <f t="shared" si="68"/>
        <v>#REF!</v>
      </c>
      <c r="J888" t="e">
        <f t="shared" si="69"/>
        <v>#REF!</v>
      </c>
      <c r="K888" s="141" t="e">
        <f t="shared" si="70"/>
        <v>#REF!</v>
      </c>
    </row>
    <row r="889" spans="1:11" hidden="1" x14ac:dyDescent="0.25">
      <c r="A889" t="e">
        <f>#REF!</f>
        <v>#REF!</v>
      </c>
      <c r="B889" t="e">
        <f>#REF!</f>
        <v>#REF!</v>
      </c>
      <c r="C889" t="e">
        <f>#REF!</f>
        <v>#REF!</v>
      </c>
      <c r="D889" t="e">
        <f>#REF!</f>
        <v>#REF!</v>
      </c>
      <c r="E889" t="e">
        <f>#REF!</f>
        <v>#REF!</v>
      </c>
      <c r="G889" t="e">
        <f t="shared" si="66"/>
        <v>#REF!</v>
      </c>
      <c r="H889" t="e">
        <f t="shared" si="67"/>
        <v>#REF!</v>
      </c>
      <c r="I889" s="141" t="e">
        <f t="shared" si="68"/>
        <v>#REF!</v>
      </c>
      <c r="J889" t="e">
        <f t="shared" si="69"/>
        <v>#REF!</v>
      </c>
      <c r="K889" s="141" t="e">
        <f t="shared" si="70"/>
        <v>#REF!</v>
      </c>
    </row>
    <row r="890" spans="1:11" hidden="1" x14ac:dyDescent="0.25">
      <c r="A890" t="e">
        <f>#REF!</f>
        <v>#REF!</v>
      </c>
      <c r="B890" t="e">
        <f>#REF!</f>
        <v>#REF!</v>
      </c>
      <c r="C890" t="e">
        <f>#REF!</f>
        <v>#REF!</v>
      </c>
      <c r="D890" t="e">
        <f>#REF!</f>
        <v>#REF!</v>
      </c>
      <c r="E890" t="e">
        <f>#REF!</f>
        <v>#REF!</v>
      </c>
      <c r="G890" t="e">
        <f t="shared" si="66"/>
        <v>#REF!</v>
      </c>
      <c r="H890" t="e">
        <f t="shared" si="67"/>
        <v>#REF!</v>
      </c>
      <c r="I890" s="141" t="e">
        <f t="shared" si="68"/>
        <v>#REF!</v>
      </c>
      <c r="J890" t="e">
        <f t="shared" si="69"/>
        <v>#REF!</v>
      </c>
      <c r="K890" s="141" t="e">
        <f t="shared" si="70"/>
        <v>#REF!</v>
      </c>
    </row>
    <row r="891" spans="1:11" hidden="1" x14ac:dyDescent="0.25">
      <c r="A891" t="e">
        <f>#REF!</f>
        <v>#REF!</v>
      </c>
      <c r="B891" t="e">
        <f>#REF!</f>
        <v>#REF!</v>
      </c>
      <c r="C891" t="e">
        <f>#REF!</f>
        <v>#REF!</v>
      </c>
      <c r="D891" t="e">
        <f>#REF!</f>
        <v>#REF!</v>
      </c>
      <c r="E891" t="e">
        <f>#REF!</f>
        <v>#REF!</v>
      </c>
      <c r="G891" t="e">
        <f t="shared" si="66"/>
        <v>#REF!</v>
      </c>
      <c r="H891" t="e">
        <f t="shared" si="67"/>
        <v>#REF!</v>
      </c>
      <c r="I891" s="141" t="e">
        <f t="shared" si="68"/>
        <v>#REF!</v>
      </c>
      <c r="J891" t="e">
        <f t="shared" si="69"/>
        <v>#REF!</v>
      </c>
      <c r="K891" s="141" t="e">
        <f t="shared" si="70"/>
        <v>#REF!</v>
      </c>
    </row>
    <row r="892" spans="1:11" hidden="1" x14ac:dyDescent="0.25">
      <c r="A892" t="e">
        <f>#REF!</f>
        <v>#REF!</v>
      </c>
      <c r="B892" t="e">
        <f>#REF!</f>
        <v>#REF!</v>
      </c>
      <c r="C892" t="e">
        <f>#REF!</f>
        <v>#REF!</v>
      </c>
      <c r="D892" t="e">
        <f>#REF!</f>
        <v>#REF!</v>
      </c>
      <c r="E892" t="e">
        <f>#REF!</f>
        <v>#REF!</v>
      </c>
      <c r="G892" t="e">
        <f t="shared" si="66"/>
        <v>#REF!</v>
      </c>
      <c r="H892" t="e">
        <f t="shared" si="67"/>
        <v>#REF!</v>
      </c>
      <c r="I892" s="141" t="e">
        <f t="shared" si="68"/>
        <v>#REF!</v>
      </c>
      <c r="J892" t="e">
        <f t="shared" si="69"/>
        <v>#REF!</v>
      </c>
      <c r="K892" s="141" t="e">
        <f t="shared" si="70"/>
        <v>#REF!</v>
      </c>
    </row>
    <row r="893" spans="1:11" hidden="1" x14ac:dyDescent="0.25">
      <c r="A893" t="e">
        <f>#REF!</f>
        <v>#REF!</v>
      </c>
      <c r="B893" t="e">
        <f>#REF!</f>
        <v>#REF!</v>
      </c>
      <c r="C893" t="e">
        <f>#REF!</f>
        <v>#REF!</v>
      </c>
      <c r="D893" t="e">
        <f>#REF!</f>
        <v>#REF!</v>
      </c>
      <c r="E893" t="e">
        <f>#REF!</f>
        <v>#REF!</v>
      </c>
      <c r="G893" t="e">
        <f t="shared" si="66"/>
        <v>#REF!</v>
      </c>
      <c r="H893" t="e">
        <f t="shared" si="67"/>
        <v>#REF!</v>
      </c>
      <c r="I893" s="141" t="e">
        <f t="shared" si="68"/>
        <v>#REF!</v>
      </c>
      <c r="J893" t="e">
        <f t="shared" si="69"/>
        <v>#REF!</v>
      </c>
      <c r="K893" s="141" t="e">
        <f t="shared" si="70"/>
        <v>#REF!</v>
      </c>
    </row>
    <row r="894" spans="1:11" hidden="1" x14ac:dyDescent="0.25">
      <c r="A894" t="e">
        <f>#REF!</f>
        <v>#REF!</v>
      </c>
      <c r="B894" t="e">
        <f>#REF!</f>
        <v>#REF!</v>
      </c>
      <c r="C894" t="e">
        <f>#REF!</f>
        <v>#REF!</v>
      </c>
      <c r="D894" t="e">
        <f>#REF!</f>
        <v>#REF!</v>
      </c>
      <c r="E894" t="e">
        <f>#REF!</f>
        <v>#REF!</v>
      </c>
      <c r="G894" t="e">
        <f t="shared" si="66"/>
        <v>#REF!</v>
      </c>
      <c r="H894" t="e">
        <f t="shared" si="67"/>
        <v>#REF!</v>
      </c>
      <c r="I894" s="141" t="e">
        <f t="shared" si="68"/>
        <v>#REF!</v>
      </c>
      <c r="J894" t="e">
        <f t="shared" si="69"/>
        <v>#REF!</v>
      </c>
      <c r="K894" s="141" t="e">
        <f t="shared" si="70"/>
        <v>#REF!</v>
      </c>
    </row>
    <row r="895" spans="1:11" hidden="1" x14ac:dyDescent="0.25">
      <c r="A895" t="e">
        <f>#REF!</f>
        <v>#REF!</v>
      </c>
      <c r="B895" t="e">
        <f>#REF!</f>
        <v>#REF!</v>
      </c>
      <c r="C895" t="e">
        <f>#REF!</f>
        <v>#REF!</v>
      </c>
      <c r="D895" t="e">
        <f>#REF!</f>
        <v>#REF!</v>
      </c>
      <c r="E895" t="e">
        <f>#REF!</f>
        <v>#REF!</v>
      </c>
      <c r="G895" t="e">
        <f t="shared" si="66"/>
        <v>#REF!</v>
      </c>
      <c r="H895" t="e">
        <f t="shared" si="67"/>
        <v>#REF!</v>
      </c>
      <c r="I895" s="141" t="e">
        <f t="shared" si="68"/>
        <v>#REF!</v>
      </c>
      <c r="J895" t="e">
        <f t="shared" si="69"/>
        <v>#REF!</v>
      </c>
      <c r="K895" s="141" t="e">
        <f t="shared" si="70"/>
        <v>#REF!</v>
      </c>
    </row>
    <row r="896" spans="1:11" hidden="1" x14ac:dyDescent="0.25">
      <c r="A896" t="e">
        <f>#REF!</f>
        <v>#REF!</v>
      </c>
      <c r="B896" t="e">
        <f>#REF!</f>
        <v>#REF!</v>
      </c>
      <c r="C896" t="e">
        <f>#REF!</f>
        <v>#REF!</v>
      </c>
      <c r="D896" t="e">
        <f>#REF!</f>
        <v>#REF!</v>
      </c>
      <c r="E896" t="e">
        <f>#REF!</f>
        <v>#REF!</v>
      </c>
      <c r="G896" t="e">
        <f t="shared" si="66"/>
        <v>#REF!</v>
      </c>
      <c r="H896" t="e">
        <f t="shared" si="67"/>
        <v>#REF!</v>
      </c>
      <c r="I896" s="141" t="e">
        <f t="shared" si="68"/>
        <v>#REF!</v>
      </c>
      <c r="J896" t="e">
        <f t="shared" si="69"/>
        <v>#REF!</v>
      </c>
      <c r="K896" s="141" t="e">
        <f t="shared" si="70"/>
        <v>#REF!</v>
      </c>
    </row>
    <row r="897" spans="1:11" hidden="1" x14ac:dyDescent="0.25">
      <c r="A897" t="e">
        <f>#REF!</f>
        <v>#REF!</v>
      </c>
      <c r="B897" t="e">
        <f>#REF!</f>
        <v>#REF!</v>
      </c>
      <c r="C897" t="e">
        <f>#REF!</f>
        <v>#REF!</v>
      </c>
      <c r="D897" t="e">
        <f>#REF!</f>
        <v>#REF!</v>
      </c>
      <c r="E897" t="e">
        <f>#REF!</f>
        <v>#REF!</v>
      </c>
      <c r="G897" t="e">
        <f t="shared" si="66"/>
        <v>#REF!</v>
      </c>
      <c r="H897" t="e">
        <f t="shared" si="67"/>
        <v>#REF!</v>
      </c>
      <c r="I897" s="141" t="e">
        <f t="shared" si="68"/>
        <v>#REF!</v>
      </c>
      <c r="J897" t="e">
        <f t="shared" si="69"/>
        <v>#REF!</v>
      </c>
      <c r="K897" s="141" t="e">
        <f t="shared" si="70"/>
        <v>#REF!</v>
      </c>
    </row>
    <row r="898" spans="1:11" hidden="1" x14ac:dyDescent="0.25">
      <c r="A898" t="e">
        <f>#REF!</f>
        <v>#REF!</v>
      </c>
      <c r="B898" t="e">
        <f>#REF!</f>
        <v>#REF!</v>
      </c>
      <c r="C898" t="e">
        <f>#REF!</f>
        <v>#REF!</v>
      </c>
      <c r="D898" t="e">
        <f>#REF!</f>
        <v>#REF!</v>
      </c>
      <c r="E898" t="e">
        <f>#REF!</f>
        <v>#REF!</v>
      </c>
      <c r="G898" t="e">
        <f t="shared" ref="G898:G961" si="71">A898</f>
        <v>#REF!</v>
      </c>
      <c r="H898" t="e">
        <f t="shared" ref="H898:H961" si="72">B898</f>
        <v>#REF!</v>
      </c>
      <c r="I898" s="141" t="e">
        <f t="shared" ref="I898:I961" si="73">C898</f>
        <v>#REF!</v>
      </c>
      <c r="J898" t="e">
        <f t="shared" ref="J898:J961" si="74">D898</f>
        <v>#REF!</v>
      </c>
      <c r="K898" s="141" t="e">
        <f t="shared" ref="K898:K961" si="75">E898</f>
        <v>#REF!</v>
      </c>
    </row>
    <row r="899" spans="1:11" hidden="1" x14ac:dyDescent="0.25">
      <c r="A899" t="e">
        <f>#REF!</f>
        <v>#REF!</v>
      </c>
      <c r="B899" t="e">
        <f>#REF!</f>
        <v>#REF!</v>
      </c>
      <c r="C899" t="e">
        <f>#REF!</f>
        <v>#REF!</v>
      </c>
      <c r="D899" t="e">
        <f>#REF!</f>
        <v>#REF!</v>
      </c>
      <c r="E899" t="e">
        <f>#REF!</f>
        <v>#REF!</v>
      </c>
      <c r="G899" t="e">
        <f t="shared" si="71"/>
        <v>#REF!</v>
      </c>
      <c r="H899" t="e">
        <f t="shared" si="72"/>
        <v>#REF!</v>
      </c>
      <c r="I899" s="141" t="e">
        <f t="shared" si="73"/>
        <v>#REF!</v>
      </c>
      <c r="J899" t="e">
        <f t="shared" si="74"/>
        <v>#REF!</v>
      </c>
      <c r="K899" s="141" t="e">
        <f t="shared" si="75"/>
        <v>#REF!</v>
      </c>
    </row>
    <row r="900" spans="1:11" hidden="1" x14ac:dyDescent="0.25">
      <c r="A900" t="e">
        <f>#REF!</f>
        <v>#REF!</v>
      </c>
      <c r="B900" t="e">
        <f>#REF!</f>
        <v>#REF!</v>
      </c>
      <c r="C900" t="e">
        <f>#REF!</f>
        <v>#REF!</v>
      </c>
      <c r="D900" t="e">
        <f>#REF!</f>
        <v>#REF!</v>
      </c>
      <c r="E900" t="e">
        <f>#REF!</f>
        <v>#REF!</v>
      </c>
      <c r="G900" t="e">
        <f t="shared" si="71"/>
        <v>#REF!</v>
      </c>
      <c r="H900" t="e">
        <f t="shared" si="72"/>
        <v>#REF!</v>
      </c>
      <c r="I900" s="141" t="e">
        <f t="shared" si="73"/>
        <v>#REF!</v>
      </c>
      <c r="J900" t="e">
        <f t="shared" si="74"/>
        <v>#REF!</v>
      </c>
      <c r="K900" s="141" t="e">
        <f t="shared" si="75"/>
        <v>#REF!</v>
      </c>
    </row>
    <row r="901" spans="1:11" hidden="1" x14ac:dyDescent="0.25">
      <c r="A901" t="e">
        <f>#REF!</f>
        <v>#REF!</v>
      </c>
      <c r="B901" t="e">
        <f>#REF!</f>
        <v>#REF!</v>
      </c>
      <c r="C901" t="e">
        <f>#REF!</f>
        <v>#REF!</v>
      </c>
      <c r="D901" t="e">
        <f>#REF!</f>
        <v>#REF!</v>
      </c>
      <c r="E901" t="e">
        <f>#REF!</f>
        <v>#REF!</v>
      </c>
      <c r="G901" t="e">
        <f t="shared" si="71"/>
        <v>#REF!</v>
      </c>
      <c r="H901" t="e">
        <f t="shared" si="72"/>
        <v>#REF!</v>
      </c>
      <c r="I901" s="141" t="e">
        <f t="shared" si="73"/>
        <v>#REF!</v>
      </c>
      <c r="J901" t="e">
        <f t="shared" si="74"/>
        <v>#REF!</v>
      </c>
      <c r="K901" s="141" t="e">
        <f t="shared" si="75"/>
        <v>#REF!</v>
      </c>
    </row>
    <row r="902" spans="1:11" hidden="1" x14ac:dyDescent="0.25">
      <c r="A902" t="e">
        <f>#REF!</f>
        <v>#REF!</v>
      </c>
      <c r="B902" t="e">
        <f>#REF!</f>
        <v>#REF!</v>
      </c>
      <c r="C902" t="e">
        <f>#REF!</f>
        <v>#REF!</v>
      </c>
      <c r="D902" t="e">
        <f>#REF!</f>
        <v>#REF!</v>
      </c>
      <c r="E902" t="e">
        <f>#REF!</f>
        <v>#REF!</v>
      </c>
      <c r="G902" t="e">
        <f t="shared" si="71"/>
        <v>#REF!</v>
      </c>
      <c r="H902" t="e">
        <f t="shared" si="72"/>
        <v>#REF!</v>
      </c>
      <c r="I902" s="141" t="e">
        <f t="shared" si="73"/>
        <v>#REF!</v>
      </c>
      <c r="J902" t="e">
        <f t="shared" si="74"/>
        <v>#REF!</v>
      </c>
      <c r="K902" s="141" t="e">
        <f t="shared" si="75"/>
        <v>#REF!</v>
      </c>
    </row>
    <row r="903" spans="1:11" hidden="1" x14ac:dyDescent="0.25">
      <c r="A903" t="e">
        <f>#REF!</f>
        <v>#REF!</v>
      </c>
      <c r="B903" t="e">
        <f>#REF!</f>
        <v>#REF!</v>
      </c>
      <c r="C903" t="e">
        <f>#REF!</f>
        <v>#REF!</v>
      </c>
      <c r="D903" t="e">
        <f>#REF!</f>
        <v>#REF!</v>
      </c>
      <c r="E903" t="e">
        <f>#REF!</f>
        <v>#REF!</v>
      </c>
      <c r="G903" t="e">
        <f t="shared" si="71"/>
        <v>#REF!</v>
      </c>
      <c r="H903" t="e">
        <f t="shared" si="72"/>
        <v>#REF!</v>
      </c>
      <c r="I903" s="141" t="e">
        <f t="shared" si="73"/>
        <v>#REF!</v>
      </c>
      <c r="J903" t="e">
        <f t="shared" si="74"/>
        <v>#REF!</v>
      </c>
      <c r="K903" s="141" t="e">
        <f t="shared" si="75"/>
        <v>#REF!</v>
      </c>
    </row>
    <row r="904" spans="1:11" hidden="1" x14ac:dyDescent="0.25">
      <c r="A904" t="e">
        <f>#REF!</f>
        <v>#REF!</v>
      </c>
      <c r="B904" t="e">
        <f>#REF!</f>
        <v>#REF!</v>
      </c>
      <c r="C904" t="e">
        <f>#REF!</f>
        <v>#REF!</v>
      </c>
      <c r="D904" t="e">
        <f>#REF!</f>
        <v>#REF!</v>
      </c>
      <c r="E904" t="e">
        <f>#REF!</f>
        <v>#REF!</v>
      </c>
      <c r="G904" t="e">
        <f t="shared" si="71"/>
        <v>#REF!</v>
      </c>
      <c r="H904" t="e">
        <f t="shared" si="72"/>
        <v>#REF!</v>
      </c>
      <c r="I904" s="141" t="e">
        <f t="shared" si="73"/>
        <v>#REF!</v>
      </c>
      <c r="J904" t="e">
        <f t="shared" si="74"/>
        <v>#REF!</v>
      </c>
      <c r="K904" s="141" t="e">
        <f t="shared" si="75"/>
        <v>#REF!</v>
      </c>
    </row>
    <row r="905" spans="1:11" hidden="1" x14ac:dyDescent="0.25">
      <c r="A905" t="e">
        <f>#REF!</f>
        <v>#REF!</v>
      </c>
      <c r="B905" t="e">
        <f>#REF!</f>
        <v>#REF!</v>
      </c>
      <c r="C905" t="e">
        <f>#REF!</f>
        <v>#REF!</v>
      </c>
      <c r="D905" t="e">
        <f>#REF!</f>
        <v>#REF!</v>
      </c>
      <c r="E905" t="e">
        <f>#REF!</f>
        <v>#REF!</v>
      </c>
      <c r="G905" t="e">
        <f t="shared" si="71"/>
        <v>#REF!</v>
      </c>
      <c r="H905" t="e">
        <f t="shared" si="72"/>
        <v>#REF!</v>
      </c>
      <c r="I905" s="141" t="e">
        <f t="shared" si="73"/>
        <v>#REF!</v>
      </c>
      <c r="J905" t="e">
        <f t="shared" si="74"/>
        <v>#REF!</v>
      </c>
      <c r="K905" s="141" t="e">
        <f t="shared" si="75"/>
        <v>#REF!</v>
      </c>
    </row>
    <row r="906" spans="1:11" hidden="1" x14ac:dyDescent="0.25">
      <c r="A906" t="e">
        <f>#REF!</f>
        <v>#REF!</v>
      </c>
      <c r="B906" t="e">
        <f>#REF!</f>
        <v>#REF!</v>
      </c>
      <c r="C906" t="e">
        <f>#REF!</f>
        <v>#REF!</v>
      </c>
      <c r="D906" t="e">
        <f>#REF!</f>
        <v>#REF!</v>
      </c>
      <c r="E906" t="e">
        <f>#REF!</f>
        <v>#REF!</v>
      </c>
      <c r="G906" t="e">
        <f t="shared" si="71"/>
        <v>#REF!</v>
      </c>
      <c r="H906" t="e">
        <f t="shared" si="72"/>
        <v>#REF!</v>
      </c>
      <c r="I906" s="141" t="e">
        <f t="shared" si="73"/>
        <v>#REF!</v>
      </c>
      <c r="J906" t="e">
        <f t="shared" si="74"/>
        <v>#REF!</v>
      </c>
      <c r="K906" s="141" t="e">
        <f t="shared" si="75"/>
        <v>#REF!</v>
      </c>
    </row>
    <row r="907" spans="1:11" hidden="1" x14ac:dyDescent="0.25">
      <c r="A907" t="e">
        <f>#REF!</f>
        <v>#REF!</v>
      </c>
      <c r="B907" t="e">
        <f>#REF!</f>
        <v>#REF!</v>
      </c>
      <c r="C907" t="e">
        <f>#REF!</f>
        <v>#REF!</v>
      </c>
      <c r="D907" t="e">
        <f>#REF!</f>
        <v>#REF!</v>
      </c>
      <c r="E907" t="e">
        <f>#REF!</f>
        <v>#REF!</v>
      </c>
      <c r="G907" t="e">
        <f t="shared" si="71"/>
        <v>#REF!</v>
      </c>
      <c r="H907" t="e">
        <f t="shared" si="72"/>
        <v>#REF!</v>
      </c>
      <c r="I907" s="141" t="e">
        <f t="shared" si="73"/>
        <v>#REF!</v>
      </c>
      <c r="J907" t="e">
        <f t="shared" si="74"/>
        <v>#REF!</v>
      </c>
      <c r="K907" s="141" t="e">
        <f t="shared" si="75"/>
        <v>#REF!</v>
      </c>
    </row>
    <row r="908" spans="1:11" hidden="1" x14ac:dyDescent="0.25">
      <c r="A908" t="e">
        <f>#REF!</f>
        <v>#REF!</v>
      </c>
      <c r="B908" t="e">
        <f>#REF!</f>
        <v>#REF!</v>
      </c>
      <c r="C908" t="e">
        <f>#REF!</f>
        <v>#REF!</v>
      </c>
      <c r="D908" t="e">
        <f>#REF!</f>
        <v>#REF!</v>
      </c>
      <c r="E908" t="e">
        <f>#REF!</f>
        <v>#REF!</v>
      </c>
      <c r="G908" t="e">
        <f t="shared" si="71"/>
        <v>#REF!</v>
      </c>
      <c r="H908" t="e">
        <f t="shared" si="72"/>
        <v>#REF!</v>
      </c>
      <c r="I908" s="141" t="e">
        <f t="shared" si="73"/>
        <v>#REF!</v>
      </c>
      <c r="J908" t="e">
        <f t="shared" si="74"/>
        <v>#REF!</v>
      </c>
      <c r="K908" s="141" t="e">
        <f t="shared" si="75"/>
        <v>#REF!</v>
      </c>
    </row>
    <row r="909" spans="1:11" hidden="1" x14ac:dyDescent="0.25">
      <c r="A909" t="e">
        <f>#REF!</f>
        <v>#REF!</v>
      </c>
      <c r="B909" t="e">
        <f>#REF!</f>
        <v>#REF!</v>
      </c>
      <c r="C909" t="e">
        <f>#REF!</f>
        <v>#REF!</v>
      </c>
      <c r="D909" t="e">
        <f>#REF!</f>
        <v>#REF!</v>
      </c>
      <c r="E909" t="e">
        <f>#REF!</f>
        <v>#REF!</v>
      </c>
      <c r="G909" t="e">
        <f t="shared" si="71"/>
        <v>#REF!</v>
      </c>
      <c r="H909" t="e">
        <f t="shared" si="72"/>
        <v>#REF!</v>
      </c>
      <c r="I909" s="141" t="e">
        <f t="shared" si="73"/>
        <v>#REF!</v>
      </c>
      <c r="J909" t="e">
        <f t="shared" si="74"/>
        <v>#REF!</v>
      </c>
      <c r="K909" s="141" t="e">
        <f t="shared" si="75"/>
        <v>#REF!</v>
      </c>
    </row>
    <row r="910" spans="1:11" hidden="1" x14ac:dyDescent="0.25">
      <c r="A910" t="e">
        <f>#REF!</f>
        <v>#REF!</v>
      </c>
      <c r="B910" t="e">
        <f>#REF!</f>
        <v>#REF!</v>
      </c>
      <c r="C910" t="e">
        <f>#REF!</f>
        <v>#REF!</v>
      </c>
      <c r="D910" t="e">
        <f>#REF!</f>
        <v>#REF!</v>
      </c>
      <c r="E910" t="e">
        <f>#REF!</f>
        <v>#REF!</v>
      </c>
      <c r="G910" t="e">
        <f t="shared" si="71"/>
        <v>#REF!</v>
      </c>
      <c r="H910" t="e">
        <f t="shared" si="72"/>
        <v>#REF!</v>
      </c>
      <c r="I910" s="141" t="e">
        <f t="shared" si="73"/>
        <v>#REF!</v>
      </c>
      <c r="J910" t="e">
        <f t="shared" si="74"/>
        <v>#REF!</v>
      </c>
      <c r="K910" s="141" t="e">
        <f t="shared" si="75"/>
        <v>#REF!</v>
      </c>
    </row>
    <row r="911" spans="1:11" hidden="1" x14ac:dyDescent="0.25">
      <c r="A911" t="e">
        <f>#REF!</f>
        <v>#REF!</v>
      </c>
      <c r="B911" t="e">
        <f>#REF!</f>
        <v>#REF!</v>
      </c>
      <c r="C911" t="e">
        <f>#REF!</f>
        <v>#REF!</v>
      </c>
      <c r="D911" t="e">
        <f>#REF!</f>
        <v>#REF!</v>
      </c>
      <c r="E911" t="e">
        <f>#REF!</f>
        <v>#REF!</v>
      </c>
      <c r="G911" t="e">
        <f t="shared" si="71"/>
        <v>#REF!</v>
      </c>
      <c r="H911" t="e">
        <f t="shared" si="72"/>
        <v>#REF!</v>
      </c>
      <c r="I911" s="141" t="e">
        <f t="shared" si="73"/>
        <v>#REF!</v>
      </c>
      <c r="J911" t="e">
        <f t="shared" si="74"/>
        <v>#REF!</v>
      </c>
      <c r="K911" s="141" t="e">
        <f t="shared" si="75"/>
        <v>#REF!</v>
      </c>
    </row>
    <row r="912" spans="1:11" hidden="1" x14ac:dyDescent="0.25">
      <c r="A912" t="e">
        <f>#REF!</f>
        <v>#REF!</v>
      </c>
      <c r="B912" t="e">
        <f>#REF!</f>
        <v>#REF!</v>
      </c>
      <c r="C912" t="e">
        <f>#REF!</f>
        <v>#REF!</v>
      </c>
      <c r="D912" t="e">
        <f>#REF!</f>
        <v>#REF!</v>
      </c>
      <c r="E912" t="e">
        <f>#REF!</f>
        <v>#REF!</v>
      </c>
      <c r="G912" t="e">
        <f t="shared" si="71"/>
        <v>#REF!</v>
      </c>
      <c r="H912" t="e">
        <f t="shared" si="72"/>
        <v>#REF!</v>
      </c>
      <c r="I912" s="141" t="e">
        <f t="shared" si="73"/>
        <v>#REF!</v>
      </c>
      <c r="J912" t="e">
        <f t="shared" si="74"/>
        <v>#REF!</v>
      </c>
      <c r="K912" s="141" t="e">
        <f t="shared" si="75"/>
        <v>#REF!</v>
      </c>
    </row>
    <row r="913" spans="1:11" hidden="1" x14ac:dyDescent="0.25">
      <c r="A913" t="e">
        <f>#REF!</f>
        <v>#REF!</v>
      </c>
      <c r="B913" t="e">
        <f>#REF!</f>
        <v>#REF!</v>
      </c>
      <c r="C913" t="e">
        <f>#REF!</f>
        <v>#REF!</v>
      </c>
      <c r="D913" t="e">
        <f>#REF!</f>
        <v>#REF!</v>
      </c>
      <c r="E913" t="e">
        <f>#REF!</f>
        <v>#REF!</v>
      </c>
      <c r="G913" t="e">
        <f t="shared" si="71"/>
        <v>#REF!</v>
      </c>
      <c r="H913" t="e">
        <f t="shared" si="72"/>
        <v>#REF!</v>
      </c>
      <c r="I913" s="141" t="e">
        <f t="shared" si="73"/>
        <v>#REF!</v>
      </c>
      <c r="J913" t="e">
        <f t="shared" si="74"/>
        <v>#REF!</v>
      </c>
      <c r="K913" s="141" t="e">
        <f t="shared" si="75"/>
        <v>#REF!</v>
      </c>
    </row>
    <row r="914" spans="1:11" hidden="1" x14ac:dyDescent="0.25">
      <c r="A914" t="e">
        <f>#REF!</f>
        <v>#REF!</v>
      </c>
      <c r="B914" t="e">
        <f>#REF!</f>
        <v>#REF!</v>
      </c>
      <c r="C914" t="e">
        <f>#REF!</f>
        <v>#REF!</v>
      </c>
      <c r="D914" t="e">
        <f>#REF!</f>
        <v>#REF!</v>
      </c>
      <c r="E914" t="e">
        <f>#REF!</f>
        <v>#REF!</v>
      </c>
      <c r="G914" t="e">
        <f t="shared" si="71"/>
        <v>#REF!</v>
      </c>
      <c r="H914" t="e">
        <f t="shared" si="72"/>
        <v>#REF!</v>
      </c>
      <c r="I914" s="141" t="e">
        <f t="shared" si="73"/>
        <v>#REF!</v>
      </c>
      <c r="J914" t="e">
        <f t="shared" si="74"/>
        <v>#REF!</v>
      </c>
      <c r="K914" s="141" t="e">
        <f t="shared" si="75"/>
        <v>#REF!</v>
      </c>
    </row>
    <row r="915" spans="1:11" hidden="1" x14ac:dyDescent="0.25">
      <c r="A915" t="e">
        <f>#REF!</f>
        <v>#REF!</v>
      </c>
      <c r="B915" t="e">
        <f>#REF!</f>
        <v>#REF!</v>
      </c>
      <c r="C915" t="e">
        <f>#REF!</f>
        <v>#REF!</v>
      </c>
      <c r="D915" t="e">
        <f>#REF!</f>
        <v>#REF!</v>
      </c>
      <c r="E915" t="e">
        <f>#REF!</f>
        <v>#REF!</v>
      </c>
      <c r="G915" t="e">
        <f t="shared" si="71"/>
        <v>#REF!</v>
      </c>
      <c r="H915" t="e">
        <f t="shared" si="72"/>
        <v>#REF!</v>
      </c>
      <c r="I915" s="141" t="e">
        <f t="shared" si="73"/>
        <v>#REF!</v>
      </c>
      <c r="J915" t="e">
        <f t="shared" si="74"/>
        <v>#REF!</v>
      </c>
      <c r="K915" s="141" t="e">
        <f t="shared" si="75"/>
        <v>#REF!</v>
      </c>
    </row>
    <row r="916" spans="1:11" hidden="1" x14ac:dyDescent="0.25">
      <c r="A916" t="e">
        <f>#REF!</f>
        <v>#REF!</v>
      </c>
      <c r="B916" t="e">
        <f>#REF!</f>
        <v>#REF!</v>
      </c>
      <c r="C916" t="e">
        <f>#REF!</f>
        <v>#REF!</v>
      </c>
      <c r="D916" t="e">
        <f>#REF!</f>
        <v>#REF!</v>
      </c>
      <c r="E916" t="e">
        <f>#REF!</f>
        <v>#REF!</v>
      </c>
      <c r="G916" t="e">
        <f t="shared" si="71"/>
        <v>#REF!</v>
      </c>
      <c r="H916" t="e">
        <f t="shared" si="72"/>
        <v>#REF!</v>
      </c>
      <c r="I916" s="141" t="e">
        <f t="shared" si="73"/>
        <v>#REF!</v>
      </c>
      <c r="J916" t="e">
        <f t="shared" si="74"/>
        <v>#REF!</v>
      </c>
      <c r="K916" s="141" t="e">
        <f t="shared" si="75"/>
        <v>#REF!</v>
      </c>
    </row>
    <row r="917" spans="1:11" hidden="1" x14ac:dyDescent="0.25">
      <c r="A917" t="e">
        <f>#REF!</f>
        <v>#REF!</v>
      </c>
      <c r="B917" t="e">
        <f>#REF!</f>
        <v>#REF!</v>
      </c>
      <c r="C917" t="e">
        <f>#REF!</f>
        <v>#REF!</v>
      </c>
      <c r="D917" t="e">
        <f>#REF!</f>
        <v>#REF!</v>
      </c>
      <c r="E917" t="e">
        <f>#REF!</f>
        <v>#REF!</v>
      </c>
      <c r="G917" t="e">
        <f t="shared" si="71"/>
        <v>#REF!</v>
      </c>
      <c r="H917" t="e">
        <f t="shared" si="72"/>
        <v>#REF!</v>
      </c>
      <c r="I917" s="141" t="e">
        <f t="shared" si="73"/>
        <v>#REF!</v>
      </c>
      <c r="J917" t="e">
        <f t="shared" si="74"/>
        <v>#REF!</v>
      </c>
      <c r="K917" s="141" t="e">
        <f t="shared" si="75"/>
        <v>#REF!</v>
      </c>
    </row>
    <row r="918" spans="1:11" hidden="1" x14ac:dyDescent="0.25">
      <c r="A918" t="e">
        <f>#REF!</f>
        <v>#REF!</v>
      </c>
      <c r="B918" t="e">
        <f>#REF!</f>
        <v>#REF!</v>
      </c>
      <c r="C918" t="e">
        <f>#REF!</f>
        <v>#REF!</v>
      </c>
      <c r="D918" t="e">
        <f>#REF!</f>
        <v>#REF!</v>
      </c>
      <c r="E918" t="e">
        <f>#REF!</f>
        <v>#REF!</v>
      </c>
      <c r="G918" t="e">
        <f t="shared" si="71"/>
        <v>#REF!</v>
      </c>
      <c r="H918" t="e">
        <f t="shared" si="72"/>
        <v>#REF!</v>
      </c>
      <c r="I918" s="141" t="e">
        <f t="shared" si="73"/>
        <v>#REF!</v>
      </c>
      <c r="J918" t="e">
        <f t="shared" si="74"/>
        <v>#REF!</v>
      </c>
      <c r="K918" s="141" t="e">
        <f t="shared" si="75"/>
        <v>#REF!</v>
      </c>
    </row>
    <row r="919" spans="1:11" hidden="1" x14ac:dyDescent="0.25">
      <c r="A919" t="e">
        <f>#REF!</f>
        <v>#REF!</v>
      </c>
      <c r="B919" t="e">
        <f>#REF!</f>
        <v>#REF!</v>
      </c>
      <c r="C919" t="e">
        <f>#REF!</f>
        <v>#REF!</v>
      </c>
      <c r="D919" t="e">
        <f>#REF!</f>
        <v>#REF!</v>
      </c>
      <c r="E919" t="e">
        <f>#REF!</f>
        <v>#REF!</v>
      </c>
      <c r="G919" t="e">
        <f t="shared" si="71"/>
        <v>#REF!</v>
      </c>
      <c r="H919" t="e">
        <f t="shared" si="72"/>
        <v>#REF!</v>
      </c>
      <c r="I919" s="141" t="e">
        <f t="shared" si="73"/>
        <v>#REF!</v>
      </c>
      <c r="J919" t="e">
        <f t="shared" si="74"/>
        <v>#REF!</v>
      </c>
      <c r="K919" s="141" t="e">
        <f t="shared" si="75"/>
        <v>#REF!</v>
      </c>
    </row>
    <row r="920" spans="1:11" hidden="1" x14ac:dyDescent="0.25">
      <c r="A920" t="e">
        <f>#REF!</f>
        <v>#REF!</v>
      </c>
      <c r="B920" t="e">
        <f>#REF!</f>
        <v>#REF!</v>
      </c>
      <c r="C920" t="e">
        <f>#REF!</f>
        <v>#REF!</v>
      </c>
      <c r="D920" t="e">
        <f>#REF!</f>
        <v>#REF!</v>
      </c>
      <c r="E920" t="e">
        <f>#REF!</f>
        <v>#REF!</v>
      </c>
      <c r="G920" t="e">
        <f t="shared" si="71"/>
        <v>#REF!</v>
      </c>
      <c r="H920" t="e">
        <f t="shared" si="72"/>
        <v>#REF!</v>
      </c>
      <c r="I920" s="141" t="e">
        <f t="shared" si="73"/>
        <v>#REF!</v>
      </c>
      <c r="J920" t="e">
        <f t="shared" si="74"/>
        <v>#REF!</v>
      </c>
      <c r="K920" s="141" t="e">
        <f t="shared" si="75"/>
        <v>#REF!</v>
      </c>
    </row>
    <row r="921" spans="1:11" hidden="1" x14ac:dyDescent="0.25">
      <c r="A921" t="e">
        <f>#REF!</f>
        <v>#REF!</v>
      </c>
      <c r="B921" t="e">
        <f>#REF!</f>
        <v>#REF!</v>
      </c>
      <c r="C921" t="e">
        <f>#REF!</f>
        <v>#REF!</v>
      </c>
      <c r="D921" t="e">
        <f>#REF!</f>
        <v>#REF!</v>
      </c>
      <c r="E921" t="e">
        <f>#REF!</f>
        <v>#REF!</v>
      </c>
      <c r="G921" t="e">
        <f t="shared" si="71"/>
        <v>#REF!</v>
      </c>
      <c r="H921" t="e">
        <f t="shared" si="72"/>
        <v>#REF!</v>
      </c>
      <c r="I921" s="141" t="e">
        <f t="shared" si="73"/>
        <v>#REF!</v>
      </c>
      <c r="J921" t="e">
        <f t="shared" si="74"/>
        <v>#REF!</v>
      </c>
      <c r="K921" s="141" t="e">
        <f t="shared" si="75"/>
        <v>#REF!</v>
      </c>
    </row>
    <row r="922" spans="1:11" hidden="1" x14ac:dyDescent="0.25">
      <c r="A922" t="e">
        <f>#REF!</f>
        <v>#REF!</v>
      </c>
      <c r="B922" t="e">
        <f>#REF!</f>
        <v>#REF!</v>
      </c>
      <c r="C922" t="e">
        <f>#REF!</f>
        <v>#REF!</v>
      </c>
      <c r="D922" t="e">
        <f>#REF!</f>
        <v>#REF!</v>
      </c>
      <c r="E922" t="e">
        <f>#REF!</f>
        <v>#REF!</v>
      </c>
      <c r="G922" t="e">
        <f t="shared" si="71"/>
        <v>#REF!</v>
      </c>
      <c r="H922" t="e">
        <f t="shared" si="72"/>
        <v>#REF!</v>
      </c>
      <c r="I922" s="141" t="e">
        <f t="shared" si="73"/>
        <v>#REF!</v>
      </c>
      <c r="J922" t="e">
        <f t="shared" si="74"/>
        <v>#REF!</v>
      </c>
      <c r="K922" s="141" t="e">
        <f t="shared" si="75"/>
        <v>#REF!</v>
      </c>
    </row>
    <row r="923" spans="1:11" hidden="1" x14ac:dyDescent="0.25">
      <c r="A923" t="e">
        <f>#REF!</f>
        <v>#REF!</v>
      </c>
      <c r="B923" t="e">
        <f>#REF!</f>
        <v>#REF!</v>
      </c>
      <c r="C923" t="e">
        <f>#REF!</f>
        <v>#REF!</v>
      </c>
      <c r="D923" t="e">
        <f>#REF!</f>
        <v>#REF!</v>
      </c>
      <c r="E923" t="e">
        <f>#REF!</f>
        <v>#REF!</v>
      </c>
      <c r="G923" t="e">
        <f t="shared" si="71"/>
        <v>#REF!</v>
      </c>
      <c r="H923" t="e">
        <f t="shared" si="72"/>
        <v>#REF!</v>
      </c>
      <c r="I923" s="141" t="e">
        <f t="shared" si="73"/>
        <v>#REF!</v>
      </c>
      <c r="J923" t="e">
        <f t="shared" si="74"/>
        <v>#REF!</v>
      </c>
      <c r="K923" s="141" t="e">
        <f t="shared" si="75"/>
        <v>#REF!</v>
      </c>
    </row>
    <row r="924" spans="1:11" hidden="1" x14ac:dyDescent="0.25">
      <c r="A924" t="e">
        <f>#REF!</f>
        <v>#REF!</v>
      </c>
      <c r="B924" t="e">
        <f>#REF!</f>
        <v>#REF!</v>
      </c>
      <c r="C924" t="e">
        <f>#REF!</f>
        <v>#REF!</v>
      </c>
      <c r="D924" t="e">
        <f>#REF!</f>
        <v>#REF!</v>
      </c>
      <c r="E924" t="e">
        <f>#REF!</f>
        <v>#REF!</v>
      </c>
      <c r="G924" t="e">
        <f t="shared" si="71"/>
        <v>#REF!</v>
      </c>
      <c r="H924" t="e">
        <f t="shared" si="72"/>
        <v>#REF!</v>
      </c>
      <c r="I924" s="141" t="e">
        <f t="shared" si="73"/>
        <v>#REF!</v>
      </c>
      <c r="J924" t="e">
        <f t="shared" si="74"/>
        <v>#REF!</v>
      </c>
      <c r="K924" s="141" t="e">
        <f t="shared" si="75"/>
        <v>#REF!</v>
      </c>
    </row>
    <row r="925" spans="1:11" hidden="1" x14ac:dyDescent="0.25">
      <c r="A925" t="e">
        <f>#REF!</f>
        <v>#REF!</v>
      </c>
      <c r="B925" t="e">
        <f>#REF!</f>
        <v>#REF!</v>
      </c>
      <c r="C925" t="e">
        <f>#REF!</f>
        <v>#REF!</v>
      </c>
      <c r="D925" t="e">
        <f>#REF!</f>
        <v>#REF!</v>
      </c>
      <c r="E925" t="e">
        <f>#REF!</f>
        <v>#REF!</v>
      </c>
      <c r="G925" t="e">
        <f t="shared" si="71"/>
        <v>#REF!</v>
      </c>
      <c r="H925" t="e">
        <f t="shared" si="72"/>
        <v>#REF!</v>
      </c>
      <c r="I925" s="141" t="e">
        <f t="shared" si="73"/>
        <v>#REF!</v>
      </c>
      <c r="J925" t="e">
        <f t="shared" si="74"/>
        <v>#REF!</v>
      </c>
      <c r="K925" s="141" t="e">
        <f t="shared" si="75"/>
        <v>#REF!</v>
      </c>
    </row>
    <row r="926" spans="1:11" hidden="1" x14ac:dyDescent="0.25">
      <c r="A926" t="e">
        <f>#REF!</f>
        <v>#REF!</v>
      </c>
      <c r="B926" t="e">
        <f>#REF!</f>
        <v>#REF!</v>
      </c>
      <c r="C926" t="e">
        <f>#REF!</f>
        <v>#REF!</v>
      </c>
      <c r="D926" t="e">
        <f>#REF!</f>
        <v>#REF!</v>
      </c>
      <c r="E926" t="e">
        <f>#REF!</f>
        <v>#REF!</v>
      </c>
      <c r="G926" t="e">
        <f t="shared" si="71"/>
        <v>#REF!</v>
      </c>
      <c r="H926" t="e">
        <f t="shared" si="72"/>
        <v>#REF!</v>
      </c>
      <c r="I926" s="141" t="e">
        <f t="shared" si="73"/>
        <v>#REF!</v>
      </c>
      <c r="J926" t="e">
        <f t="shared" si="74"/>
        <v>#REF!</v>
      </c>
      <c r="K926" s="141" t="e">
        <f t="shared" si="75"/>
        <v>#REF!</v>
      </c>
    </row>
    <row r="927" spans="1:11" hidden="1" x14ac:dyDescent="0.25">
      <c r="A927" t="e">
        <f>#REF!</f>
        <v>#REF!</v>
      </c>
      <c r="B927" t="e">
        <f>#REF!</f>
        <v>#REF!</v>
      </c>
      <c r="C927" t="e">
        <f>#REF!</f>
        <v>#REF!</v>
      </c>
      <c r="D927" t="e">
        <f>#REF!</f>
        <v>#REF!</v>
      </c>
      <c r="E927" t="e">
        <f>#REF!</f>
        <v>#REF!</v>
      </c>
      <c r="G927" t="e">
        <f t="shared" si="71"/>
        <v>#REF!</v>
      </c>
      <c r="H927" t="e">
        <f t="shared" si="72"/>
        <v>#REF!</v>
      </c>
      <c r="I927" s="141" t="e">
        <f t="shared" si="73"/>
        <v>#REF!</v>
      </c>
      <c r="J927" t="e">
        <f t="shared" si="74"/>
        <v>#REF!</v>
      </c>
      <c r="K927" s="141" t="e">
        <f t="shared" si="75"/>
        <v>#REF!</v>
      </c>
    </row>
    <row r="928" spans="1:11" hidden="1" x14ac:dyDescent="0.25">
      <c r="A928" t="e">
        <f>#REF!</f>
        <v>#REF!</v>
      </c>
      <c r="B928" t="e">
        <f>#REF!</f>
        <v>#REF!</v>
      </c>
      <c r="C928" t="e">
        <f>#REF!</f>
        <v>#REF!</v>
      </c>
      <c r="D928" t="e">
        <f>#REF!</f>
        <v>#REF!</v>
      </c>
      <c r="E928" t="e">
        <f>#REF!</f>
        <v>#REF!</v>
      </c>
      <c r="G928" t="e">
        <f t="shared" si="71"/>
        <v>#REF!</v>
      </c>
      <c r="H928" t="e">
        <f t="shared" si="72"/>
        <v>#REF!</v>
      </c>
      <c r="I928" s="141" t="e">
        <f t="shared" si="73"/>
        <v>#REF!</v>
      </c>
      <c r="J928" t="e">
        <f t="shared" si="74"/>
        <v>#REF!</v>
      </c>
      <c r="K928" s="141" t="e">
        <f t="shared" si="75"/>
        <v>#REF!</v>
      </c>
    </row>
    <row r="929" spans="1:11" hidden="1" x14ac:dyDescent="0.25">
      <c r="A929" t="e">
        <f>#REF!</f>
        <v>#REF!</v>
      </c>
      <c r="B929" t="e">
        <f>#REF!</f>
        <v>#REF!</v>
      </c>
      <c r="C929" t="e">
        <f>#REF!</f>
        <v>#REF!</v>
      </c>
      <c r="D929" t="e">
        <f>#REF!</f>
        <v>#REF!</v>
      </c>
      <c r="E929" t="e">
        <f>#REF!</f>
        <v>#REF!</v>
      </c>
      <c r="G929" t="e">
        <f t="shared" si="71"/>
        <v>#REF!</v>
      </c>
      <c r="H929" t="e">
        <f t="shared" si="72"/>
        <v>#REF!</v>
      </c>
      <c r="I929" s="141" t="e">
        <f t="shared" si="73"/>
        <v>#REF!</v>
      </c>
      <c r="J929" t="e">
        <f t="shared" si="74"/>
        <v>#REF!</v>
      </c>
      <c r="K929" s="141" t="e">
        <f t="shared" si="75"/>
        <v>#REF!</v>
      </c>
    </row>
    <row r="930" spans="1:11" hidden="1" x14ac:dyDescent="0.25">
      <c r="A930" t="e">
        <f>#REF!</f>
        <v>#REF!</v>
      </c>
      <c r="B930" t="e">
        <f>#REF!</f>
        <v>#REF!</v>
      </c>
      <c r="C930" t="e">
        <f>#REF!</f>
        <v>#REF!</v>
      </c>
      <c r="D930" t="e">
        <f>#REF!</f>
        <v>#REF!</v>
      </c>
      <c r="E930" t="e">
        <f>#REF!</f>
        <v>#REF!</v>
      </c>
      <c r="G930" t="e">
        <f t="shared" si="71"/>
        <v>#REF!</v>
      </c>
      <c r="H930" t="e">
        <f t="shared" si="72"/>
        <v>#REF!</v>
      </c>
      <c r="I930" s="141" t="e">
        <f t="shared" si="73"/>
        <v>#REF!</v>
      </c>
      <c r="J930" t="e">
        <f t="shared" si="74"/>
        <v>#REF!</v>
      </c>
      <c r="K930" s="141" t="e">
        <f t="shared" si="75"/>
        <v>#REF!</v>
      </c>
    </row>
    <row r="931" spans="1:11" hidden="1" x14ac:dyDescent="0.25">
      <c r="A931" t="e">
        <f>#REF!</f>
        <v>#REF!</v>
      </c>
      <c r="B931" t="e">
        <f>#REF!</f>
        <v>#REF!</v>
      </c>
      <c r="C931" t="e">
        <f>#REF!</f>
        <v>#REF!</v>
      </c>
      <c r="D931" t="e">
        <f>#REF!</f>
        <v>#REF!</v>
      </c>
      <c r="E931" t="e">
        <f>#REF!</f>
        <v>#REF!</v>
      </c>
      <c r="G931" t="e">
        <f t="shared" si="71"/>
        <v>#REF!</v>
      </c>
      <c r="H931" t="e">
        <f t="shared" si="72"/>
        <v>#REF!</v>
      </c>
      <c r="I931" s="141" t="e">
        <f t="shared" si="73"/>
        <v>#REF!</v>
      </c>
      <c r="J931" t="e">
        <f t="shared" si="74"/>
        <v>#REF!</v>
      </c>
      <c r="K931" s="141" t="e">
        <f t="shared" si="75"/>
        <v>#REF!</v>
      </c>
    </row>
    <row r="932" spans="1:11" hidden="1" x14ac:dyDescent="0.25">
      <c r="A932" t="e">
        <f>#REF!</f>
        <v>#REF!</v>
      </c>
      <c r="B932" t="e">
        <f>#REF!</f>
        <v>#REF!</v>
      </c>
      <c r="C932" t="e">
        <f>#REF!</f>
        <v>#REF!</v>
      </c>
      <c r="D932" t="e">
        <f>#REF!</f>
        <v>#REF!</v>
      </c>
      <c r="E932" t="e">
        <f>#REF!</f>
        <v>#REF!</v>
      </c>
      <c r="G932" t="e">
        <f t="shared" si="71"/>
        <v>#REF!</v>
      </c>
      <c r="H932" t="e">
        <f t="shared" si="72"/>
        <v>#REF!</v>
      </c>
      <c r="I932" s="141" t="e">
        <f t="shared" si="73"/>
        <v>#REF!</v>
      </c>
      <c r="J932" t="e">
        <f t="shared" si="74"/>
        <v>#REF!</v>
      </c>
      <c r="K932" s="141" t="e">
        <f t="shared" si="75"/>
        <v>#REF!</v>
      </c>
    </row>
    <row r="933" spans="1:11" hidden="1" x14ac:dyDescent="0.25">
      <c r="A933" t="e">
        <f>#REF!</f>
        <v>#REF!</v>
      </c>
      <c r="B933" t="e">
        <f>#REF!</f>
        <v>#REF!</v>
      </c>
      <c r="C933" t="e">
        <f>#REF!</f>
        <v>#REF!</v>
      </c>
      <c r="D933" t="e">
        <f>#REF!</f>
        <v>#REF!</v>
      </c>
      <c r="E933" t="e">
        <f>#REF!</f>
        <v>#REF!</v>
      </c>
      <c r="G933" t="e">
        <f t="shared" si="71"/>
        <v>#REF!</v>
      </c>
      <c r="H933" t="e">
        <f t="shared" si="72"/>
        <v>#REF!</v>
      </c>
      <c r="I933" s="141" t="e">
        <f t="shared" si="73"/>
        <v>#REF!</v>
      </c>
      <c r="J933" t="e">
        <f t="shared" si="74"/>
        <v>#REF!</v>
      </c>
      <c r="K933" s="141" t="e">
        <f t="shared" si="75"/>
        <v>#REF!</v>
      </c>
    </row>
    <row r="934" spans="1:11" hidden="1" x14ac:dyDescent="0.25">
      <c r="A934" t="e">
        <f>#REF!</f>
        <v>#REF!</v>
      </c>
      <c r="B934" t="e">
        <f>#REF!</f>
        <v>#REF!</v>
      </c>
      <c r="C934" t="e">
        <f>#REF!</f>
        <v>#REF!</v>
      </c>
      <c r="D934" t="e">
        <f>#REF!</f>
        <v>#REF!</v>
      </c>
      <c r="E934" t="e">
        <f>#REF!</f>
        <v>#REF!</v>
      </c>
      <c r="G934" t="e">
        <f t="shared" si="71"/>
        <v>#REF!</v>
      </c>
      <c r="H934" t="e">
        <f t="shared" si="72"/>
        <v>#REF!</v>
      </c>
      <c r="I934" s="141" t="e">
        <f t="shared" si="73"/>
        <v>#REF!</v>
      </c>
      <c r="J934" t="e">
        <f t="shared" si="74"/>
        <v>#REF!</v>
      </c>
      <c r="K934" s="141" t="e">
        <f t="shared" si="75"/>
        <v>#REF!</v>
      </c>
    </row>
    <row r="935" spans="1:11" hidden="1" x14ac:dyDescent="0.25">
      <c r="A935" t="e">
        <f>#REF!</f>
        <v>#REF!</v>
      </c>
      <c r="B935" t="e">
        <f>#REF!</f>
        <v>#REF!</v>
      </c>
      <c r="C935" t="e">
        <f>#REF!</f>
        <v>#REF!</v>
      </c>
      <c r="D935" t="e">
        <f>#REF!</f>
        <v>#REF!</v>
      </c>
      <c r="E935" t="e">
        <f>#REF!</f>
        <v>#REF!</v>
      </c>
      <c r="G935" t="e">
        <f t="shared" si="71"/>
        <v>#REF!</v>
      </c>
      <c r="H935" t="e">
        <f t="shared" si="72"/>
        <v>#REF!</v>
      </c>
      <c r="I935" s="141" t="e">
        <f t="shared" si="73"/>
        <v>#REF!</v>
      </c>
      <c r="J935" t="e">
        <f t="shared" si="74"/>
        <v>#REF!</v>
      </c>
      <c r="K935" s="141" t="e">
        <f t="shared" si="75"/>
        <v>#REF!</v>
      </c>
    </row>
    <row r="936" spans="1:11" hidden="1" x14ac:dyDescent="0.25">
      <c r="A936" t="e">
        <f>#REF!</f>
        <v>#REF!</v>
      </c>
      <c r="B936" t="e">
        <f>#REF!</f>
        <v>#REF!</v>
      </c>
      <c r="C936" t="e">
        <f>#REF!</f>
        <v>#REF!</v>
      </c>
      <c r="D936" t="e">
        <f>#REF!</f>
        <v>#REF!</v>
      </c>
      <c r="E936" t="e">
        <f>#REF!</f>
        <v>#REF!</v>
      </c>
      <c r="G936" t="e">
        <f t="shared" si="71"/>
        <v>#REF!</v>
      </c>
      <c r="H936" t="e">
        <f t="shared" si="72"/>
        <v>#REF!</v>
      </c>
      <c r="I936" s="141" t="e">
        <f t="shared" si="73"/>
        <v>#REF!</v>
      </c>
      <c r="J936" t="e">
        <f t="shared" si="74"/>
        <v>#REF!</v>
      </c>
      <c r="K936" s="141" t="e">
        <f t="shared" si="75"/>
        <v>#REF!</v>
      </c>
    </row>
    <row r="937" spans="1:11" hidden="1" x14ac:dyDescent="0.25">
      <c r="A937" t="e">
        <f>#REF!</f>
        <v>#REF!</v>
      </c>
      <c r="B937" t="e">
        <f>#REF!</f>
        <v>#REF!</v>
      </c>
      <c r="C937" t="e">
        <f>#REF!</f>
        <v>#REF!</v>
      </c>
      <c r="D937" t="e">
        <f>#REF!</f>
        <v>#REF!</v>
      </c>
      <c r="E937" t="e">
        <f>#REF!</f>
        <v>#REF!</v>
      </c>
      <c r="G937" t="e">
        <f t="shared" si="71"/>
        <v>#REF!</v>
      </c>
      <c r="H937" t="e">
        <f t="shared" si="72"/>
        <v>#REF!</v>
      </c>
      <c r="I937" s="141" t="e">
        <f t="shared" si="73"/>
        <v>#REF!</v>
      </c>
      <c r="J937" t="e">
        <f t="shared" si="74"/>
        <v>#REF!</v>
      </c>
      <c r="K937" s="141" t="e">
        <f t="shared" si="75"/>
        <v>#REF!</v>
      </c>
    </row>
    <row r="938" spans="1:11" hidden="1" x14ac:dyDescent="0.25">
      <c r="A938" t="e">
        <f>#REF!</f>
        <v>#REF!</v>
      </c>
      <c r="B938" t="e">
        <f>#REF!</f>
        <v>#REF!</v>
      </c>
      <c r="C938" t="e">
        <f>#REF!</f>
        <v>#REF!</v>
      </c>
      <c r="D938" t="e">
        <f>#REF!</f>
        <v>#REF!</v>
      </c>
      <c r="E938" t="e">
        <f>#REF!</f>
        <v>#REF!</v>
      </c>
      <c r="G938" t="e">
        <f t="shared" si="71"/>
        <v>#REF!</v>
      </c>
      <c r="H938" t="e">
        <f t="shared" si="72"/>
        <v>#REF!</v>
      </c>
      <c r="I938" s="141" t="e">
        <f t="shared" si="73"/>
        <v>#REF!</v>
      </c>
      <c r="J938" t="e">
        <f t="shared" si="74"/>
        <v>#REF!</v>
      </c>
      <c r="K938" s="141" t="e">
        <f t="shared" si="75"/>
        <v>#REF!</v>
      </c>
    </row>
    <row r="939" spans="1:11" hidden="1" x14ac:dyDescent="0.25">
      <c r="A939" t="e">
        <f>#REF!</f>
        <v>#REF!</v>
      </c>
      <c r="B939" t="e">
        <f>#REF!</f>
        <v>#REF!</v>
      </c>
      <c r="C939" t="e">
        <f>#REF!</f>
        <v>#REF!</v>
      </c>
      <c r="D939" t="e">
        <f>#REF!</f>
        <v>#REF!</v>
      </c>
      <c r="E939" t="e">
        <f>#REF!</f>
        <v>#REF!</v>
      </c>
      <c r="G939" t="e">
        <f t="shared" si="71"/>
        <v>#REF!</v>
      </c>
      <c r="H939" t="e">
        <f t="shared" si="72"/>
        <v>#REF!</v>
      </c>
      <c r="I939" s="141" t="e">
        <f t="shared" si="73"/>
        <v>#REF!</v>
      </c>
      <c r="J939" t="e">
        <f t="shared" si="74"/>
        <v>#REF!</v>
      </c>
      <c r="K939" s="141" t="e">
        <f t="shared" si="75"/>
        <v>#REF!</v>
      </c>
    </row>
    <row r="940" spans="1:11" hidden="1" x14ac:dyDescent="0.25">
      <c r="A940" t="e">
        <f>#REF!</f>
        <v>#REF!</v>
      </c>
      <c r="B940" t="e">
        <f>#REF!</f>
        <v>#REF!</v>
      </c>
      <c r="C940" t="e">
        <f>#REF!</f>
        <v>#REF!</v>
      </c>
      <c r="D940" t="e">
        <f>#REF!</f>
        <v>#REF!</v>
      </c>
      <c r="E940" t="e">
        <f>#REF!</f>
        <v>#REF!</v>
      </c>
      <c r="G940" t="e">
        <f t="shared" si="71"/>
        <v>#REF!</v>
      </c>
      <c r="H940" t="e">
        <f t="shared" si="72"/>
        <v>#REF!</v>
      </c>
      <c r="I940" s="141" t="e">
        <f t="shared" si="73"/>
        <v>#REF!</v>
      </c>
      <c r="J940" t="e">
        <f t="shared" si="74"/>
        <v>#REF!</v>
      </c>
      <c r="K940" s="141" t="e">
        <f t="shared" si="75"/>
        <v>#REF!</v>
      </c>
    </row>
    <row r="941" spans="1:11" hidden="1" x14ac:dyDescent="0.25">
      <c r="A941" t="e">
        <f>#REF!</f>
        <v>#REF!</v>
      </c>
      <c r="B941" t="e">
        <f>#REF!</f>
        <v>#REF!</v>
      </c>
      <c r="C941" t="e">
        <f>#REF!</f>
        <v>#REF!</v>
      </c>
      <c r="D941" t="e">
        <f>#REF!</f>
        <v>#REF!</v>
      </c>
      <c r="E941" t="e">
        <f>#REF!</f>
        <v>#REF!</v>
      </c>
      <c r="G941" t="e">
        <f t="shared" si="71"/>
        <v>#REF!</v>
      </c>
      <c r="H941" t="e">
        <f t="shared" si="72"/>
        <v>#REF!</v>
      </c>
      <c r="I941" s="141" t="e">
        <f t="shared" si="73"/>
        <v>#REF!</v>
      </c>
      <c r="J941" t="e">
        <f t="shared" si="74"/>
        <v>#REF!</v>
      </c>
      <c r="K941" s="141" t="e">
        <f t="shared" si="75"/>
        <v>#REF!</v>
      </c>
    </row>
    <row r="942" spans="1:11" hidden="1" x14ac:dyDescent="0.25">
      <c r="A942" t="e">
        <f>#REF!</f>
        <v>#REF!</v>
      </c>
      <c r="B942" t="e">
        <f>#REF!</f>
        <v>#REF!</v>
      </c>
      <c r="C942" t="e">
        <f>#REF!</f>
        <v>#REF!</v>
      </c>
      <c r="D942" t="e">
        <f>#REF!</f>
        <v>#REF!</v>
      </c>
      <c r="E942" t="e">
        <f>#REF!</f>
        <v>#REF!</v>
      </c>
      <c r="G942" t="e">
        <f t="shared" si="71"/>
        <v>#REF!</v>
      </c>
      <c r="H942" t="e">
        <f t="shared" si="72"/>
        <v>#REF!</v>
      </c>
      <c r="I942" s="141" t="e">
        <f t="shared" si="73"/>
        <v>#REF!</v>
      </c>
      <c r="J942" t="e">
        <f t="shared" si="74"/>
        <v>#REF!</v>
      </c>
      <c r="K942" s="141" t="e">
        <f t="shared" si="75"/>
        <v>#REF!</v>
      </c>
    </row>
    <row r="943" spans="1:11" hidden="1" x14ac:dyDescent="0.25">
      <c r="A943" t="e">
        <f>#REF!</f>
        <v>#REF!</v>
      </c>
      <c r="B943" t="e">
        <f>#REF!</f>
        <v>#REF!</v>
      </c>
      <c r="C943" t="e">
        <f>#REF!</f>
        <v>#REF!</v>
      </c>
      <c r="D943" t="e">
        <f>#REF!</f>
        <v>#REF!</v>
      </c>
      <c r="E943" t="e">
        <f>#REF!</f>
        <v>#REF!</v>
      </c>
      <c r="G943" t="e">
        <f t="shared" si="71"/>
        <v>#REF!</v>
      </c>
      <c r="H943" t="e">
        <f t="shared" si="72"/>
        <v>#REF!</v>
      </c>
      <c r="I943" s="141" t="e">
        <f t="shared" si="73"/>
        <v>#REF!</v>
      </c>
      <c r="J943" t="e">
        <f t="shared" si="74"/>
        <v>#REF!</v>
      </c>
      <c r="K943" s="141" t="e">
        <f t="shared" si="75"/>
        <v>#REF!</v>
      </c>
    </row>
    <row r="944" spans="1:11" hidden="1" x14ac:dyDescent="0.25">
      <c r="A944" t="e">
        <f>#REF!</f>
        <v>#REF!</v>
      </c>
      <c r="B944" t="e">
        <f>#REF!</f>
        <v>#REF!</v>
      </c>
      <c r="C944" t="e">
        <f>#REF!</f>
        <v>#REF!</v>
      </c>
      <c r="D944" t="e">
        <f>#REF!</f>
        <v>#REF!</v>
      </c>
      <c r="E944" t="e">
        <f>#REF!</f>
        <v>#REF!</v>
      </c>
      <c r="G944" t="e">
        <f t="shared" si="71"/>
        <v>#REF!</v>
      </c>
      <c r="H944" t="e">
        <f t="shared" si="72"/>
        <v>#REF!</v>
      </c>
      <c r="I944" s="141" t="e">
        <f t="shared" si="73"/>
        <v>#REF!</v>
      </c>
      <c r="J944" t="e">
        <f t="shared" si="74"/>
        <v>#REF!</v>
      </c>
      <c r="K944" s="141" t="e">
        <f t="shared" si="75"/>
        <v>#REF!</v>
      </c>
    </row>
    <row r="945" spans="1:11" hidden="1" x14ac:dyDescent="0.25">
      <c r="A945" t="e">
        <f>#REF!</f>
        <v>#REF!</v>
      </c>
      <c r="B945" t="e">
        <f>#REF!</f>
        <v>#REF!</v>
      </c>
      <c r="C945" t="e">
        <f>#REF!</f>
        <v>#REF!</v>
      </c>
      <c r="D945" t="e">
        <f>#REF!</f>
        <v>#REF!</v>
      </c>
      <c r="E945" t="e">
        <f>#REF!</f>
        <v>#REF!</v>
      </c>
      <c r="G945" t="e">
        <f t="shared" si="71"/>
        <v>#REF!</v>
      </c>
      <c r="H945" t="e">
        <f t="shared" si="72"/>
        <v>#REF!</v>
      </c>
      <c r="I945" s="141" t="e">
        <f t="shared" si="73"/>
        <v>#REF!</v>
      </c>
      <c r="J945" t="e">
        <f t="shared" si="74"/>
        <v>#REF!</v>
      </c>
      <c r="K945" s="141" t="e">
        <f t="shared" si="75"/>
        <v>#REF!</v>
      </c>
    </row>
    <row r="946" spans="1:11" hidden="1" x14ac:dyDescent="0.25">
      <c r="A946" t="e">
        <f>#REF!</f>
        <v>#REF!</v>
      </c>
      <c r="B946" t="e">
        <f>#REF!</f>
        <v>#REF!</v>
      </c>
      <c r="C946" t="e">
        <f>#REF!</f>
        <v>#REF!</v>
      </c>
      <c r="D946" t="e">
        <f>#REF!</f>
        <v>#REF!</v>
      </c>
      <c r="E946" t="e">
        <f>#REF!</f>
        <v>#REF!</v>
      </c>
      <c r="G946" t="e">
        <f t="shared" si="71"/>
        <v>#REF!</v>
      </c>
      <c r="H946" t="e">
        <f t="shared" si="72"/>
        <v>#REF!</v>
      </c>
      <c r="I946" s="141" t="e">
        <f t="shared" si="73"/>
        <v>#REF!</v>
      </c>
      <c r="J946" t="e">
        <f t="shared" si="74"/>
        <v>#REF!</v>
      </c>
      <c r="K946" s="141" t="e">
        <f t="shared" si="75"/>
        <v>#REF!</v>
      </c>
    </row>
    <row r="947" spans="1:11" hidden="1" x14ac:dyDescent="0.25">
      <c r="A947" t="e">
        <f>#REF!</f>
        <v>#REF!</v>
      </c>
      <c r="B947" t="e">
        <f>#REF!</f>
        <v>#REF!</v>
      </c>
      <c r="C947" t="e">
        <f>#REF!</f>
        <v>#REF!</v>
      </c>
      <c r="D947" t="e">
        <f>#REF!</f>
        <v>#REF!</v>
      </c>
      <c r="E947" t="e">
        <f>#REF!</f>
        <v>#REF!</v>
      </c>
      <c r="G947" t="e">
        <f t="shared" si="71"/>
        <v>#REF!</v>
      </c>
      <c r="H947" t="e">
        <f t="shared" si="72"/>
        <v>#REF!</v>
      </c>
      <c r="I947" s="141" t="e">
        <f t="shared" si="73"/>
        <v>#REF!</v>
      </c>
      <c r="J947" t="e">
        <f t="shared" si="74"/>
        <v>#REF!</v>
      </c>
      <c r="K947" s="141" t="e">
        <f t="shared" si="75"/>
        <v>#REF!</v>
      </c>
    </row>
    <row r="948" spans="1:11" hidden="1" x14ac:dyDescent="0.25">
      <c r="A948" t="e">
        <f>#REF!</f>
        <v>#REF!</v>
      </c>
      <c r="B948" t="e">
        <f>#REF!</f>
        <v>#REF!</v>
      </c>
      <c r="C948" t="e">
        <f>#REF!</f>
        <v>#REF!</v>
      </c>
      <c r="D948" t="e">
        <f>#REF!</f>
        <v>#REF!</v>
      </c>
      <c r="E948" t="e">
        <f>#REF!</f>
        <v>#REF!</v>
      </c>
      <c r="G948" t="e">
        <f t="shared" si="71"/>
        <v>#REF!</v>
      </c>
      <c r="H948" t="e">
        <f t="shared" si="72"/>
        <v>#REF!</v>
      </c>
      <c r="I948" s="141" t="e">
        <f t="shared" si="73"/>
        <v>#REF!</v>
      </c>
      <c r="J948" t="e">
        <f t="shared" si="74"/>
        <v>#REF!</v>
      </c>
      <c r="K948" s="141" t="e">
        <f t="shared" si="75"/>
        <v>#REF!</v>
      </c>
    </row>
    <row r="949" spans="1:11" hidden="1" x14ac:dyDescent="0.25">
      <c r="A949" t="e">
        <f>#REF!</f>
        <v>#REF!</v>
      </c>
      <c r="B949" t="e">
        <f>#REF!</f>
        <v>#REF!</v>
      </c>
      <c r="C949" t="e">
        <f>#REF!</f>
        <v>#REF!</v>
      </c>
      <c r="D949" t="e">
        <f>#REF!</f>
        <v>#REF!</v>
      </c>
      <c r="E949" t="e">
        <f>#REF!</f>
        <v>#REF!</v>
      </c>
      <c r="G949" t="e">
        <f t="shared" si="71"/>
        <v>#REF!</v>
      </c>
      <c r="H949" t="e">
        <f t="shared" si="72"/>
        <v>#REF!</v>
      </c>
      <c r="I949" s="141" t="e">
        <f t="shared" si="73"/>
        <v>#REF!</v>
      </c>
      <c r="J949" t="e">
        <f t="shared" si="74"/>
        <v>#REF!</v>
      </c>
      <c r="K949" s="141" t="e">
        <f t="shared" si="75"/>
        <v>#REF!</v>
      </c>
    </row>
    <row r="950" spans="1:11" hidden="1" x14ac:dyDescent="0.25">
      <c r="A950" t="e">
        <f>#REF!</f>
        <v>#REF!</v>
      </c>
      <c r="B950" t="e">
        <f>#REF!</f>
        <v>#REF!</v>
      </c>
      <c r="C950" t="e">
        <f>#REF!</f>
        <v>#REF!</v>
      </c>
      <c r="D950" t="e">
        <f>#REF!</f>
        <v>#REF!</v>
      </c>
      <c r="E950" t="e">
        <f>#REF!</f>
        <v>#REF!</v>
      </c>
      <c r="G950" t="e">
        <f t="shared" si="71"/>
        <v>#REF!</v>
      </c>
      <c r="H950" t="e">
        <f t="shared" si="72"/>
        <v>#REF!</v>
      </c>
      <c r="I950" s="141" t="e">
        <f t="shared" si="73"/>
        <v>#REF!</v>
      </c>
      <c r="J950" t="e">
        <f t="shared" si="74"/>
        <v>#REF!</v>
      </c>
      <c r="K950" s="141" t="e">
        <f t="shared" si="75"/>
        <v>#REF!</v>
      </c>
    </row>
    <row r="951" spans="1:11" hidden="1" x14ac:dyDescent="0.25">
      <c r="A951" t="e">
        <f>#REF!</f>
        <v>#REF!</v>
      </c>
      <c r="B951" t="e">
        <f>#REF!</f>
        <v>#REF!</v>
      </c>
      <c r="C951" t="e">
        <f>#REF!</f>
        <v>#REF!</v>
      </c>
      <c r="D951" t="e">
        <f>#REF!</f>
        <v>#REF!</v>
      </c>
      <c r="E951" t="e">
        <f>#REF!</f>
        <v>#REF!</v>
      </c>
      <c r="G951" t="e">
        <f t="shared" si="71"/>
        <v>#REF!</v>
      </c>
      <c r="H951" t="e">
        <f t="shared" si="72"/>
        <v>#REF!</v>
      </c>
      <c r="I951" s="141" t="e">
        <f t="shared" si="73"/>
        <v>#REF!</v>
      </c>
      <c r="J951" t="e">
        <f t="shared" si="74"/>
        <v>#REF!</v>
      </c>
      <c r="K951" s="141" t="e">
        <f t="shared" si="75"/>
        <v>#REF!</v>
      </c>
    </row>
    <row r="952" spans="1:11" hidden="1" x14ac:dyDescent="0.25">
      <c r="A952" t="e">
        <f>#REF!</f>
        <v>#REF!</v>
      </c>
      <c r="B952" t="e">
        <f>#REF!</f>
        <v>#REF!</v>
      </c>
      <c r="C952" t="e">
        <f>#REF!</f>
        <v>#REF!</v>
      </c>
      <c r="D952" t="e">
        <f>#REF!</f>
        <v>#REF!</v>
      </c>
      <c r="E952" t="e">
        <f>#REF!</f>
        <v>#REF!</v>
      </c>
      <c r="G952" t="e">
        <f t="shared" si="71"/>
        <v>#REF!</v>
      </c>
      <c r="H952" t="e">
        <f t="shared" si="72"/>
        <v>#REF!</v>
      </c>
      <c r="I952" s="141" t="e">
        <f t="shared" si="73"/>
        <v>#REF!</v>
      </c>
      <c r="J952" t="e">
        <f t="shared" si="74"/>
        <v>#REF!</v>
      </c>
      <c r="K952" s="141" t="e">
        <f t="shared" si="75"/>
        <v>#REF!</v>
      </c>
    </row>
    <row r="953" spans="1:11" hidden="1" x14ac:dyDescent="0.25">
      <c r="A953" t="e">
        <f>#REF!</f>
        <v>#REF!</v>
      </c>
      <c r="B953" t="e">
        <f>#REF!</f>
        <v>#REF!</v>
      </c>
      <c r="C953" t="e">
        <f>#REF!</f>
        <v>#REF!</v>
      </c>
      <c r="D953" t="e">
        <f>#REF!</f>
        <v>#REF!</v>
      </c>
      <c r="E953" t="e">
        <f>#REF!</f>
        <v>#REF!</v>
      </c>
      <c r="G953" t="e">
        <f t="shared" si="71"/>
        <v>#REF!</v>
      </c>
      <c r="H953" t="e">
        <f t="shared" si="72"/>
        <v>#REF!</v>
      </c>
      <c r="I953" s="141" t="e">
        <f t="shared" si="73"/>
        <v>#REF!</v>
      </c>
      <c r="J953" t="e">
        <f t="shared" si="74"/>
        <v>#REF!</v>
      </c>
      <c r="K953" s="141" t="e">
        <f t="shared" si="75"/>
        <v>#REF!</v>
      </c>
    </row>
    <row r="954" spans="1:11" hidden="1" x14ac:dyDescent="0.25">
      <c r="A954" t="e">
        <f>#REF!</f>
        <v>#REF!</v>
      </c>
      <c r="B954" t="e">
        <f>#REF!</f>
        <v>#REF!</v>
      </c>
      <c r="C954" t="e">
        <f>#REF!</f>
        <v>#REF!</v>
      </c>
      <c r="D954" t="e">
        <f>#REF!</f>
        <v>#REF!</v>
      </c>
      <c r="E954" t="e">
        <f>#REF!</f>
        <v>#REF!</v>
      </c>
      <c r="G954" t="e">
        <f t="shared" si="71"/>
        <v>#REF!</v>
      </c>
      <c r="H954" t="e">
        <f t="shared" si="72"/>
        <v>#REF!</v>
      </c>
      <c r="I954" s="141" t="e">
        <f t="shared" si="73"/>
        <v>#REF!</v>
      </c>
      <c r="J954" t="e">
        <f t="shared" si="74"/>
        <v>#REF!</v>
      </c>
      <c r="K954" s="141" t="e">
        <f t="shared" si="75"/>
        <v>#REF!</v>
      </c>
    </row>
    <row r="955" spans="1:11" hidden="1" x14ac:dyDescent="0.25">
      <c r="A955" t="e">
        <f>#REF!</f>
        <v>#REF!</v>
      </c>
      <c r="B955" t="e">
        <f>#REF!</f>
        <v>#REF!</v>
      </c>
      <c r="C955" t="e">
        <f>#REF!</f>
        <v>#REF!</v>
      </c>
      <c r="D955" t="e">
        <f>#REF!</f>
        <v>#REF!</v>
      </c>
      <c r="E955" t="e">
        <f>#REF!</f>
        <v>#REF!</v>
      </c>
      <c r="G955" t="e">
        <f t="shared" si="71"/>
        <v>#REF!</v>
      </c>
      <c r="H955" t="e">
        <f t="shared" si="72"/>
        <v>#REF!</v>
      </c>
      <c r="I955" s="141" t="e">
        <f t="shared" si="73"/>
        <v>#REF!</v>
      </c>
      <c r="J955" t="e">
        <f t="shared" si="74"/>
        <v>#REF!</v>
      </c>
      <c r="K955" s="141" t="e">
        <f t="shared" si="75"/>
        <v>#REF!</v>
      </c>
    </row>
    <row r="956" spans="1:11" hidden="1" x14ac:dyDescent="0.25">
      <c r="A956" t="e">
        <f>#REF!</f>
        <v>#REF!</v>
      </c>
      <c r="B956" t="e">
        <f>#REF!</f>
        <v>#REF!</v>
      </c>
      <c r="C956" t="e">
        <f>#REF!</f>
        <v>#REF!</v>
      </c>
      <c r="D956" t="e">
        <f>#REF!</f>
        <v>#REF!</v>
      </c>
      <c r="E956" t="e">
        <f>#REF!</f>
        <v>#REF!</v>
      </c>
      <c r="G956" t="e">
        <f t="shared" si="71"/>
        <v>#REF!</v>
      </c>
      <c r="H956" t="e">
        <f t="shared" si="72"/>
        <v>#REF!</v>
      </c>
      <c r="I956" s="141" t="e">
        <f t="shared" si="73"/>
        <v>#REF!</v>
      </c>
      <c r="J956" t="e">
        <f t="shared" si="74"/>
        <v>#REF!</v>
      </c>
      <c r="K956" s="141" t="e">
        <f t="shared" si="75"/>
        <v>#REF!</v>
      </c>
    </row>
    <row r="957" spans="1:11" hidden="1" x14ac:dyDescent="0.25">
      <c r="A957" t="e">
        <f>#REF!</f>
        <v>#REF!</v>
      </c>
      <c r="B957" t="e">
        <f>#REF!</f>
        <v>#REF!</v>
      </c>
      <c r="C957" t="e">
        <f>#REF!</f>
        <v>#REF!</v>
      </c>
      <c r="D957" t="e">
        <f>#REF!</f>
        <v>#REF!</v>
      </c>
      <c r="E957" t="e">
        <f>#REF!</f>
        <v>#REF!</v>
      </c>
      <c r="G957" t="e">
        <f t="shared" si="71"/>
        <v>#REF!</v>
      </c>
      <c r="H957" t="e">
        <f t="shared" si="72"/>
        <v>#REF!</v>
      </c>
      <c r="I957" s="141" t="e">
        <f t="shared" si="73"/>
        <v>#REF!</v>
      </c>
      <c r="J957" t="e">
        <f t="shared" si="74"/>
        <v>#REF!</v>
      </c>
      <c r="K957" s="141" t="e">
        <f t="shared" si="75"/>
        <v>#REF!</v>
      </c>
    </row>
    <row r="958" spans="1:11" hidden="1" x14ac:dyDescent="0.25">
      <c r="A958" t="e">
        <f>#REF!</f>
        <v>#REF!</v>
      </c>
      <c r="B958" t="e">
        <f>#REF!</f>
        <v>#REF!</v>
      </c>
      <c r="C958" t="e">
        <f>#REF!</f>
        <v>#REF!</v>
      </c>
      <c r="D958" t="e">
        <f>#REF!</f>
        <v>#REF!</v>
      </c>
      <c r="E958" t="e">
        <f>#REF!</f>
        <v>#REF!</v>
      </c>
      <c r="G958" t="e">
        <f t="shared" si="71"/>
        <v>#REF!</v>
      </c>
      <c r="H958" t="e">
        <f t="shared" si="72"/>
        <v>#REF!</v>
      </c>
      <c r="I958" s="141" t="e">
        <f t="shared" si="73"/>
        <v>#REF!</v>
      </c>
      <c r="J958" t="e">
        <f t="shared" si="74"/>
        <v>#REF!</v>
      </c>
      <c r="K958" s="141" t="e">
        <f t="shared" si="75"/>
        <v>#REF!</v>
      </c>
    </row>
    <row r="959" spans="1:11" hidden="1" x14ac:dyDescent="0.25">
      <c r="A959" t="e">
        <f>#REF!</f>
        <v>#REF!</v>
      </c>
      <c r="B959" t="e">
        <f>#REF!</f>
        <v>#REF!</v>
      </c>
      <c r="C959" t="e">
        <f>#REF!</f>
        <v>#REF!</v>
      </c>
      <c r="D959" t="e">
        <f>#REF!</f>
        <v>#REF!</v>
      </c>
      <c r="E959" t="e">
        <f>#REF!</f>
        <v>#REF!</v>
      </c>
      <c r="G959" t="e">
        <f t="shared" si="71"/>
        <v>#REF!</v>
      </c>
      <c r="H959" t="e">
        <f t="shared" si="72"/>
        <v>#REF!</v>
      </c>
      <c r="I959" s="141" t="e">
        <f t="shared" si="73"/>
        <v>#REF!</v>
      </c>
      <c r="J959" t="e">
        <f t="shared" si="74"/>
        <v>#REF!</v>
      </c>
      <c r="K959" s="141" t="e">
        <f t="shared" si="75"/>
        <v>#REF!</v>
      </c>
    </row>
    <row r="960" spans="1:11" hidden="1" x14ac:dyDescent="0.25">
      <c r="A960" t="e">
        <f>#REF!</f>
        <v>#REF!</v>
      </c>
      <c r="B960" t="e">
        <f>#REF!</f>
        <v>#REF!</v>
      </c>
      <c r="C960" t="e">
        <f>#REF!</f>
        <v>#REF!</v>
      </c>
      <c r="D960" t="e">
        <f>#REF!</f>
        <v>#REF!</v>
      </c>
      <c r="E960" t="e">
        <f>#REF!</f>
        <v>#REF!</v>
      </c>
      <c r="G960" t="e">
        <f t="shared" si="71"/>
        <v>#REF!</v>
      </c>
      <c r="H960" t="e">
        <f t="shared" si="72"/>
        <v>#REF!</v>
      </c>
      <c r="I960" s="141" t="e">
        <f t="shared" si="73"/>
        <v>#REF!</v>
      </c>
      <c r="J960" t="e">
        <f t="shared" si="74"/>
        <v>#REF!</v>
      </c>
      <c r="K960" s="141" t="e">
        <f t="shared" si="75"/>
        <v>#REF!</v>
      </c>
    </row>
    <row r="961" spans="1:11" hidden="1" x14ac:dyDescent="0.25">
      <c r="A961" t="e">
        <f>#REF!</f>
        <v>#REF!</v>
      </c>
      <c r="B961" t="e">
        <f>#REF!</f>
        <v>#REF!</v>
      </c>
      <c r="C961" t="e">
        <f>#REF!</f>
        <v>#REF!</v>
      </c>
      <c r="D961" t="e">
        <f>#REF!</f>
        <v>#REF!</v>
      </c>
      <c r="E961" t="e">
        <f>#REF!</f>
        <v>#REF!</v>
      </c>
      <c r="G961" t="e">
        <f t="shared" si="71"/>
        <v>#REF!</v>
      </c>
      <c r="H961" t="e">
        <f t="shared" si="72"/>
        <v>#REF!</v>
      </c>
      <c r="I961" s="141" t="e">
        <f t="shared" si="73"/>
        <v>#REF!</v>
      </c>
      <c r="J961" t="e">
        <f t="shared" si="74"/>
        <v>#REF!</v>
      </c>
      <c r="K961" s="141" t="e">
        <f t="shared" si="75"/>
        <v>#REF!</v>
      </c>
    </row>
    <row r="962" spans="1:11" hidden="1" x14ac:dyDescent="0.25">
      <c r="A962" t="e">
        <f>#REF!</f>
        <v>#REF!</v>
      </c>
      <c r="B962" t="e">
        <f>#REF!</f>
        <v>#REF!</v>
      </c>
      <c r="C962" t="e">
        <f>#REF!</f>
        <v>#REF!</v>
      </c>
      <c r="D962" t="e">
        <f>#REF!</f>
        <v>#REF!</v>
      </c>
      <c r="E962" t="e">
        <f>#REF!</f>
        <v>#REF!</v>
      </c>
      <c r="G962" t="e">
        <f t="shared" ref="G962:G1025" si="76">A962</f>
        <v>#REF!</v>
      </c>
      <c r="H962" t="e">
        <f t="shared" ref="H962:H1025" si="77">B962</f>
        <v>#REF!</v>
      </c>
      <c r="I962" s="141" t="e">
        <f t="shared" ref="I962:I1025" si="78">C962</f>
        <v>#REF!</v>
      </c>
      <c r="J962" t="e">
        <f t="shared" ref="J962:J1025" si="79">D962</f>
        <v>#REF!</v>
      </c>
      <c r="K962" s="141" t="e">
        <f t="shared" ref="K962:K1025" si="80">E962</f>
        <v>#REF!</v>
      </c>
    </row>
    <row r="963" spans="1:11" hidden="1" x14ac:dyDescent="0.25">
      <c r="A963" t="e">
        <f>#REF!</f>
        <v>#REF!</v>
      </c>
      <c r="B963" t="e">
        <f>#REF!</f>
        <v>#REF!</v>
      </c>
      <c r="C963" t="e">
        <f>#REF!</f>
        <v>#REF!</v>
      </c>
      <c r="D963" t="e">
        <f>#REF!</f>
        <v>#REF!</v>
      </c>
      <c r="E963" t="e">
        <f>#REF!</f>
        <v>#REF!</v>
      </c>
      <c r="G963" t="e">
        <f t="shared" si="76"/>
        <v>#REF!</v>
      </c>
      <c r="H963" t="e">
        <f t="shared" si="77"/>
        <v>#REF!</v>
      </c>
      <c r="I963" s="141" t="e">
        <f t="shared" si="78"/>
        <v>#REF!</v>
      </c>
      <c r="J963" t="e">
        <f t="shared" si="79"/>
        <v>#REF!</v>
      </c>
      <c r="K963" s="141" t="e">
        <f t="shared" si="80"/>
        <v>#REF!</v>
      </c>
    </row>
    <row r="964" spans="1:11" hidden="1" x14ac:dyDescent="0.25">
      <c r="A964" t="e">
        <f>#REF!</f>
        <v>#REF!</v>
      </c>
      <c r="B964" t="e">
        <f>#REF!</f>
        <v>#REF!</v>
      </c>
      <c r="C964" t="e">
        <f>#REF!</f>
        <v>#REF!</v>
      </c>
      <c r="D964" t="e">
        <f>#REF!</f>
        <v>#REF!</v>
      </c>
      <c r="E964" t="e">
        <f>#REF!</f>
        <v>#REF!</v>
      </c>
      <c r="G964" t="e">
        <f t="shared" si="76"/>
        <v>#REF!</v>
      </c>
      <c r="H964" t="e">
        <f t="shared" si="77"/>
        <v>#REF!</v>
      </c>
      <c r="I964" s="141" t="e">
        <f t="shared" si="78"/>
        <v>#REF!</v>
      </c>
      <c r="J964" t="e">
        <f t="shared" si="79"/>
        <v>#REF!</v>
      </c>
      <c r="K964" s="141" t="e">
        <f t="shared" si="80"/>
        <v>#REF!</v>
      </c>
    </row>
    <row r="965" spans="1:11" hidden="1" x14ac:dyDescent="0.25">
      <c r="A965" t="e">
        <f>#REF!</f>
        <v>#REF!</v>
      </c>
      <c r="B965" t="e">
        <f>#REF!</f>
        <v>#REF!</v>
      </c>
      <c r="C965" t="e">
        <f>#REF!</f>
        <v>#REF!</v>
      </c>
      <c r="D965" t="e">
        <f>#REF!</f>
        <v>#REF!</v>
      </c>
      <c r="E965" t="e">
        <f>#REF!</f>
        <v>#REF!</v>
      </c>
      <c r="G965" t="e">
        <f t="shared" si="76"/>
        <v>#REF!</v>
      </c>
      <c r="H965" t="e">
        <f t="shared" si="77"/>
        <v>#REF!</v>
      </c>
      <c r="I965" s="141" t="e">
        <f t="shared" si="78"/>
        <v>#REF!</v>
      </c>
      <c r="J965" t="e">
        <f t="shared" si="79"/>
        <v>#REF!</v>
      </c>
      <c r="K965" s="141" t="e">
        <f t="shared" si="80"/>
        <v>#REF!</v>
      </c>
    </row>
    <row r="966" spans="1:11" hidden="1" x14ac:dyDescent="0.25">
      <c r="A966" t="e">
        <f>#REF!</f>
        <v>#REF!</v>
      </c>
      <c r="B966" t="e">
        <f>#REF!</f>
        <v>#REF!</v>
      </c>
      <c r="C966" t="e">
        <f>#REF!</f>
        <v>#REF!</v>
      </c>
      <c r="D966" t="e">
        <f>#REF!</f>
        <v>#REF!</v>
      </c>
      <c r="E966" t="e">
        <f>#REF!</f>
        <v>#REF!</v>
      </c>
      <c r="G966" t="e">
        <f t="shared" si="76"/>
        <v>#REF!</v>
      </c>
      <c r="H966" t="e">
        <f t="shared" si="77"/>
        <v>#REF!</v>
      </c>
      <c r="I966" s="141" t="e">
        <f t="shared" si="78"/>
        <v>#REF!</v>
      </c>
      <c r="J966" t="e">
        <f t="shared" si="79"/>
        <v>#REF!</v>
      </c>
      <c r="K966" s="141" t="e">
        <f t="shared" si="80"/>
        <v>#REF!</v>
      </c>
    </row>
    <row r="967" spans="1:11" hidden="1" x14ac:dyDescent="0.25">
      <c r="A967" t="e">
        <f>#REF!</f>
        <v>#REF!</v>
      </c>
      <c r="B967" t="e">
        <f>#REF!</f>
        <v>#REF!</v>
      </c>
      <c r="C967" t="e">
        <f>#REF!</f>
        <v>#REF!</v>
      </c>
      <c r="D967" t="e">
        <f>#REF!</f>
        <v>#REF!</v>
      </c>
      <c r="E967" t="e">
        <f>#REF!</f>
        <v>#REF!</v>
      </c>
      <c r="G967" t="e">
        <f t="shared" si="76"/>
        <v>#REF!</v>
      </c>
      <c r="H967" t="e">
        <f t="shared" si="77"/>
        <v>#REF!</v>
      </c>
      <c r="I967" s="141" t="e">
        <f t="shared" si="78"/>
        <v>#REF!</v>
      </c>
      <c r="J967" t="e">
        <f t="shared" si="79"/>
        <v>#REF!</v>
      </c>
      <c r="K967" s="141" t="e">
        <f t="shared" si="80"/>
        <v>#REF!</v>
      </c>
    </row>
    <row r="968" spans="1:11" hidden="1" x14ac:dyDescent="0.25">
      <c r="A968" t="e">
        <f>#REF!</f>
        <v>#REF!</v>
      </c>
      <c r="B968" t="e">
        <f>#REF!</f>
        <v>#REF!</v>
      </c>
      <c r="C968" t="e">
        <f>#REF!</f>
        <v>#REF!</v>
      </c>
      <c r="D968" t="e">
        <f>#REF!</f>
        <v>#REF!</v>
      </c>
      <c r="E968" t="e">
        <f>#REF!</f>
        <v>#REF!</v>
      </c>
      <c r="G968" t="e">
        <f t="shared" si="76"/>
        <v>#REF!</v>
      </c>
      <c r="H968" t="e">
        <f t="shared" si="77"/>
        <v>#REF!</v>
      </c>
      <c r="I968" s="141" t="e">
        <f t="shared" si="78"/>
        <v>#REF!</v>
      </c>
      <c r="J968" t="e">
        <f t="shared" si="79"/>
        <v>#REF!</v>
      </c>
      <c r="K968" s="141" t="e">
        <f t="shared" si="80"/>
        <v>#REF!</v>
      </c>
    </row>
    <row r="969" spans="1:11" hidden="1" x14ac:dyDescent="0.25">
      <c r="A969" t="e">
        <f>#REF!</f>
        <v>#REF!</v>
      </c>
      <c r="B969" t="e">
        <f>#REF!</f>
        <v>#REF!</v>
      </c>
      <c r="C969" t="e">
        <f>#REF!</f>
        <v>#REF!</v>
      </c>
      <c r="D969" t="e">
        <f>#REF!</f>
        <v>#REF!</v>
      </c>
      <c r="E969" t="e">
        <f>#REF!</f>
        <v>#REF!</v>
      </c>
      <c r="G969" t="e">
        <f t="shared" si="76"/>
        <v>#REF!</v>
      </c>
      <c r="H969" t="e">
        <f t="shared" si="77"/>
        <v>#REF!</v>
      </c>
      <c r="I969" s="141" t="e">
        <f t="shared" si="78"/>
        <v>#REF!</v>
      </c>
      <c r="J969" t="e">
        <f t="shared" si="79"/>
        <v>#REF!</v>
      </c>
      <c r="K969" s="141" t="e">
        <f t="shared" si="80"/>
        <v>#REF!</v>
      </c>
    </row>
    <row r="970" spans="1:11" hidden="1" x14ac:dyDescent="0.25">
      <c r="A970" t="e">
        <f>#REF!</f>
        <v>#REF!</v>
      </c>
      <c r="B970" t="e">
        <f>#REF!</f>
        <v>#REF!</v>
      </c>
      <c r="C970" t="e">
        <f>#REF!</f>
        <v>#REF!</v>
      </c>
      <c r="D970" t="e">
        <f>#REF!</f>
        <v>#REF!</v>
      </c>
      <c r="E970" t="e">
        <f>#REF!</f>
        <v>#REF!</v>
      </c>
      <c r="G970" t="e">
        <f t="shared" si="76"/>
        <v>#REF!</v>
      </c>
      <c r="H970" t="e">
        <f t="shared" si="77"/>
        <v>#REF!</v>
      </c>
      <c r="I970" s="141" t="e">
        <f t="shared" si="78"/>
        <v>#REF!</v>
      </c>
      <c r="J970" t="e">
        <f t="shared" si="79"/>
        <v>#REF!</v>
      </c>
      <c r="K970" s="141" t="e">
        <f t="shared" si="80"/>
        <v>#REF!</v>
      </c>
    </row>
    <row r="971" spans="1:11" hidden="1" x14ac:dyDescent="0.25">
      <c r="A971" t="e">
        <f>#REF!</f>
        <v>#REF!</v>
      </c>
      <c r="B971" t="e">
        <f>#REF!</f>
        <v>#REF!</v>
      </c>
      <c r="C971" t="e">
        <f>#REF!</f>
        <v>#REF!</v>
      </c>
      <c r="D971" t="e">
        <f>#REF!</f>
        <v>#REF!</v>
      </c>
      <c r="E971" t="e">
        <f>#REF!</f>
        <v>#REF!</v>
      </c>
      <c r="G971" t="e">
        <f t="shared" si="76"/>
        <v>#REF!</v>
      </c>
      <c r="H971" t="e">
        <f t="shared" si="77"/>
        <v>#REF!</v>
      </c>
      <c r="I971" s="141" t="e">
        <f t="shared" si="78"/>
        <v>#REF!</v>
      </c>
      <c r="J971" t="e">
        <f t="shared" si="79"/>
        <v>#REF!</v>
      </c>
      <c r="K971" s="141" t="e">
        <f t="shared" si="80"/>
        <v>#REF!</v>
      </c>
    </row>
    <row r="972" spans="1:11" hidden="1" x14ac:dyDescent="0.25">
      <c r="A972" t="e">
        <f>#REF!</f>
        <v>#REF!</v>
      </c>
      <c r="B972" t="e">
        <f>#REF!</f>
        <v>#REF!</v>
      </c>
      <c r="C972" t="e">
        <f>#REF!</f>
        <v>#REF!</v>
      </c>
      <c r="D972" t="e">
        <f>#REF!</f>
        <v>#REF!</v>
      </c>
      <c r="E972" t="e">
        <f>#REF!</f>
        <v>#REF!</v>
      </c>
      <c r="G972" t="e">
        <f t="shared" si="76"/>
        <v>#REF!</v>
      </c>
      <c r="H972" t="e">
        <f t="shared" si="77"/>
        <v>#REF!</v>
      </c>
      <c r="I972" s="141" t="e">
        <f t="shared" si="78"/>
        <v>#REF!</v>
      </c>
      <c r="J972" t="e">
        <f t="shared" si="79"/>
        <v>#REF!</v>
      </c>
      <c r="K972" s="141" t="e">
        <f t="shared" si="80"/>
        <v>#REF!</v>
      </c>
    </row>
    <row r="973" spans="1:11" hidden="1" x14ac:dyDescent="0.25">
      <c r="A973" t="e">
        <f>#REF!</f>
        <v>#REF!</v>
      </c>
      <c r="B973" t="e">
        <f>#REF!</f>
        <v>#REF!</v>
      </c>
      <c r="C973" t="e">
        <f>#REF!</f>
        <v>#REF!</v>
      </c>
      <c r="D973" t="e">
        <f>#REF!</f>
        <v>#REF!</v>
      </c>
      <c r="E973" t="e">
        <f>#REF!</f>
        <v>#REF!</v>
      </c>
      <c r="G973" t="e">
        <f t="shared" si="76"/>
        <v>#REF!</v>
      </c>
      <c r="H973" t="e">
        <f t="shared" si="77"/>
        <v>#REF!</v>
      </c>
      <c r="I973" s="141" t="e">
        <f t="shared" si="78"/>
        <v>#REF!</v>
      </c>
      <c r="J973" t="e">
        <f t="shared" si="79"/>
        <v>#REF!</v>
      </c>
      <c r="K973" s="141" t="e">
        <f t="shared" si="80"/>
        <v>#REF!</v>
      </c>
    </row>
    <row r="974" spans="1:11" hidden="1" x14ac:dyDescent="0.25">
      <c r="A974" t="e">
        <f>#REF!</f>
        <v>#REF!</v>
      </c>
      <c r="B974" t="e">
        <f>#REF!</f>
        <v>#REF!</v>
      </c>
      <c r="C974" t="e">
        <f>#REF!</f>
        <v>#REF!</v>
      </c>
      <c r="D974" t="e">
        <f>#REF!</f>
        <v>#REF!</v>
      </c>
      <c r="E974" t="e">
        <f>#REF!</f>
        <v>#REF!</v>
      </c>
      <c r="G974" t="e">
        <f t="shared" si="76"/>
        <v>#REF!</v>
      </c>
      <c r="H974" t="e">
        <f t="shared" si="77"/>
        <v>#REF!</v>
      </c>
      <c r="I974" s="141" t="e">
        <f t="shared" si="78"/>
        <v>#REF!</v>
      </c>
      <c r="J974" t="e">
        <f t="shared" si="79"/>
        <v>#REF!</v>
      </c>
      <c r="K974" s="141" t="e">
        <f t="shared" si="80"/>
        <v>#REF!</v>
      </c>
    </row>
    <row r="975" spans="1:11" hidden="1" x14ac:dyDescent="0.25">
      <c r="A975" t="e">
        <f>#REF!</f>
        <v>#REF!</v>
      </c>
      <c r="B975" t="e">
        <f>#REF!</f>
        <v>#REF!</v>
      </c>
      <c r="C975" t="e">
        <f>#REF!</f>
        <v>#REF!</v>
      </c>
      <c r="D975" t="e">
        <f>#REF!</f>
        <v>#REF!</v>
      </c>
      <c r="E975" t="e">
        <f>#REF!</f>
        <v>#REF!</v>
      </c>
      <c r="G975" t="e">
        <f t="shared" si="76"/>
        <v>#REF!</v>
      </c>
      <c r="H975" t="e">
        <f t="shared" si="77"/>
        <v>#REF!</v>
      </c>
      <c r="I975" s="141" t="e">
        <f t="shared" si="78"/>
        <v>#REF!</v>
      </c>
      <c r="J975" t="e">
        <f t="shared" si="79"/>
        <v>#REF!</v>
      </c>
      <c r="K975" s="141" t="e">
        <f t="shared" si="80"/>
        <v>#REF!</v>
      </c>
    </row>
    <row r="976" spans="1:11" hidden="1" x14ac:dyDescent="0.25">
      <c r="A976" t="e">
        <f>#REF!</f>
        <v>#REF!</v>
      </c>
      <c r="B976" t="e">
        <f>#REF!</f>
        <v>#REF!</v>
      </c>
      <c r="C976" t="e">
        <f>#REF!</f>
        <v>#REF!</v>
      </c>
      <c r="D976" t="e">
        <f>#REF!</f>
        <v>#REF!</v>
      </c>
      <c r="E976" t="e">
        <f>#REF!</f>
        <v>#REF!</v>
      </c>
      <c r="G976" t="e">
        <f t="shared" si="76"/>
        <v>#REF!</v>
      </c>
      <c r="H976" t="e">
        <f t="shared" si="77"/>
        <v>#REF!</v>
      </c>
      <c r="I976" s="141" t="e">
        <f t="shared" si="78"/>
        <v>#REF!</v>
      </c>
      <c r="J976" t="e">
        <f t="shared" si="79"/>
        <v>#REF!</v>
      </c>
      <c r="K976" s="141" t="e">
        <f t="shared" si="80"/>
        <v>#REF!</v>
      </c>
    </row>
    <row r="977" spans="1:11" hidden="1" x14ac:dyDescent="0.25">
      <c r="A977" t="e">
        <f>#REF!</f>
        <v>#REF!</v>
      </c>
      <c r="B977" t="e">
        <f>#REF!</f>
        <v>#REF!</v>
      </c>
      <c r="C977" t="e">
        <f>#REF!</f>
        <v>#REF!</v>
      </c>
      <c r="D977" t="e">
        <f>#REF!</f>
        <v>#REF!</v>
      </c>
      <c r="E977" t="e">
        <f>#REF!</f>
        <v>#REF!</v>
      </c>
      <c r="G977" t="e">
        <f t="shared" si="76"/>
        <v>#REF!</v>
      </c>
      <c r="H977" t="e">
        <f t="shared" si="77"/>
        <v>#REF!</v>
      </c>
      <c r="I977" s="141" t="e">
        <f t="shared" si="78"/>
        <v>#REF!</v>
      </c>
      <c r="J977" t="e">
        <f t="shared" si="79"/>
        <v>#REF!</v>
      </c>
      <c r="K977" s="141" t="e">
        <f t="shared" si="80"/>
        <v>#REF!</v>
      </c>
    </row>
    <row r="978" spans="1:11" hidden="1" x14ac:dyDescent="0.25">
      <c r="A978" t="e">
        <f>#REF!</f>
        <v>#REF!</v>
      </c>
      <c r="B978" t="e">
        <f>#REF!</f>
        <v>#REF!</v>
      </c>
      <c r="C978" t="e">
        <f>#REF!</f>
        <v>#REF!</v>
      </c>
      <c r="D978" t="e">
        <f>#REF!</f>
        <v>#REF!</v>
      </c>
      <c r="E978" t="e">
        <f>#REF!</f>
        <v>#REF!</v>
      </c>
      <c r="G978" t="e">
        <f t="shared" si="76"/>
        <v>#REF!</v>
      </c>
      <c r="H978" t="e">
        <f t="shared" si="77"/>
        <v>#REF!</v>
      </c>
      <c r="I978" s="141" t="e">
        <f t="shared" si="78"/>
        <v>#REF!</v>
      </c>
      <c r="J978" t="e">
        <f t="shared" si="79"/>
        <v>#REF!</v>
      </c>
      <c r="K978" s="141" t="e">
        <f t="shared" si="80"/>
        <v>#REF!</v>
      </c>
    </row>
    <row r="979" spans="1:11" hidden="1" x14ac:dyDescent="0.25">
      <c r="A979" t="e">
        <f>#REF!</f>
        <v>#REF!</v>
      </c>
      <c r="B979" t="e">
        <f>#REF!</f>
        <v>#REF!</v>
      </c>
      <c r="C979" t="e">
        <f>#REF!</f>
        <v>#REF!</v>
      </c>
      <c r="D979" t="e">
        <f>#REF!</f>
        <v>#REF!</v>
      </c>
      <c r="E979" t="e">
        <f>#REF!</f>
        <v>#REF!</v>
      </c>
      <c r="G979" t="e">
        <f t="shared" si="76"/>
        <v>#REF!</v>
      </c>
      <c r="H979" t="e">
        <f t="shared" si="77"/>
        <v>#REF!</v>
      </c>
      <c r="I979" s="141" t="e">
        <f t="shared" si="78"/>
        <v>#REF!</v>
      </c>
      <c r="J979" t="e">
        <f t="shared" si="79"/>
        <v>#REF!</v>
      </c>
      <c r="K979" s="141" t="e">
        <f t="shared" si="80"/>
        <v>#REF!</v>
      </c>
    </row>
    <row r="980" spans="1:11" hidden="1" x14ac:dyDescent="0.25">
      <c r="A980" t="e">
        <f>#REF!</f>
        <v>#REF!</v>
      </c>
      <c r="B980" t="e">
        <f>#REF!</f>
        <v>#REF!</v>
      </c>
      <c r="C980" t="e">
        <f>#REF!</f>
        <v>#REF!</v>
      </c>
      <c r="D980" t="e">
        <f>#REF!</f>
        <v>#REF!</v>
      </c>
      <c r="E980" t="e">
        <f>#REF!</f>
        <v>#REF!</v>
      </c>
      <c r="G980" t="e">
        <f t="shared" si="76"/>
        <v>#REF!</v>
      </c>
      <c r="H980" t="e">
        <f t="shared" si="77"/>
        <v>#REF!</v>
      </c>
      <c r="I980" s="141" t="e">
        <f t="shared" si="78"/>
        <v>#REF!</v>
      </c>
      <c r="J980" t="e">
        <f t="shared" si="79"/>
        <v>#REF!</v>
      </c>
      <c r="K980" s="141" t="e">
        <f t="shared" si="80"/>
        <v>#REF!</v>
      </c>
    </row>
    <row r="981" spans="1:11" hidden="1" x14ac:dyDescent="0.25">
      <c r="A981" t="e">
        <f>#REF!</f>
        <v>#REF!</v>
      </c>
      <c r="B981" t="e">
        <f>#REF!</f>
        <v>#REF!</v>
      </c>
      <c r="C981" t="e">
        <f>#REF!</f>
        <v>#REF!</v>
      </c>
      <c r="D981" t="e">
        <f>#REF!</f>
        <v>#REF!</v>
      </c>
      <c r="E981" t="e">
        <f>#REF!</f>
        <v>#REF!</v>
      </c>
      <c r="G981" t="e">
        <f t="shared" si="76"/>
        <v>#REF!</v>
      </c>
      <c r="H981" t="e">
        <f t="shared" si="77"/>
        <v>#REF!</v>
      </c>
      <c r="I981" s="141" t="e">
        <f t="shared" si="78"/>
        <v>#REF!</v>
      </c>
      <c r="J981" t="e">
        <f t="shared" si="79"/>
        <v>#REF!</v>
      </c>
      <c r="K981" s="141" t="e">
        <f t="shared" si="80"/>
        <v>#REF!</v>
      </c>
    </row>
    <row r="982" spans="1:11" hidden="1" x14ac:dyDescent="0.25">
      <c r="A982" t="e">
        <f>#REF!</f>
        <v>#REF!</v>
      </c>
      <c r="B982" t="e">
        <f>#REF!</f>
        <v>#REF!</v>
      </c>
      <c r="C982" t="e">
        <f>#REF!</f>
        <v>#REF!</v>
      </c>
      <c r="D982" t="e">
        <f>#REF!</f>
        <v>#REF!</v>
      </c>
      <c r="E982" t="e">
        <f>#REF!</f>
        <v>#REF!</v>
      </c>
      <c r="G982" t="e">
        <f t="shared" si="76"/>
        <v>#REF!</v>
      </c>
      <c r="H982" t="e">
        <f t="shared" si="77"/>
        <v>#REF!</v>
      </c>
      <c r="I982" s="141" t="e">
        <f t="shared" si="78"/>
        <v>#REF!</v>
      </c>
      <c r="J982" t="e">
        <f t="shared" si="79"/>
        <v>#REF!</v>
      </c>
      <c r="K982" s="141" t="e">
        <f t="shared" si="80"/>
        <v>#REF!</v>
      </c>
    </row>
    <row r="983" spans="1:11" hidden="1" x14ac:dyDescent="0.25">
      <c r="A983" t="e">
        <f>#REF!</f>
        <v>#REF!</v>
      </c>
      <c r="B983" t="e">
        <f>#REF!</f>
        <v>#REF!</v>
      </c>
      <c r="C983" t="e">
        <f>#REF!</f>
        <v>#REF!</v>
      </c>
      <c r="D983" t="e">
        <f>#REF!</f>
        <v>#REF!</v>
      </c>
      <c r="E983" t="e">
        <f>#REF!</f>
        <v>#REF!</v>
      </c>
      <c r="G983" t="e">
        <f t="shared" si="76"/>
        <v>#REF!</v>
      </c>
      <c r="H983" t="e">
        <f t="shared" si="77"/>
        <v>#REF!</v>
      </c>
      <c r="I983" s="141" t="e">
        <f t="shared" si="78"/>
        <v>#REF!</v>
      </c>
      <c r="J983" t="e">
        <f t="shared" si="79"/>
        <v>#REF!</v>
      </c>
      <c r="K983" s="141" t="e">
        <f t="shared" si="80"/>
        <v>#REF!</v>
      </c>
    </row>
    <row r="984" spans="1:11" hidden="1" x14ac:dyDescent="0.25">
      <c r="A984" t="e">
        <f>#REF!</f>
        <v>#REF!</v>
      </c>
      <c r="B984" t="e">
        <f>#REF!</f>
        <v>#REF!</v>
      </c>
      <c r="C984" t="e">
        <f>#REF!</f>
        <v>#REF!</v>
      </c>
      <c r="D984" t="e">
        <f>#REF!</f>
        <v>#REF!</v>
      </c>
      <c r="E984" t="e">
        <f>#REF!</f>
        <v>#REF!</v>
      </c>
      <c r="G984" t="e">
        <f t="shared" si="76"/>
        <v>#REF!</v>
      </c>
      <c r="H984" t="e">
        <f t="shared" si="77"/>
        <v>#REF!</v>
      </c>
      <c r="I984" s="141" t="e">
        <f t="shared" si="78"/>
        <v>#REF!</v>
      </c>
      <c r="J984" t="e">
        <f t="shared" si="79"/>
        <v>#REF!</v>
      </c>
      <c r="K984" s="141" t="e">
        <f t="shared" si="80"/>
        <v>#REF!</v>
      </c>
    </row>
    <row r="985" spans="1:11" hidden="1" x14ac:dyDescent="0.25">
      <c r="A985" t="e">
        <f>#REF!</f>
        <v>#REF!</v>
      </c>
      <c r="B985" t="e">
        <f>#REF!</f>
        <v>#REF!</v>
      </c>
      <c r="C985" t="e">
        <f>#REF!</f>
        <v>#REF!</v>
      </c>
      <c r="D985" t="e">
        <f>#REF!</f>
        <v>#REF!</v>
      </c>
      <c r="E985" t="e">
        <f>#REF!</f>
        <v>#REF!</v>
      </c>
      <c r="G985" t="e">
        <f t="shared" si="76"/>
        <v>#REF!</v>
      </c>
      <c r="H985" t="e">
        <f t="shared" si="77"/>
        <v>#REF!</v>
      </c>
      <c r="I985" s="141" t="e">
        <f t="shared" si="78"/>
        <v>#REF!</v>
      </c>
      <c r="J985" t="e">
        <f t="shared" si="79"/>
        <v>#REF!</v>
      </c>
      <c r="K985" s="141" t="e">
        <f t="shared" si="80"/>
        <v>#REF!</v>
      </c>
    </row>
    <row r="986" spans="1:11" hidden="1" x14ac:dyDescent="0.25">
      <c r="A986" t="e">
        <f>#REF!</f>
        <v>#REF!</v>
      </c>
      <c r="B986" t="e">
        <f>#REF!</f>
        <v>#REF!</v>
      </c>
      <c r="C986" t="e">
        <f>#REF!</f>
        <v>#REF!</v>
      </c>
      <c r="D986" t="e">
        <f>#REF!</f>
        <v>#REF!</v>
      </c>
      <c r="E986" t="e">
        <f>#REF!</f>
        <v>#REF!</v>
      </c>
      <c r="G986" t="e">
        <f t="shared" si="76"/>
        <v>#REF!</v>
      </c>
      <c r="H986" t="e">
        <f t="shared" si="77"/>
        <v>#REF!</v>
      </c>
      <c r="I986" s="141" t="e">
        <f t="shared" si="78"/>
        <v>#REF!</v>
      </c>
      <c r="J986" t="e">
        <f t="shared" si="79"/>
        <v>#REF!</v>
      </c>
      <c r="K986" s="141" t="e">
        <f t="shared" si="80"/>
        <v>#REF!</v>
      </c>
    </row>
    <row r="987" spans="1:11" hidden="1" x14ac:dyDescent="0.25">
      <c r="A987" t="e">
        <f>#REF!</f>
        <v>#REF!</v>
      </c>
      <c r="B987" t="e">
        <f>#REF!</f>
        <v>#REF!</v>
      </c>
      <c r="C987" t="e">
        <f>#REF!</f>
        <v>#REF!</v>
      </c>
      <c r="D987" t="e">
        <f>#REF!</f>
        <v>#REF!</v>
      </c>
      <c r="E987" t="e">
        <f>#REF!</f>
        <v>#REF!</v>
      </c>
      <c r="G987" t="e">
        <f t="shared" si="76"/>
        <v>#REF!</v>
      </c>
      <c r="H987" t="e">
        <f t="shared" si="77"/>
        <v>#REF!</v>
      </c>
      <c r="I987" s="141" t="e">
        <f t="shared" si="78"/>
        <v>#REF!</v>
      </c>
      <c r="J987" t="e">
        <f t="shared" si="79"/>
        <v>#REF!</v>
      </c>
      <c r="K987" s="141" t="e">
        <f t="shared" si="80"/>
        <v>#REF!</v>
      </c>
    </row>
    <row r="988" spans="1:11" hidden="1" x14ac:dyDescent="0.25">
      <c r="A988" t="e">
        <f>#REF!</f>
        <v>#REF!</v>
      </c>
      <c r="B988" t="e">
        <f>#REF!</f>
        <v>#REF!</v>
      </c>
      <c r="C988" t="e">
        <f>#REF!</f>
        <v>#REF!</v>
      </c>
      <c r="D988" t="e">
        <f>#REF!</f>
        <v>#REF!</v>
      </c>
      <c r="E988" t="e">
        <f>#REF!</f>
        <v>#REF!</v>
      </c>
      <c r="G988" t="e">
        <f t="shared" si="76"/>
        <v>#REF!</v>
      </c>
      <c r="H988" t="e">
        <f t="shared" si="77"/>
        <v>#REF!</v>
      </c>
      <c r="I988" s="141" t="e">
        <f t="shared" si="78"/>
        <v>#REF!</v>
      </c>
      <c r="J988" t="e">
        <f t="shared" si="79"/>
        <v>#REF!</v>
      </c>
      <c r="K988" s="141" t="e">
        <f t="shared" si="80"/>
        <v>#REF!</v>
      </c>
    </row>
    <row r="989" spans="1:11" hidden="1" x14ac:dyDescent="0.25">
      <c r="A989" t="e">
        <f>#REF!</f>
        <v>#REF!</v>
      </c>
      <c r="B989" t="e">
        <f>#REF!</f>
        <v>#REF!</v>
      </c>
      <c r="C989" t="e">
        <f>#REF!</f>
        <v>#REF!</v>
      </c>
      <c r="D989" t="e">
        <f>#REF!</f>
        <v>#REF!</v>
      </c>
      <c r="E989" t="e">
        <f>#REF!</f>
        <v>#REF!</v>
      </c>
      <c r="G989" t="e">
        <f t="shared" si="76"/>
        <v>#REF!</v>
      </c>
      <c r="H989" t="e">
        <f t="shared" si="77"/>
        <v>#REF!</v>
      </c>
      <c r="I989" s="141" t="e">
        <f t="shared" si="78"/>
        <v>#REF!</v>
      </c>
      <c r="J989" t="e">
        <f t="shared" si="79"/>
        <v>#REF!</v>
      </c>
      <c r="K989" s="141" t="e">
        <f t="shared" si="80"/>
        <v>#REF!</v>
      </c>
    </row>
    <row r="990" spans="1:11" hidden="1" x14ac:dyDescent="0.25">
      <c r="A990" t="e">
        <f>#REF!</f>
        <v>#REF!</v>
      </c>
      <c r="B990" t="e">
        <f>#REF!</f>
        <v>#REF!</v>
      </c>
      <c r="C990" t="e">
        <f>#REF!</f>
        <v>#REF!</v>
      </c>
      <c r="D990" t="e">
        <f>#REF!</f>
        <v>#REF!</v>
      </c>
      <c r="E990" t="e">
        <f>#REF!</f>
        <v>#REF!</v>
      </c>
      <c r="G990" t="e">
        <f t="shared" si="76"/>
        <v>#REF!</v>
      </c>
      <c r="H990" t="e">
        <f t="shared" si="77"/>
        <v>#REF!</v>
      </c>
      <c r="I990" s="141" t="e">
        <f t="shared" si="78"/>
        <v>#REF!</v>
      </c>
      <c r="J990" t="e">
        <f t="shared" si="79"/>
        <v>#REF!</v>
      </c>
      <c r="K990" s="141" t="e">
        <f t="shared" si="80"/>
        <v>#REF!</v>
      </c>
    </row>
    <row r="991" spans="1:11" hidden="1" x14ac:dyDescent="0.25">
      <c r="A991" t="e">
        <f>#REF!</f>
        <v>#REF!</v>
      </c>
      <c r="B991" t="e">
        <f>#REF!</f>
        <v>#REF!</v>
      </c>
      <c r="C991" t="e">
        <f>#REF!</f>
        <v>#REF!</v>
      </c>
      <c r="D991" t="e">
        <f>#REF!</f>
        <v>#REF!</v>
      </c>
      <c r="E991" t="e">
        <f>#REF!</f>
        <v>#REF!</v>
      </c>
      <c r="G991" t="e">
        <f t="shared" si="76"/>
        <v>#REF!</v>
      </c>
      <c r="H991" t="e">
        <f t="shared" si="77"/>
        <v>#REF!</v>
      </c>
      <c r="I991" s="141" t="e">
        <f t="shared" si="78"/>
        <v>#REF!</v>
      </c>
      <c r="J991" t="e">
        <f t="shared" si="79"/>
        <v>#REF!</v>
      </c>
      <c r="K991" s="141" t="e">
        <f t="shared" si="80"/>
        <v>#REF!</v>
      </c>
    </row>
    <row r="992" spans="1:11" hidden="1" x14ac:dyDescent="0.25">
      <c r="A992" t="e">
        <f>#REF!</f>
        <v>#REF!</v>
      </c>
      <c r="B992" t="e">
        <f>#REF!</f>
        <v>#REF!</v>
      </c>
      <c r="C992" t="e">
        <f>#REF!</f>
        <v>#REF!</v>
      </c>
      <c r="D992" t="e">
        <f>#REF!</f>
        <v>#REF!</v>
      </c>
      <c r="E992" t="e">
        <f>#REF!</f>
        <v>#REF!</v>
      </c>
      <c r="G992" t="e">
        <f t="shared" si="76"/>
        <v>#REF!</v>
      </c>
      <c r="H992" t="e">
        <f t="shared" si="77"/>
        <v>#REF!</v>
      </c>
      <c r="I992" s="141" t="e">
        <f t="shared" si="78"/>
        <v>#REF!</v>
      </c>
      <c r="J992" t="e">
        <f t="shared" si="79"/>
        <v>#REF!</v>
      </c>
      <c r="K992" s="141" t="e">
        <f t="shared" si="80"/>
        <v>#REF!</v>
      </c>
    </row>
    <row r="993" spans="1:11" hidden="1" x14ac:dyDescent="0.25">
      <c r="A993" t="e">
        <f>#REF!</f>
        <v>#REF!</v>
      </c>
      <c r="B993" t="e">
        <f>#REF!</f>
        <v>#REF!</v>
      </c>
      <c r="C993" t="e">
        <f>#REF!</f>
        <v>#REF!</v>
      </c>
      <c r="D993" t="e">
        <f>#REF!</f>
        <v>#REF!</v>
      </c>
      <c r="E993" t="e">
        <f>#REF!</f>
        <v>#REF!</v>
      </c>
      <c r="G993" t="e">
        <f t="shared" si="76"/>
        <v>#REF!</v>
      </c>
      <c r="H993" t="e">
        <f t="shared" si="77"/>
        <v>#REF!</v>
      </c>
      <c r="I993" s="141" t="e">
        <f t="shared" si="78"/>
        <v>#REF!</v>
      </c>
      <c r="J993" t="e">
        <f t="shared" si="79"/>
        <v>#REF!</v>
      </c>
      <c r="K993" s="141" t="e">
        <f t="shared" si="80"/>
        <v>#REF!</v>
      </c>
    </row>
    <row r="994" spans="1:11" hidden="1" x14ac:dyDescent="0.25">
      <c r="A994" t="e">
        <f>#REF!</f>
        <v>#REF!</v>
      </c>
      <c r="B994" t="e">
        <f>#REF!</f>
        <v>#REF!</v>
      </c>
      <c r="C994" t="e">
        <f>#REF!</f>
        <v>#REF!</v>
      </c>
      <c r="D994" t="e">
        <f>#REF!</f>
        <v>#REF!</v>
      </c>
      <c r="E994" t="e">
        <f>#REF!</f>
        <v>#REF!</v>
      </c>
      <c r="G994" t="e">
        <f t="shared" si="76"/>
        <v>#REF!</v>
      </c>
      <c r="H994" t="e">
        <f t="shared" si="77"/>
        <v>#REF!</v>
      </c>
      <c r="I994" s="141" t="e">
        <f t="shared" si="78"/>
        <v>#REF!</v>
      </c>
      <c r="J994" t="e">
        <f t="shared" si="79"/>
        <v>#REF!</v>
      </c>
      <c r="K994" s="141" t="e">
        <f t="shared" si="80"/>
        <v>#REF!</v>
      </c>
    </row>
    <row r="995" spans="1:11" hidden="1" x14ac:dyDescent="0.25">
      <c r="A995" t="e">
        <f>#REF!</f>
        <v>#REF!</v>
      </c>
      <c r="B995" t="e">
        <f>#REF!</f>
        <v>#REF!</v>
      </c>
      <c r="C995" t="e">
        <f>#REF!</f>
        <v>#REF!</v>
      </c>
      <c r="D995" t="e">
        <f>#REF!</f>
        <v>#REF!</v>
      </c>
      <c r="E995" t="e">
        <f>#REF!</f>
        <v>#REF!</v>
      </c>
      <c r="G995" t="e">
        <f t="shared" si="76"/>
        <v>#REF!</v>
      </c>
      <c r="H995" t="e">
        <f t="shared" si="77"/>
        <v>#REF!</v>
      </c>
      <c r="I995" s="141" t="e">
        <f t="shared" si="78"/>
        <v>#REF!</v>
      </c>
      <c r="J995" t="e">
        <f t="shared" si="79"/>
        <v>#REF!</v>
      </c>
      <c r="K995" s="141" t="e">
        <f t="shared" si="80"/>
        <v>#REF!</v>
      </c>
    </row>
    <row r="996" spans="1:11" hidden="1" x14ac:dyDescent="0.25">
      <c r="A996" t="e">
        <f>#REF!</f>
        <v>#REF!</v>
      </c>
      <c r="B996" t="e">
        <f>#REF!</f>
        <v>#REF!</v>
      </c>
      <c r="C996" t="e">
        <f>#REF!</f>
        <v>#REF!</v>
      </c>
      <c r="D996" t="e">
        <f>#REF!</f>
        <v>#REF!</v>
      </c>
      <c r="E996" t="e">
        <f>#REF!</f>
        <v>#REF!</v>
      </c>
      <c r="G996" t="e">
        <f t="shared" si="76"/>
        <v>#REF!</v>
      </c>
      <c r="H996" t="e">
        <f t="shared" si="77"/>
        <v>#REF!</v>
      </c>
      <c r="I996" s="141" t="e">
        <f t="shared" si="78"/>
        <v>#REF!</v>
      </c>
      <c r="J996" t="e">
        <f t="shared" si="79"/>
        <v>#REF!</v>
      </c>
      <c r="K996" s="141" t="e">
        <f t="shared" si="80"/>
        <v>#REF!</v>
      </c>
    </row>
    <row r="997" spans="1:11" hidden="1" x14ac:dyDescent="0.25">
      <c r="A997" t="e">
        <f>#REF!</f>
        <v>#REF!</v>
      </c>
      <c r="B997" t="e">
        <f>#REF!</f>
        <v>#REF!</v>
      </c>
      <c r="C997" t="e">
        <f>#REF!</f>
        <v>#REF!</v>
      </c>
      <c r="D997" t="e">
        <f>#REF!</f>
        <v>#REF!</v>
      </c>
      <c r="E997" t="e">
        <f>#REF!</f>
        <v>#REF!</v>
      </c>
      <c r="G997" t="e">
        <f t="shared" si="76"/>
        <v>#REF!</v>
      </c>
      <c r="H997" t="e">
        <f t="shared" si="77"/>
        <v>#REF!</v>
      </c>
      <c r="I997" s="141" t="e">
        <f t="shared" si="78"/>
        <v>#REF!</v>
      </c>
      <c r="J997" t="e">
        <f t="shared" si="79"/>
        <v>#REF!</v>
      </c>
      <c r="K997" s="141" t="e">
        <f t="shared" si="80"/>
        <v>#REF!</v>
      </c>
    </row>
    <row r="998" spans="1:11" hidden="1" x14ac:dyDescent="0.25">
      <c r="A998" t="e">
        <f>#REF!</f>
        <v>#REF!</v>
      </c>
      <c r="B998" t="e">
        <f>#REF!</f>
        <v>#REF!</v>
      </c>
      <c r="C998" t="e">
        <f>#REF!</f>
        <v>#REF!</v>
      </c>
      <c r="D998" t="e">
        <f>#REF!</f>
        <v>#REF!</v>
      </c>
      <c r="E998" t="e">
        <f>#REF!</f>
        <v>#REF!</v>
      </c>
      <c r="G998" t="e">
        <f t="shared" si="76"/>
        <v>#REF!</v>
      </c>
      <c r="H998" t="e">
        <f t="shared" si="77"/>
        <v>#REF!</v>
      </c>
      <c r="I998" s="141" t="e">
        <f t="shared" si="78"/>
        <v>#REF!</v>
      </c>
      <c r="J998" t="e">
        <f t="shared" si="79"/>
        <v>#REF!</v>
      </c>
      <c r="K998" s="141" t="e">
        <f t="shared" si="80"/>
        <v>#REF!</v>
      </c>
    </row>
    <row r="999" spans="1:11" hidden="1" x14ac:dyDescent="0.25">
      <c r="A999" t="e">
        <f>#REF!</f>
        <v>#REF!</v>
      </c>
      <c r="B999" t="e">
        <f>#REF!</f>
        <v>#REF!</v>
      </c>
      <c r="C999" t="e">
        <f>#REF!</f>
        <v>#REF!</v>
      </c>
      <c r="D999" t="e">
        <f>#REF!</f>
        <v>#REF!</v>
      </c>
      <c r="E999" t="e">
        <f>#REF!</f>
        <v>#REF!</v>
      </c>
      <c r="G999" t="e">
        <f t="shared" si="76"/>
        <v>#REF!</v>
      </c>
      <c r="H999" t="e">
        <f t="shared" si="77"/>
        <v>#REF!</v>
      </c>
      <c r="I999" s="141" t="e">
        <f t="shared" si="78"/>
        <v>#REF!</v>
      </c>
      <c r="J999" t="e">
        <f t="shared" si="79"/>
        <v>#REF!</v>
      </c>
      <c r="K999" s="141" t="e">
        <f t="shared" si="80"/>
        <v>#REF!</v>
      </c>
    </row>
    <row r="1000" spans="1:11" hidden="1" x14ac:dyDescent="0.25">
      <c r="A1000" t="e">
        <f>#REF!</f>
        <v>#REF!</v>
      </c>
      <c r="B1000" t="e">
        <f>#REF!</f>
        <v>#REF!</v>
      </c>
      <c r="C1000" t="e">
        <f>#REF!</f>
        <v>#REF!</v>
      </c>
      <c r="D1000" t="e">
        <f>#REF!</f>
        <v>#REF!</v>
      </c>
      <c r="E1000" t="e">
        <f>#REF!</f>
        <v>#REF!</v>
      </c>
      <c r="G1000" t="e">
        <f t="shared" si="76"/>
        <v>#REF!</v>
      </c>
      <c r="H1000" t="e">
        <f t="shared" si="77"/>
        <v>#REF!</v>
      </c>
      <c r="I1000" s="141" t="e">
        <f t="shared" si="78"/>
        <v>#REF!</v>
      </c>
      <c r="J1000" t="e">
        <f t="shared" si="79"/>
        <v>#REF!</v>
      </c>
      <c r="K1000" s="141" t="e">
        <f t="shared" si="80"/>
        <v>#REF!</v>
      </c>
    </row>
    <row r="1001" spans="1:11" hidden="1" x14ac:dyDescent="0.25">
      <c r="A1001" t="e">
        <f>#REF!</f>
        <v>#REF!</v>
      </c>
      <c r="B1001" t="e">
        <f>#REF!</f>
        <v>#REF!</v>
      </c>
      <c r="C1001" t="e">
        <f>#REF!</f>
        <v>#REF!</v>
      </c>
      <c r="D1001" t="e">
        <f>#REF!</f>
        <v>#REF!</v>
      </c>
      <c r="E1001" t="e">
        <f>#REF!</f>
        <v>#REF!</v>
      </c>
      <c r="G1001" t="e">
        <f t="shared" si="76"/>
        <v>#REF!</v>
      </c>
      <c r="H1001" t="e">
        <f t="shared" si="77"/>
        <v>#REF!</v>
      </c>
      <c r="I1001" s="141" t="e">
        <f t="shared" si="78"/>
        <v>#REF!</v>
      </c>
      <c r="J1001" t="e">
        <f t="shared" si="79"/>
        <v>#REF!</v>
      </c>
      <c r="K1001" s="141" t="e">
        <f t="shared" si="80"/>
        <v>#REF!</v>
      </c>
    </row>
    <row r="1002" spans="1:11" hidden="1" x14ac:dyDescent="0.25">
      <c r="A1002" t="e">
        <f>#REF!</f>
        <v>#REF!</v>
      </c>
      <c r="B1002" t="e">
        <f>#REF!</f>
        <v>#REF!</v>
      </c>
      <c r="C1002" t="e">
        <f>#REF!</f>
        <v>#REF!</v>
      </c>
      <c r="D1002" t="e">
        <f>#REF!</f>
        <v>#REF!</v>
      </c>
      <c r="E1002" t="e">
        <f>#REF!</f>
        <v>#REF!</v>
      </c>
      <c r="G1002" t="e">
        <f t="shared" si="76"/>
        <v>#REF!</v>
      </c>
      <c r="H1002" t="e">
        <f t="shared" si="77"/>
        <v>#REF!</v>
      </c>
      <c r="I1002" s="141" t="e">
        <f t="shared" si="78"/>
        <v>#REF!</v>
      </c>
      <c r="J1002" t="e">
        <f t="shared" si="79"/>
        <v>#REF!</v>
      </c>
      <c r="K1002" s="141" t="e">
        <f t="shared" si="80"/>
        <v>#REF!</v>
      </c>
    </row>
    <row r="1003" spans="1:11" hidden="1" x14ac:dyDescent="0.25">
      <c r="A1003" t="e">
        <f>#REF!</f>
        <v>#REF!</v>
      </c>
      <c r="B1003" t="e">
        <f>#REF!</f>
        <v>#REF!</v>
      </c>
      <c r="C1003" t="e">
        <f>#REF!</f>
        <v>#REF!</v>
      </c>
      <c r="D1003" t="e">
        <f>#REF!</f>
        <v>#REF!</v>
      </c>
      <c r="E1003" t="e">
        <f>#REF!</f>
        <v>#REF!</v>
      </c>
      <c r="G1003" t="e">
        <f t="shared" si="76"/>
        <v>#REF!</v>
      </c>
      <c r="H1003" t="e">
        <f t="shared" si="77"/>
        <v>#REF!</v>
      </c>
      <c r="I1003" s="141" t="e">
        <f t="shared" si="78"/>
        <v>#REF!</v>
      </c>
      <c r="J1003" t="e">
        <f t="shared" si="79"/>
        <v>#REF!</v>
      </c>
      <c r="K1003" s="141" t="e">
        <f t="shared" si="80"/>
        <v>#REF!</v>
      </c>
    </row>
    <row r="1004" spans="1:11" hidden="1" x14ac:dyDescent="0.25">
      <c r="A1004" t="e">
        <f>#REF!</f>
        <v>#REF!</v>
      </c>
      <c r="B1004" t="e">
        <f>#REF!</f>
        <v>#REF!</v>
      </c>
      <c r="C1004" t="e">
        <f>#REF!</f>
        <v>#REF!</v>
      </c>
      <c r="D1004" t="e">
        <f>#REF!</f>
        <v>#REF!</v>
      </c>
      <c r="E1004" t="e">
        <f>#REF!</f>
        <v>#REF!</v>
      </c>
      <c r="G1004" t="e">
        <f t="shared" si="76"/>
        <v>#REF!</v>
      </c>
      <c r="H1004" t="e">
        <f t="shared" si="77"/>
        <v>#REF!</v>
      </c>
      <c r="I1004" s="141" t="e">
        <f t="shared" si="78"/>
        <v>#REF!</v>
      </c>
      <c r="J1004" t="e">
        <f t="shared" si="79"/>
        <v>#REF!</v>
      </c>
      <c r="K1004" s="141" t="e">
        <f t="shared" si="80"/>
        <v>#REF!</v>
      </c>
    </row>
    <row r="1005" spans="1:11" hidden="1" x14ac:dyDescent="0.25">
      <c r="A1005" t="e">
        <f>#REF!</f>
        <v>#REF!</v>
      </c>
      <c r="B1005" t="e">
        <f>#REF!</f>
        <v>#REF!</v>
      </c>
      <c r="C1005" t="e">
        <f>#REF!</f>
        <v>#REF!</v>
      </c>
      <c r="D1005" t="e">
        <f>#REF!</f>
        <v>#REF!</v>
      </c>
      <c r="E1005" t="e">
        <f>#REF!</f>
        <v>#REF!</v>
      </c>
      <c r="G1005" t="e">
        <f t="shared" si="76"/>
        <v>#REF!</v>
      </c>
      <c r="H1005" t="e">
        <f t="shared" si="77"/>
        <v>#REF!</v>
      </c>
      <c r="I1005" s="141" t="e">
        <f t="shared" si="78"/>
        <v>#REF!</v>
      </c>
      <c r="J1005" t="e">
        <f t="shared" si="79"/>
        <v>#REF!</v>
      </c>
      <c r="K1005" s="141" t="e">
        <f t="shared" si="80"/>
        <v>#REF!</v>
      </c>
    </row>
    <row r="1006" spans="1:11" hidden="1" x14ac:dyDescent="0.25">
      <c r="A1006" t="e">
        <f>#REF!</f>
        <v>#REF!</v>
      </c>
      <c r="B1006" t="e">
        <f>#REF!</f>
        <v>#REF!</v>
      </c>
      <c r="C1006" t="e">
        <f>#REF!</f>
        <v>#REF!</v>
      </c>
      <c r="D1006" t="e">
        <f>#REF!</f>
        <v>#REF!</v>
      </c>
      <c r="E1006" t="e">
        <f>#REF!</f>
        <v>#REF!</v>
      </c>
      <c r="G1006" t="e">
        <f t="shared" si="76"/>
        <v>#REF!</v>
      </c>
      <c r="H1006" t="e">
        <f t="shared" si="77"/>
        <v>#REF!</v>
      </c>
      <c r="I1006" s="141" t="e">
        <f t="shared" si="78"/>
        <v>#REF!</v>
      </c>
      <c r="J1006" t="e">
        <f t="shared" si="79"/>
        <v>#REF!</v>
      </c>
      <c r="K1006" s="141" t="e">
        <f t="shared" si="80"/>
        <v>#REF!</v>
      </c>
    </row>
    <row r="1007" spans="1:11" hidden="1" x14ac:dyDescent="0.25">
      <c r="A1007" t="e">
        <f>#REF!</f>
        <v>#REF!</v>
      </c>
      <c r="B1007" t="e">
        <f>#REF!</f>
        <v>#REF!</v>
      </c>
      <c r="C1007" t="e">
        <f>#REF!</f>
        <v>#REF!</v>
      </c>
      <c r="D1007" t="e">
        <f>#REF!</f>
        <v>#REF!</v>
      </c>
      <c r="E1007" t="e">
        <f>#REF!</f>
        <v>#REF!</v>
      </c>
      <c r="G1007" t="e">
        <f t="shared" si="76"/>
        <v>#REF!</v>
      </c>
      <c r="H1007" t="e">
        <f t="shared" si="77"/>
        <v>#REF!</v>
      </c>
      <c r="I1007" s="141" t="e">
        <f t="shared" si="78"/>
        <v>#REF!</v>
      </c>
      <c r="J1007" t="e">
        <f t="shared" si="79"/>
        <v>#REF!</v>
      </c>
      <c r="K1007" s="141" t="e">
        <f t="shared" si="80"/>
        <v>#REF!</v>
      </c>
    </row>
    <row r="1008" spans="1:11" hidden="1" x14ac:dyDescent="0.25">
      <c r="A1008" t="e">
        <f>#REF!</f>
        <v>#REF!</v>
      </c>
      <c r="B1008" t="e">
        <f>#REF!</f>
        <v>#REF!</v>
      </c>
      <c r="C1008" t="e">
        <f>#REF!</f>
        <v>#REF!</v>
      </c>
      <c r="D1008" t="e">
        <f>#REF!</f>
        <v>#REF!</v>
      </c>
      <c r="E1008" t="e">
        <f>#REF!</f>
        <v>#REF!</v>
      </c>
      <c r="G1008" t="e">
        <f t="shared" si="76"/>
        <v>#REF!</v>
      </c>
      <c r="H1008" t="e">
        <f t="shared" si="77"/>
        <v>#REF!</v>
      </c>
      <c r="I1008" s="141" t="e">
        <f t="shared" si="78"/>
        <v>#REF!</v>
      </c>
      <c r="J1008" t="e">
        <f t="shared" si="79"/>
        <v>#REF!</v>
      </c>
      <c r="K1008" s="141" t="e">
        <f t="shared" si="80"/>
        <v>#REF!</v>
      </c>
    </row>
    <row r="1009" spans="1:11" hidden="1" x14ac:dyDescent="0.25">
      <c r="A1009" t="e">
        <f>#REF!</f>
        <v>#REF!</v>
      </c>
      <c r="B1009" t="e">
        <f>#REF!</f>
        <v>#REF!</v>
      </c>
      <c r="C1009" t="e">
        <f>#REF!</f>
        <v>#REF!</v>
      </c>
      <c r="D1009" t="e">
        <f>#REF!</f>
        <v>#REF!</v>
      </c>
      <c r="E1009" t="e">
        <f>#REF!</f>
        <v>#REF!</v>
      </c>
      <c r="G1009" t="e">
        <f t="shared" si="76"/>
        <v>#REF!</v>
      </c>
      <c r="H1009" t="e">
        <f t="shared" si="77"/>
        <v>#REF!</v>
      </c>
      <c r="I1009" s="141" t="e">
        <f t="shared" si="78"/>
        <v>#REF!</v>
      </c>
      <c r="J1009" t="e">
        <f t="shared" si="79"/>
        <v>#REF!</v>
      </c>
      <c r="K1009" s="141" t="e">
        <f t="shared" si="80"/>
        <v>#REF!</v>
      </c>
    </row>
    <row r="1010" spans="1:11" hidden="1" x14ac:dyDescent="0.25">
      <c r="A1010" t="e">
        <f>#REF!</f>
        <v>#REF!</v>
      </c>
      <c r="B1010" t="e">
        <f>#REF!</f>
        <v>#REF!</v>
      </c>
      <c r="C1010" t="e">
        <f>#REF!</f>
        <v>#REF!</v>
      </c>
      <c r="D1010" t="e">
        <f>#REF!</f>
        <v>#REF!</v>
      </c>
      <c r="E1010" t="e">
        <f>#REF!</f>
        <v>#REF!</v>
      </c>
      <c r="G1010" t="e">
        <f t="shared" si="76"/>
        <v>#REF!</v>
      </c>
      <c r="H1010" t="e">
        <f t="shared" si="77"/>
        <v>#REF!</v>
      </c>
      <c r="I1010" s="141" t="e">
        <f t="shared" si="78"/>
        <v>#REF!</v>
      </c>
      <c r="J1010" t="e">
        <f t="shared" si="79"/>
        <v>#REF!</v>
      </c>
      <c r="K1010" s="141" t="e">
        <f t="shared" si="80"/>
        <v>#REF!</v>
      </c>
    </row>
    <row r="1011" spans="1:11" hidden="1" x14ac:dyDescent="0.25">
      <c r="A1011" t="e">
        <f>#REF!</f>
        <v>#REF!</v>
      </c>
      <c r="B1011" t="e">
        <f>#REF!</f>
        <v>#REF!</v>
      </c>
      <c r="C1011" t="e">
        <f>#REF!</f>
        <v>#REF!</v>
      </c>
      <c r="D1011" t="e">
        <f>#REF!</f>
        <v>#REF!</v>
      </c>
      <c r="E1011" t="e">
        <f>#REF!</f>
        <v>#REF!</v>
      </c>
      <c r="G1011" t="e">
        <f t="shared" si="76"/>
        <v>#REF!</v>
      </c>
      <c r="H1011" t="e">
        <f t="shared" si="77"/>
        <v>#REF!</v>
      </c>
      <c r="I1011" s="141" t="e">
        <f t="shared" si="78"/>
        <v>#REF!</v>
      </c>
      <c r="J1011" t="e">
        <f t="shared" si="79"/>
        <v>#REF!</v>
      </c>
      <c r="K1011" s="141" t="e">
        <f t="shared" si="80"/>
        <v>#REF!</v>
      </c>
    </row>
    <row r="1012" spans="1:11" hidden="1" x14ac:dyDescent="0.25">
      <c r="A1012" t="e">
        <f>#REF!</f>
        <v>#REF!</v>
      </c>
      <c r="B1012" t="e">
        <f>#REF!</f>
        <v>#REF!</v>
      </c>
      <c r="C1012" t="e">
        <f>#REF!</f>
        <v>#REF!</v>
      </c>
      <c r="D1012" t="e">
        <f>#REF!</f>
        <v>#REF!</v>
      </c>
      <c r="E1012" t="e">
        <f>#REF!</f>
        <v>#REF!</v>
      </c>
      <c r="G1012" t="e">
        <f t="shared" si="76"/>
        <v>#REF!</v>
      </c>
      <c r="H1012" t="e">
        <f t="shared" si="77"/>
        <v>#REF!</v>
      </c>
      <c r="I1012" s="141" t="e">
        <f t="shared" si="78"/>
        <v>#REF!</v>
      </c>
      <c r="J1012" t="e">
        <f t="shared" si="79"/>
        <v>#REF!</v>
      </c>
      <c r="K1012" s="141" t="e">
        <f t="shared" si="80"/>
        <v>#REF!</v>
      </c>
    </row>
    <row r="1013" spans="1:11" hidden="1" x14ac:dyDescent="0.25">
      <c r="A1013" t="e">
        <f>#REF!</f>
        <v>#REF!</v>
      </c>
      <c r="B1013" t="e">
        <f>#REF!</f>
        <v>#REF!</v>
      </c>
      <c r="C1013" t="e">
        <f>#REF!</f>
        <v>#REF!</v>
      </c>
      <c r="D1013" t="e">
        <f>#REF!</f>
        <v>#REF!</v>
      </c>
      <c r="E1013" t="e">
        <f>#REF!</f>
        <v>#REF!</v>
      </c>
      <c r="G1013" t="e">
        <f t="shared" si="76"/>
        <v>#REF!</v>
      </c>
      <c r="H1013" t="e">
        <f t="shared" si="77"/>
        <v>#REF!</v>
      </c>
      <c r="I1013" s="141" t="e">
        <f t="shared" si="78"/>
        <v>#REF!</v>
      </c>
      <c r="J1013" t="e">
        <f t="shared" si="79"/>
        <v>#REF!</v>
      </c>
      <c r="K1013" s="141" t="e">
        <f t="shared" si="80"/>
        <v>#REF!</v>
      </c>
    </row>
    <row r="1014" spans="1:11" hidden="1" x14ac:dyDescent="0.25">
      <c r="A1014" t="e">
        <f>#REF!</f>
        <v>#REF!</v>
      </c>
      <c r="B1014" t="e">
        <f>#REF!</f>
        <v>#REF!</v>
      </c>
      <c r="C1014" t="e">
        <f>#REF!</f>
        <v>#REF!</v>
      </c>
      <c r="D1014" t="e">
        <f>#REF!</f>
        <v>#REF!</v>
      </c>
      <c r="E1014" t="e">
        <f>#REF!</f>
        <v>#REF!</v>
      </c>
      <c r="G1014" t="e">
        <f t="shared" si="76"/>
        <v>#REF!</v>
      </c>
      <c r="H1014" t="e">
        <f t="shared" si="77"/>
        <v>#REF!</v>
      </c>
      <c r="I1014" s="141" t="e">
        <f t="shared" si="78"/>
        <v>#REF!</v>
      </c>
      <c r="J1014" t="e">
        <f t="shared" si="79"/>
        <v>#REF!</v>
      </c>
      <c r="K1014" s="141" t="e">
        <f t="shared" si="80"/>
        <v>#REF!</v>
      </c>
    </row>
    <row r="1015" spans="1:11" hidden="1" x14ac:dyDescent="0.25">
      <c r="A1015" t="e">
        <f>#REF!</f>
        <v>#REF!</v>
      </c>
      <c r="B1015" t="e">
        <f>#REF!</f>
        <v>#REF!</v>
      </c>
      <c r="C1015" t="e">
        <f>#REF!</f>
        <v>#REF!</v>
      </c>
      <c r="D1015" t="e">
        <f>#REF!</f>
        <v>#REF!</v>
      </c>
      <c r="E1015" t="e">
        <f>#REF!</f>
        <v>#REF!</v>
      </c>
      <c r="G1015" t="e">
        <f t="shared" si="76"/>
        <v>#REF!</v>
      </c>
      <c r="H1015" t="e">
        <f t="shared" si="77"/>
        <v>#REF!</v>
      </c>
      <c r="I1015" s="141" t="e">
        <f t="shared" si="78"/>
        <v>#REF!</v>
      </c>
      <c r="J1015" t="e">
        <f t="shared" si="79"/>
        <v>#REF!</v>
      </c>
      <c r="K1015" s="141" t="e">
        <f t="shared" si="80"/>
        <v>#REF!</v>
      </c>
    </row>
    <row r="1016" spans="1:11" hidden="1" x14ac:dyDescent="0.25">
      <c r="A1016" t="e">
        <f>#REF!</f>
        <v>#REF!</v>
      </c>
      <c r="B1016" t="e">
        <f>#REF!</f>
        <v>#REF!</v>
      </c>
      <c r="C1016" t="e">
        <f>#REF!</f>
        <v>#REF!</v>
      </c>
      <c r="D1016" t="e">
        <f>#REF!</f>
        <v>#REF!</v>
      </c>
      <c r="E1016" t="e">
        <f>#REF!</f>
        <v>#REF!</v>
      </c>
      <c r="G1016" t="e">
        <f t="shared" si="76"/>
        <v>#REF!</v>
      </c>
      <c r="H1016" t="e">
        <f t="shared" si="77"/>
        <v>#REF!</v>
      </c>
      <c r="I1016" s="141" t="e">
        <f t="shared" si="78"/>
        <v>#REF!</v>
      </c>
      <c r="J1016" t="e">
        <f t="shared" si="79"/>
        <v>#REF!</v>
      </c>
      <c r="K1016" s="141" t="e">
        <f t="shared" si="80"/>
        <v>#REF!</v>
      </c>
    </row>
    <row r="1017" spans="1:11" hidden="1" x14ac:dyDescent="0.25">
      <c r="A1017" t="e">
        <f>#REF!</f>
        <v>#REF!</v>
      </c>
      <c r="B1017" t="e">
        <f>#REF!</f>
        <v>#REF!</v>
      </c>
      <c r="C1017" t="e">
        <f>#REF!</f>
        <v>#REF!</v>
      </c>
      <c r="D1017" t="e">
        <f>#REF!</f>
        <v>#REF!</v>
      </c>
      <c r="E1017" t="e">
        <f>#REF!</f>
        <v>#REF!</v>
      </c>
      <c r="G1017" t="e">
        <f t="shared" si="76"/>
        <v>#REF!</v>
      </c>
      <c r="H1017" t="e">
        <f t="shared" si="77"/>
        <v>#REF!</v>
      </c>
      <c r="I1017" s="141" t="e">
        <f t="shared" si="78"/>
        <v>#REF!</v>
      </c>
      <c r="J1017" t="e">
        <f t="shared" si="79"/>
        <v>#REF!</v>
      </c>
      <c r="K1017" s="141" t="e">
        <f t="shared" si="80"/>
        <v>#REF!</v>
      </c>
    </row>
    <row r="1018" spans="1:11" hidden="1" x14ac:dyDescent="0.25">
      <c r="A1018" t="e">
        <f>#REF!</f>
        <v>#REF!</v>
      </c>
      <c r="B1018" t="e">
        <f>#REF!</f>
        <v>#REF!</v>
      </c>
      <c r="C1018" t="e">
        <f>#REF!</f>
        <v>#REF!</v>
      </c>
      <c r="D1018" t="e">
        <f>#REF!</f>
        <v>#REF!</v>
      </c>
      <c r="E1018" t="e">
        <f>#REF!</f>
        <v>#REF!</v>
      </c>
      <c r="G1018" t="e">
        <f t="shared" si="76"/>
        <v>#REF!</v>
      </c>
      <c r="H1018" t="e">
        <f t="shared" si="77"/>
        <v>#REF!</v>
      </c>
      <c r="I1018" s="141" t="e">
        <f t="shared" si="78"/>
        <v>#REF!</v>
      </c>
      <c r="J1018" t="e">
        <f t="shared" si="79"/>
        <v>#REF!</v>
      </c>
      <c r="K1018" s="141" t="e">
        <f t="shared" si="80"/>
        <v>#REF!</v>
      </c>
    </row>
    <row r="1019" spans="1:11" hidden="1" x14ac:dyDescent="0.25">
      <c r="A1019" t="e">
        <f>#REF!</f>
        <v>#REF!</v>
      </c>
      <c r="B1019" t="e">
        <f>#REF!</f>
        <v>#REF!</v>
      </c>
      <c r="C1019" t="e">
        <f>#REF!</f>
        <v>#REF!</v>
      </c>
      <c r="D1019" t="e">
        <f>#REF!</f>
        <v>#REF!</v>
      </c>
      <c r="E1019" t="e">
        <f>#REF!</f>
        <v>#REF!</v>
      </c>
      <c r="G1019" t="e">
        <f t="shared" si="76"/>
        <v>#REF!</v>
      </c>
      <c r="H1019" t="e">
        <f t="shared" si="77"/>
        <v>#REF!</v>
      </c>
      <c r="I1019" s="141" t="e">
        <f t="shared" si="78"/>
        <v>#REF!</v>
      </c>
      <c r="J1019" t="e">
        <f t="shared" si="79"/>
        <v>#REF!</v>
      </c>
      <c r="K1019" s="141" t="e">
        <f t="shared" si="80"/>
        <v>#REF!</v>
      </c>
    </row>
    <row r="1020" spans="1:11" hidden="1" x14ac:dyDescent="0.25">
      <c r="A1020" t="e">
        <f>#REF!</f>
        <v>#REF!</v>
      </c>
      <c r="B1020" t="e">
        <f>#REF!</f>
        <v>#REF!</v>
      </c>
      <c r="C1020" t="e">
        <f>#REF!</f>
        <v>#REF!</v>
      </c>
      <c r="D1020" t="e">
        <f>#REF!</f>
        <v>#REF!</v>
      </c>
      <c r="E1020" t="e">
        <f>#REF!</f>
        <v>#REF!</v>
      </c>
      <c r="G1020" t="e">
        <f t="shared" si="76"/>
        <v>#REF!</v>
      </c>
      <c r="H1020" t="e">
        <f t="shared" si="77"/>
        <v>#REF!</v>
      </c>
      <c r="I1020" s="141" t="e">
        <f t="shared" si="78"/>
        <v>#REF!</v>
      </c>
      <c r="J1020" t="e">
        <f t="shared" si="79"/>
        <v>#REF!</v>
      </c>
      <c r="K1020" s="141" t="e">
        <f t="shared" si="80"/>
        <v>#REF!</v>
      </c>
    </row>
    <row r="1021" spans="1:11" hidden="1" x14ac:dyDescent="0.25">
      <c r="A1021" t="e">
        <f>#REF!</f>
        <v>#REF!</v>
      </c>
      <c r="B1021" t="e">
        <f>#REF!</f>
        <v>#REF!</v>
      </c>
      <c r="C1021" t="e">
        <f>#REF!</f>
        <v>#REF!</v>
      </c>
      <c r="D1021" t="e">
        <f>#REF!</f>
        <v>#REF!</v>
      </c>
      <c r="E1021" t="e">
        <f>#REF!</f>
        <v>#REF!</v>
      </c>
      <c r="G1021" t="e">
        <f t="shared" si="76"/>
        <v>#REF!</v>
      </c>
      <c r="H1021" t="e">
        <f t="shared" si="77"/>
        <v>#REF!</v>
      </c>
      <c r="I1021" s="141" t="e">
        <f t="shared" si="78"/>
        <v>#REF!</v>
      </c>
      <c r="J1021" t="e">
        <f t="shared" si="79"/>
        <v>#REF!</v>
      </c>
      <c r="K1021" s="141" t="e">
        <f t="shared" si="80"/>
        <v>#REF!</v>
      </c>
    </row>
    <row r="1022" spans="1:11" hidden="1" x14ac:dyDescent="0.25">
      <c r="A1022" t="e">
        <f>#REF!</f>
        <v>#REF!</v>
      </c>
      <c r="B1022" t="e">
        <f>#REF!</f>
        <v>#REF!</v>
      </c>
      <c r="C1022" t="e">
        <f>#REF!</f>
        <v>#REF!</v>
      </c>
      <c r="D1022" t="e">
        <f>#REF!</f>
        <v>#REF!</v>
      </c>
      <c r="E1022" t="e">
        <f>#REF!</f>
        <v>#REF!</v>
      </c>
      <c r="G1022" t="e">
        <f t="shared" si="76"/>
        <v>#REF!</v>
      </c>
      <c r="H1022" t="e">
        <f t="shared" si="77"/>
        <v>#REF!</v>
      </c>
      <c r="I1022" s="141" t="e">
        <f t="shared" si="78"/>
        <v>#REF!</v>
      </c>
      <c r="J1022" t="e">
        <f t="shared" si="79"/>
        <v>#REF!</v>
      </c>
      <c r="K1022" s="141" t="e">
        <f t="shared" si="80"/>
        <v>#REF!</v>
      </c>
    </row>
    <row r="1023" spans="1:11" hidden="1" x14ac:dyDescent="0.25">
      <c r="A1023" t="e">
        <f>#REF!</f>
        <v>#REF!</v>
      </c>
      <c r="B1023" t="e">
        <f>#REF!</f>
        <v>#REF!</v>
      </c>
      <c r="C1023" t="e">
        <f>#REF!</f>
        <v>#REF!</v>
      </c>
      <c r="D1023" t="e">
        <f>#REF!</f>
        <v>#REF!</v>
      </c>
      <c r="E1023" t="e">
        <f>#REF!</f>
        <v>#REF!</v>
      </c>
      <c r="G1023" t="e">
        <f t="shared" si="76"/>
        <v>#REF!</v>
      </c>
      <c r="H1023" t="e">
        <f t="shared" si="77"/>
        <v>#REF!</v>
      </c>
      <c r="I1023" s="141" t="e">
        <f t="shared" si="78"/>
        <v>#REF!</v>
      </c>
      <c r="J1023" t="e">
        <f t="shared" si="79"/>
        <v>#REF!</v>
      </c>
      <c r="K1023" s="141" t="e">
        <f t="shared" si="80"/>
        <v>#REF!</v>
      </c>
    </row>
    <row r="1024" spans="1:11" hidden="1" x14ac:dyDescent="0.25">
      <c r="A1024" t="e">
        <f>#REF!</f>
        <v>#REF!</v>
      </c>
      <c r="B1024" t="e">
        <f>#REF!</f>
        <v>#REF!</v>
      </c>
      <c r="C1024" t="e">
        <f>#REF!</f>
        <v>#REF!</v>
      </c>
      <c r="D1024" t="e">
        <f>#REF!</f>
        <v>#REF!</v>
      </c>
      <c r="E1024" t="e">
        <f>#REF!</f>
        <v>#REF!</v>
      </c>
      <c r="G1024" t="e">
        <f t="shared" si="76"/>
        <v>#REF!</v>
      </c>
      <c r="H1024" t="e">
        <f t="shared" si="77"/>
        <v>#REF!</v>
      </c>
      <c r="I1024" s="141" t="e">
        <f t="shared" si="78"/>
        <v>#REF!</v>
      </c>
      <c r="J1024" t="e">
        <f t="shared" si="79"/>
        <v>#REF!</v>
      </c>
      <c r="K1024" s="141" t="e">
        <f t="shared" si="80"/>
        <v>#REF!</v>
      </c>
    </row>
    <row r="1025" spans="1:11" hidden="1" x14ac:dyDescent="0.25">
      <c r="A1025" t="e">
        <f>#REF!</f>
        <v>#REF!</v>
      </c>
      <c r="B1025" t="e">
        <f>#REF!</f>
        <v>#REF!</v>
      </c>
      <c r="C1025" t="e">
        <f>#REF!</f>
        <v>#REF!</v>
      </c>
      <c r="D1025" t="e">
        <f>#REF!</f>
        <v>#REF!</v>
      </c>
      <c r="E1025" t="e">
        <f>#REF!</f>
        <v>#REF!</v>
      </c>
      <c r="G1025" t="e">
        <f t="shared" si="76"/>
        <v>#REF!</v>
      </c>
      <c r="H1025" t="e">
        <f t="shared" si="77"/>
        <v>#REF!</v>
      </c>
      <c r="I1025" s="141" t="e">
        <f t="shared" si="78"/>
        <v>#REF!</v>
      </c>
      <c r="J1025" t="e">
        <f t="shared" si="79"/>
        <v>#REF!</v>
      </c>
      <c r="K1025" s="141" t="e">
        <f t="shared" si="80"/>
        <v>#REF!</v>
      </c>
    </row>
    <row r="1026" spans="1:11" hidden="1" x14ac:dyDescent="0.25">
      <c r="A1026" t="e">
        <f>#REF!</f>
        <v>#REF!</v>
      </c>
      <c r="B1026" t="e">
        <f>#REF!</f>
        <v>#REF!</v>
      </c>
      <c r="C1026" t="e">
        <f>#REF!</f>
        <v>#REF!</v>
      </c>
      <c r="D1026" t="e">
        <f>#REF!</f>
        <v>#REF!</v>
      </c>
      <c r="E1026" t="e">
        <f>#REF!</f>
        <v>#REF!</v>
      </c>
      <c r="G1026" t="e">
        <f t="shared" ref="G1026:G1089" si="81">A1026</f>
        <v>#REF!</v>
      </c>
      <c r="H1026" t="e">
        <f t="shared" ref="H1026:H1089" si="82">B1026</f>
        <v>#REF!</v>
      </c>
      <c r="I1026" s="141" t="e">
        <f t="shared" ref="I1026:I1089" si="83">C1026</f>
        <v>#REF!</v>
      </c>
      <c r="J1026" t="e">
        <f t="shared" ref="J1026:J1089" si="84">D1026</f>
        <v>#REF!</v>
      </c>
      <c r="K1026" s="141" t="e">
        <f t="shared" ref="K1026:K1089" si="85">E1026</f>
        <v>#REF!</v>
      </c>
    </row>
    <row r="1027" spans="1:11" hidden="1" x14ac:dyDescent="0.25">
      <c r="A1027" t="e">
        <f>#REF!</f>
        <v>#REF!</v>
      </c>
      <c r="B1027" t="e">
        <f>#REF!</f>
        <v>#REF!</v>
      </c>
      <c r="C1027" t="e">
        <f>#REF!</f>
        <v>#REF!</v>
      </c>
      <c r="D1027" t="e">
        <f>#REF!</f>
        <v>#REF!</v>
      </c>
      <c r="E1027" t="e">
        <f>#REF!</f>
        <v>#REF!</v>
      </c>
      <c r="G1027" t="e">
        <f t="shared" si="81"/>
        <v>#REF!</v>
      </c>
      <c r="H1027" t="e">
        <f t="shared" si="82"/>
        <v>#REF!</v>
      </c>
      <c r="I1027" s="141" t="e">
        <f t="shared" si="83"/>
        <v>#REF!</v>
      </c>
      <c r="J1027" t="e">
        <f t="shared" si="84"/>
        <v>#REF!</v>
      </c>
      <c r="K1027" s="141" t="e">
        <f t="shared" si="85"/>
        <v>#REF!</v>
      </c>
    </row>
    <row r="1028" spans="1:11" hidden="1" x14ac:dyDescent="0.25">
      <c r="A1028" t="e">
        <f>#REF!</f>
        <v>#REF!</v>
      </c>
      <c r="B1028" t="e">
        <f>#REF!</f>
        <v>#REF!</v>
      </c>
      <c r="C1028" t="e">
        <f>#REF!</f>
        <v>#REF!</v>
      </c>
      <c r="D1028" t="e">
        <f>#REF!</f>
        <v>#REF!</v>
      </c>
      <c r="E1028" t="e">
        <f>#REF!</f>
        <v>#REF!</v>
      </c>
      <c r="G1028" t="e">
        <f t="shared" si="81"/>
        <v>#REF!</v>
      </c>
      <c r="H1028" t="e">
        <f t="shared" si="82"/>
        <v>#REF!</v>
      </c>
      <c r="I1028" s="141" t="e">
        <f t="shared" si="83"/>
        <v>#REF!</v>
      </c>
      <c r="J1028" t="e">
        <f t="shared" si="84"/>
        <v>#REF!</v>
      </c>
      <c r="K1028" s="141" t="e">
        <f t="shared" si="85"/>
        <v>#REF!</v>
      </c>
    </row>
    <row r="1029" spans="1:11" hidden="1" x14ac:dyDescent="0.25">
      <c r="A1029" t="e">
        <f>#REF!</f>
        <v>#REF!</v>
      </c>
      <c r="B1029" t="e">
        <f>#REF!</f>
        <v>#REF!</v>
      </c>
      <c r="C1029" t="e">
        <f>#REF!</f>
        <v>#REF!</v>
      </c>
      <c r="D1029" t="e">
        <f>#REF!</f>
        <v>#REF!</v>
      </c>
      <c r="E1029" t="e">
        <f>#REF!</f>
        <v>#REF!</v>
      </c>
      <c r="G1029" t="e">
        <f t="shared" si="81"/>
        <v>#REF!</v>
      </c>
      <c r="H1029" t="e">
        <f t="shared" si="82"/>
        <v>#REF!</v>
      </c>
      <c r="I1029" s="141" t="e">
        <f t="shared" si="83"/>
        <v>#REF!</v>
      </c>
      <c r="J1029" t="e">
        <f t="shared" si="84"/>
        <v>#REF!</v>
      </c>
      <c r="K1029" s="141" t="e">
        <f t="shared" si="85"/>
        <v>#REF!</v>
      </c>
    </row>
    <row r="1030" spans="1:11" hidden="1" x14ac:dyDescent="0.25">
      <c r="A1030" t="e">
        <f>#REF!</f>
        <v>#REF!</v>
      </c>
      <c r="B1030" t="e">
        <f>#REF!</f>
        <v>#REF!</v>
      </c>
      <c r="C1030" t="e">
        <f>#REF!</f>
        <v>#REF!</v>
      </c>
      <c r="D1030" t="e">
        <f>#REF!</f>
        <v>#REF!</v>
      </c>
      <c r="E1030" t="e">
        <f>#REF!</f>
        <v>#REF!</v>
      </c>
      <c r="G1030" t="e">
        <f t="shared" si="81"/>
        <v>#REF!</v>
      </c>
      <c r="H1030" t="e">
        <f t="shared" si="82"/>
        <v>#REF!</v>
      </c>
      <c r="I1030" s="141" t="e">
        <f t="shared" si="83"/>
        <v>#REF!</v>
      </c>
      <c r="J1030" t="e">
        <f t="shared" si="84"/>
        <v>#REF!</v>
      </c>
      <c r="K1030" s="141" t="e">
        <f t="shared" si="85"/>
        <v>#REF!</v>
      </c>
    </row>
    <row r="1031" spans="1:11" hidden="1" x14ac:dyDescent="0.25">
      <c r="A1031" t="e">
        <f>#REF!</f>
        <v>#REF!</v>
      </c>
      <c r="B1031" t="e">
        <f>#REF!</f>
        <v>#REF!</v>
      </c>
      <c r="C1031" t="e">
        <f>#REF!</f>
        <v>#REF!</v>
      </c>
      <c r="D1031" t="e">
        <f>#REF!</f>
        <v>#REF!</v>
      </c>
      <c r="E1031" t="e">
        <f>#REF!</f>
        <v>#REF!</v>
      </c>
      <c r="G1031" t="e">
        <f t="shared" si="81"/>
        <v>#REF!</v>
      </c>
      <c r="H1031" t="e">
        <f t="shared" si="82"/>
        <v>#REF!</v>
      </c>
      <c r="I1031" s="141" t="e">
        <f t="shared" si="83"/>
        <v>#REF!</v>
      </c>
      <c r="J1031" t="e">
        <f t="shared" si="84"/>
        <v>#REF!</v>
      </c>
      <c r="K1031" s="141" t="e">
        <f t="shared" si="85"/>
        <v>#REF!</v>
      </c>
    </row>
    <row r="1032" spans="1:11" hidden="1" x14ac:dyDescent="0.25">
      <c r="A1032" t="e">
        <f>#REF!</f>
        <v>#REF!</v>
      </c>
      <c r="B1032" t="e">
        <f>#REF!</f>
        <v>#REF!</v>
      </c>
      <c r="C1032" t="e">
        <f>#REF!</f>
        <v>#REF!</v>
      </c>
      <c r="D1032" t="e">
        <f>#REF!</f>
        <v>#REF!</v>
      </c>
      <c r="E1032" t="e">
        <f>#REF!</f>
        <v>#REF!</v>
      </c>
      <c r="G1032" t="e">
        <f t="shared" si="81"/>
        <v>#REF!</v>
      </c>
      <c r="H1032" t="e">
        <f t="shared" si="82"/>
        <v>#REF!</v>
      </c>
      <c r="I1032" s="141" t="e">
        <f t="shared" si="83"/>
        <v>#REF!</v>
      </c>
      <c r="J1032" t="e">
        <f t="shared" si="84"/>
        <v>#REF!</v>
      </c>
      <c r="K1032" s="141" t="e">
        <f t="shared" si="85"/>
        <v>#REF!</v>
      </c>
    </row>
    <row r="1033" spans="1:11" hidden="1" x14ac:dyDescent="0.25">
      <c r="A1033" t="e">
        <f>#REF!</f>
        <v>#REF!</v>
      </c>
      <c r="B1033" t="e">
        <f>#REF!</f>
        <v>#REF!</v>
      </c>
      <c r="C1033" t="e">
        <f>#REF!</f>
        <v>#REF!</v>
      </c>
      <c r="D1033" t="e">
        <f>#REF!</f>
        <v>#REF!</v>
      </c>
      <c r="E1033" t="e">
        <f>#REF!</f>
        <v>#REF!</v>
      </c>
      <c r="G1033" t="e">
        <f t="shared" si="81"/>
        <v>#REF!</v>
      </c>
      <c r="H1033" t="e">
        <f t="shared" si="82"/>
        <v>#REF!</v>
      </c>
      <c r="I1033" s="141" t="e">
        <f t="shared" si="83"/>
        <v>#REF!</v>
      </c>
      <c r="J1033" t="e">
        <f t="shared" si="84"/>
        <v>#REF!</v>
      </c>
      <c r="K1033" s="141" t="e">
        <f t="shared" si="85"/>
        <v>#REF!</v>
      </c>
    </row>
    <row r="1034" spans="1:11" hidden="1" x14ac:dyDescent="0.25">
      <c r="A1034" t="e">
        <f>#REF!</f>
        <v>#REF!</v>
      </c>
      <c r="B1034" t="e">
        <f>#REF!</f>
        <v>#REF!</v>
      </c>
      <c r="C1034" t="e">
        <f>#REF!</f>
        <v>#REF!</v>
      </c>
      <c r="D1034" t="e">
        <f>#REF!</f>
        <v>#REF!</v>
      </c>
      <c r="E1034" t="e">
        <f>#REF!</f>
        <v>#REF!</v>
      </c>
      <c r="G1034" t="e">
        <f t="shared" si="81"/>
        <v>#REF!</v>
      </c>
      <c r="H1034" t="e">
        <f t="shared" si="82"/>
        <v>#REF!</v>
      </c>
      <c r="I1034" s="141" t="e">
        <f t="shared" si="83"/>
        <v>#REF!</v>
      </c>
      <c r="J1034" t="e">
        <f t="shared" si="84"/>
        <v>#REF!</v>
      </c>
      <c r="K1034" s="141" t="e">
        <f t="shared" si="85"/>
        <v>#REF!</v>
      </c>
    </row>
    <row r="1035" spans="1:11" hidden="1" x14ac:dyDescent="0.25">
      <c r="A1035" t="e">
        <f>#REF!</f>
        <v>#REF!</v>
      </c>
      <c r="B1035" t="e">
        <f>#REF!</f>
        <v>#REF!</v>
      </c>
      <c r="C1035" t="e">
        <f>#REF!</f>
        <v>#REF!</v>
      </c>
      <c r="D1035" t="e">
        <f>#REF!</f>
        <v>#REF!</v>
      </c>
      <c r="E1035" t="e">
        <f>#REF!</f>
        <v>#REF!</v>
      </c>
      <c r="G1035" t="e">
        <f t="shared" si="81"/>
        <v>#REF!</v>
      </c>
      <c r="H1035" t="e">
        <f t="shared" si="82"/>
        <v>#REF!</v>
      </c>
      <c r="I1035" s="141" t="e">
        <f t="shared" si="83"/>
        <v>#REF!</v>
      </c>
      <c r="J1035" t="e">
        <f t="shared" si="84"/>
        <v>#REF!</v>
      </c>
      <c r="K1035" s="141" t="e">
        <f t="shared" si="85"/>
        <v>#REF!</v>
      </c>
    </row>
    <row r="1036" spans="1:11" hidden="1" x14ac:dyDescent="0.25">
      <c r="A1036" t="e">
        <f>#REF!</f>
        <v>#REF!</v>
      </c>
      <c r="B1036" t="e">
        <f>#REF!</f>
        <v>#REF!</v>
      </c>
      <c r="C1036" t="e">
        <f>#REF!</f>
        <v>#REF!</v>
      </c>
      <c r="D1036" t="e">
        <f>#REF!</f>
        <v>#REF!</v>
      </c>
      <c r="E1036" t="e">
        <f>#REF!</f>
        <v>#REF!</v>
      </c>
      <c r="G1036" t="e">
        <f t="shared" si="81"/>
        <v>#REF!</v>
      </c>
      <c r="H1036" t="e">
        <f t="shared" si="82"/>
        <v>#REF!</v>
      </c>
      <c r="I1036" s="141" t="e">
        <f t="shared" si="83"/>
        <v>#REF!</v>
      </c>
      <c r="J1036" t="e">
        <f t="shared" si="84"/>
        <v>#REF!</v>
      </c>
      <c r="K1036" s="141" t="e">
        <f t="shared" si="85"/>
        <v>#REF!</v>
      </c>
    </row>
    <row r="1037" spans="1:11" hidden="1" x14ac:dyDescent="0.25">
      <c r="A1037" t="e">
        <f>#REF!</f>
        <v>#REF!</v>
      </c>
      <c r="B1037" t="e">
        <f>#REF!</f>
        <v>#REF!</v>
      </c>
      <c r="C1037" t="e">
        <f>#REF!</f>
        <v>#REF!</v>
      </c>
      <c r="D1037" t="e">
        <f>#REF!</f>
        <v>#REF!</v>
      </c>
      <c r="E1037" t="e">
        <f>#REF!</f>
        <v>#REF!</v>
      </c>
      <c r="G1037" t="e">
        <f t="shared" si="81"/>
        <v>#REF!</v>
      </c>
      <c r="H1037" t="e">
        <f t="shared" si="82"/>
        <v>#REF!</v>
      </c>
      <c r="I1037" s="141" t="e">
        <f t="shared" si="83"/>
        <v>#REF!</v>
      </c>
      <c r="J1037" t="e">
        <f t="shared" si="84"/>
        <v>#REF!</v>
      </c>
      <c r="K1037" s="141" t="e">
        <f t="shared" si="85"/>
        <v>#REF!</v>
      </c>
    </row>
    <row r="1038" spans="1:11" hidden="1" x14ac:dyDescent="0.25">
      <c r="A1038" t="e">
        <f>#REF!</f>
        <v>#REF!</v>
      </c>
      <c r="B1038" t="e">
        <f>#REF!</f>
        <v>#REF!</v>
      </c>
      <c r="C1038" t="e">
        <f>#REF!</f>
        <v>#REF!</v>
      </c>
      <c r="D1038" t="e">
        <f>#REF!</f>
        <v>#REF!</v>
      </c>
      <c r="E1038" t="e">
        <f>#REF!</f>
        <v>#REF!</v>
      </c>
      <c r="G1038" t="e">
        <f t="shared" si="81"/>
        <v>#REF!</v>
      </c>
      <c r="H1038" t="e">
        <f t="shared" si="82"/>
        <v>#REF!</v>
      </c>
      <c r="I1038" s="141" t="e">
        <f t="shared" si="83"/>
        <v>#REF!</v>
      </c>
      <c r="J1038" t="e">
        <f t="shared" si="84"/>
        <v>#REF!</v>
      </c>
      <c r="K1038" s="141" t="e">
        <f t="shared" si="85"/>
        <v>#REF!</v>
      </c>
    </row>
    <row r="1039" spans="1:11" hidden="1" x14ac:dyDescent="0.25">
      <c r="A1039" t="e">
        <f>#REF!</f>
        <v>#REF!</v>
      </c>
      <c r="B1039" t="e">
        <f>#REF!</f>
        <v>#REF!</v>
      </c>
      <c r="C1039" t="e">
        <f>#REF!</f>
        <v>#REF!</v>
      </c>
      <c r="D1039" t="e">
        <f>#REF!</f>
        <v>#REF!</v>
      </c>
      <c r="E1039" t="e">
        <f>#REF!</f>
        <v>#REF!</v>
      </c>
      <c r="G1039" t="e">
        <f t="shared" si="81"/>
        <v>#REF!</v>
      </c>
      <c r="H1039" t="e">
        <f t="shared" si="82"/>
        <v>#REF!</v>
      </c>
      <c r="I1039" s="141" t="e">
        <f t="shared" si="83"/>
        <v>#REF!</v>
      </c>
      <c r="J1039" t="e">
        <f t="shared" si="84"/>
        <v>#REF!</v>
      </c>
      <c r="K1039" s="141" t="e">
        <f t="shared" si="85"/>
        <v>#REF!</v>
      </c>
    </row>
    <row r="1040" spans="1:11" hidden="1" x14ac:dyDescent="0.25">
      <c r="A1040" t="e">
        <f>#REF!</f>
        <v>#REF!</v>
      </c>
      <c r="B1040" t="e">
        <f>#REF!</f>
        <v>#REF!</v>
      </c>
      <c r="C1040" t="e">
        <f>#REF!</f>
        <v>#REF!</v>
      </c>
      <c r="D1040" t="e">
        <f>#REF!</f>
        <v>#REF!</v>
      </c>
      <c r="E1040" t="e">
        <f>#REF!</f>
        <v>#REF!</v>
      </c>
      <c r="G1040" t="e">
        <f t="shared" si="81"/>
        <v>#REF!</v>
      </c>
      <c r="H1040" t="e">
        <f t="shared" si="82"/>
        <v>#REF!</v>
      </c>
      <c r="I1040" s="141" t="e">
        <f t="shared" si="83"/>
        <v>#REF!</v>
      </c>
      <c r="J1040" t="e">
        <f t="shared" si="84"/>
        <v>#REF!</v>
      </c>
      <c r="K1040" s="141" t="e">
        <f t="shared" si="85"/>
        <v>#REF!</v>
      </c>
    </row>
    <row r="1041" spans="1:11" hidden="1" x14ac:dyDescent="0.25">
      <c r="A1041" t="e">
        <f>#REF!</f>
        <v>#REF!</v>
      </c>
      <c r="B1041" t="e">
        <f>#REF!</f>
        <v>#REF!</v>
      </c>
      <c r="C1041" t="e">
        <f>#REF!</f>
        <v>#REF!</v>
      </c>
      <c r="D1041" t="e">
        <f>#REF!</f>
        <v>#REF!</v>
      </c>
      <c r="E1041" t="e">
        <f>#REF!</f>
        <v>#REF!</v>
      </c>
      <c r="G1041" t="e">
        <f t="shared" si="81"/>
        <v>#REF!</v>
      </c>
      <c r="H1041" t="e">
        <f t="shared" si="82"/>
        <v>#REF!</v>
      </c>
      <c r="I1041" s="141" t="e">
        <f t="shared" si="83"/>
        <v>#REF!</v>
      </c>
      <c r="J1041" t="e">
        <f t="shared" si="84"/>
        <v>#REF!</v>
      </c>
      <c r="K1041" s="141" t="e">
        <f t="shared" si="85"/>
        <v>#REF!</v>
      </c>
    </row>
    <row r="1042" spans="1:11" hidden="1" x14ac:dyDescent="0.25">
      <c r="A1042" t="e">
        <f>#REF!</f>
        <v>#REF!</v>
      </c>
      <c r="B1042" t="e">
        <f>#REF!</f>
        <v>#REF!</v>
      </c>
      <c r="C1042" t="e">
        <f>#REF!</f>
        <v>#REF!</v>
      </c>
      <c r="D1042" t="e">
        <f>#REF!</f>
        <v>#REF!</v>
      </c>
      <c r="E1042" t="e">
        <f>#REF!</f>
        <v>#REF!</v>
      </c>
      <c r="G1042" t="e">
        <f t="shared" si="81"/>
        <v>#REF!</v>
      </c>
      <c r="H1042" t="e">
        <f t="shared" si="82"/>
        <v>#REF!</v>
      </c>
      <c r="I1042" s="141" t="e">
        <f t="shared" si="83"/>
        <v>#REF!</v>
      </c>
      <c r="J1042" t="e">
        <f t="shared" si="84"/>
        <v>#REF!</v>
      </c>
      <c r="K1042" s="141" t="e">
        <f t="shared" si="85"/>
        <v>#REF!</v>
      </c>
    </row>
    <row r="1043" spans="1:11" hidden="1" x14ac:dyDescent="0.25">
      <c r="A1043" t="e">
        <f>#REF!</f>
        <v>#REF!</v>
      </c>
      <c r="B1043" t="e">
        <f>#REF!</f>
        <v>#REF!</v>
      </c>
      <c r="C1043" t="e">
        <f>#REF!</f>
        <v>#REF!</v>
      </c>
      <c r="D1043" t="e">
        <f>#REF!</f>
        <v>#REF!</v>
      </c>
      <c r="E1043" t="e">
        <f>#REF!</f>
        <v>#REF!</v>
      </c>
      <c r="G1043" t="e">
        <f t="shared" si="81"/>
        <v>#REF!</v>
      </c>
      <c r="H1043" t="e">
        <f t="shared" si="82"/>
        <v>#REF!</v>
      </c>
      <c r="I1043" s="141" t="e">
        <f t="shared" si="83"/>
        <v>#REF!</v>
      </c>
      <c r="J1043" t="e">
        <f t="shared" si="84"/>
        <v>#REF!</v>
      </c>
      <c r="K1043" s="141" t="e">
        <f t="shared" si="85"/>
        <v>#REF!</v>
      </c>
    </row>
    <row r="1044" spans="1:11" hidden="1" x14ac:dyDescent="0.25">
      <c r="A1044" t="e">
        <f>#REF!</f>
        <v>#REF!</v>
      </c>
      <c r="B1044" t="e">
        <f>#REF!</f>
        <v>#REF!</v>
      </c>
      <c r="C1044" t="e">
        <f>#REF!</f>
        <v>#REF!</v>
      </c>
      <c r="D1044" t="e">
        <f>#REF!</f>
        <v>#REF!</v>
      </c>
      <c r="E1044" t="e">
        <f>#REF!</f>
        <v>#REF!</v>
      </c>
      <c r="G1044" t="e">
        <f t="shared" si="81"/>
        <v>#REF!</v>
      </c>
      <c r="H1044" t="e">
        <f t="shared" si="82"/>
        <v>#REF!</v>
      </c>
      <c r="I1044" s="141" t="e">
        <f t="shared" si="83"/>
        <v>#REF!</v>
      </c>
      <c r="J1044" t="e">
        <f t="shared" si="84"/>
        <v>#REF!</v>
      </c>
      <c r="K1044" s="141" t="e">
        <f t="shared" si="85"/>
        <v>#REF!</v>
      </c>
    </row>
    <row r="1045" spans="1:11" hidden="1" x14ac:dyDescent="0.25">
      <c r="A1045" t="e">
        <f>#REF!</f>
        <v>#REF!</v>
      </c>
      <c r="B1045" t="e">
        <f>#REF!</f>
        <v>#REF!</v>
      </c>
      <c r="C1045" t="e">
        <f>#REF!</f>
        <v>#REF!</v>
      </c>
      <c r="D1045" t="e">
        <f>#REF!</f>
        <v>#REF!</v>
      </c>
      <c r="E1045" t="e">
        <f>#REF!</f>
        <v>#REF!</v>
      </c>
      <c r="G1045" t="e">
        <f t="shared" si="81"/>
        <v>#REF!</v>
      </c>
      <c r="H1045" t="e">
        <f t="shared" si="82"/>
        <v>#REF!</v>
      </c>
      <c r="I1045" s="141" t="e">
        <f t="shared" si="83"/>
        <v>#REF!</v>
      </c>
      <c r="J1045" t="e">
        <f t="shared" si="84"/>
        <v>#REF!</v>
      </c>
      <c r="K1045" s="141" t="e">
        <f t="shared" si="85"/>
        <v>#REF!</v>
      </c>
    </row>
    <row r="1046" spans="1:11" hidden="1" x14ac:dyDescent="0.25">
      <c r="A1046" t="e">
        <f>#REF!</f>
        <v>#REF!</v>
      </c>
      <c r="B1046" t="e">
        <f>#REF!</f>
        <v>#REF!</v>
      </c>
      <c r="C1046" t="e">
        <f>#REF!</f>
        <v>#REF!</v>
      </c>
      <c r="D1046" t="e">
        <f>#REF!</f>
        <v>#REF!</v>
      </c>
      <c r="E1046" t="e">
        <f>#REF!</f>
        <v>#REF!</v>
      </c>
      <c r="G1046" t="e">
        <f t="shared" si="81"/>
        <v>#REF!</v>
      </c>
      <c r="H1046" t="e">
        <f t="shared" si="82"/>
        <v>#REF!</v>
      </c>
      <c r="I1046" s="141" t="e">
        <f t="shared" si="83"/>
        <v>#REF!</v>
      </c>
      <c r="J1046" t="e">
        <f t="shared" si="84"/>
        <v>#REF!</v>
      </c>
      <c r="K1046" s="141" t="e">
        <f t="shared" si="85"/>
        <v>#REF!</v>
      </c>
    </row>
    <row r="1047" spans="1:11" hidden="1" x14ac:dyDescent="0.25">
      <c r="A1047" t="e">
        <f>#REF!</f>
        <v>#REF!</v>
      </c>
      <c r="B1047" t="e">
        <f>#REF!</f>
        <v>#REF!</v>
      </c>
      <c r="C1047" t="e">
        <f>#REF!</f>
        <v>#REF!</v>
      </c>
      <c r="D1047" t="e">
        <f>#REF!</f>
        <v>#REF!</v>
      </c>
      <c r="E1047" t="e">
        <f>#REF!</f>
        <v>#REF!</v>
      </c>
      <c r="G1047" t="e">
        <f t="shared" si="81"/>
        <v>#REF!</v>
      </c>
      <c r="H1047" t="e">
        <f t="shared" si="82"/>
        <v>#REF!</v>
      </c>
      <c r="I1047" s="141" t="e">
        <f t="shared" si="83"/>
        <v>#REF!</v>
      </c>
      <c r="J1047" t="e">
        <f t="shared" si="84"/>
        <v>#REF!</v>
      </c>
      <c r="K1047" s="141" t="e">
        <f t="shared" si="85"/>
        <v>#REF!</v>
      </c>
    </row>
    <row r="1048" spans="1:11" hidden="1" x14ac:dyDescent="0.25">
      <c r="A1048" t="e">
        <f>#REF!</f>
        <v>#REF!</v>
      </c>
      <c r="B1048" t="e">
        <f>#REF!</f>
        <v>#REF!</v>
      </c>
      <c r="C1048" t="e">
        <f>#REF!</f>
        <v>#REF!</v>
      </c>
      <c r="D1048" t="e">
        <f>#REF!</f>
        <v>#REF!</v>
      </c>
      <c r="E1048" t="e">
        <f>#REF!</f>
        <v>#REF!</v>
      </c>
      <c r="G1048" t="e">
        <f t="shared" si="81"/>
        <v>#REF!</v>
      </c>
      <c r="H1048" t="e">
        <f t="shared" si="82"/>
        <v>#REF!</v>
      </c>
      <c r="I1048" s="141" t="e">
        <f t="shared" si="83"/>
        <v>#REF!</v>
      </c>
      <c r="J1048" t="e">
        <f t="shared" si="84"/>
        <v>#REF!</v>
      </c>
      <c r="K1048" s="141" t="e">
        <f t="shared" si="85"/>
        <v>#REF!</v>
      </c>
    </row>
    <row r="1049" spans="1:11" hidden="1" x14ac:dyDescent="0.25">
      <c r="A1049" t="e">
        <f>#REF!</f>
        <v>#REF!</v>
      </c>
      <c r="B1049" t="e">
        <f>#REF!</f>
        <v>#REF!</v>
      </c>
      <c r="C1049" t="e">
        <f>#REF!</f>
        <v>#REF!</v>
      </c>
      <c r="D1049" t="e">
        <f>#REF!</f>
        <v>#REF!</v>
      </c>
      <c r="E1049" t="e">
        <f>#REF!</f>
        <v>#REF!</v>
      </c>
      <c r="G1049" t="e">
        <f t="shared" si="81"/>
        <v>#REF!</v>
      </c>
      <c r="H1049" t="e">
        <f t="shared" si="82"/>
        <v>#REF!</v>
      </c>
      <c r="I1049" s="141" t="e">
        <f t="shared" si="83"/>
        <v>#REF!</v>
      </c>
      <c r="J1049" t="e">
        <f t="shared" si="84"/>
        <v>#REF!</v>
      </c>
      <c r="K1049" s="141" t="e">
        <f t="shared" si="85"/>
        <v>#REF!</v>
      </c>
    </row>
    <row r="1050" spans="1:11" hidden="1" x14ac:dyDescent="0.25">
      <c r="A1050" t="e">
        <f>#REF!</f>
        <v>#REF!</v>
      </c>
      <c r="B1050" t="e">
        <f>#REF!</f>
        <v>#REF!</v>
      </c>
      <c r="C1050" t="e">
        <f>#REF!</f>
        <v>#REF!</v>
      </c>
      <c r="D1050" t="e">
        <f>#REF!</f>
        <v>#REF!</v>
      </c>
      <c r="E1050" t="e">
        <f>#REF!</f>
        <v>#REF!</v>
      </c>
      <c r="G1050" t="e">
        <f t="shared" si="81"/>
        <v>#REF!</v>
      </c>
      <c r="H1050" t="e">
        <f t="shared" si="82"/>
        <v>#REF!</v>
      </c>
      <c r="I1050" s="141" t="e">
        <f t="shared" si="83"/>
        <v>#REF!</v>
      </c>
      <c r="J1050" t="e">
        <f t="shared" si="84"/>
        <v>#REF!</v>
      </c>
      <c r="K1050" s="141" t="e">
        <f t="shared" si="85"/>
        <v>#REF!</v>
      </c>
    </row>
    <row r="1051" spans="1:11" hidden="1" x14ac:dyDescent="0.25">
      <c r="A1051" t="e">
        <f>#REF!</f>
        <v>#REF!</v>
      </c>
      <c r="B1051" t="e">
        <f>#REF!</f>
        <v>#REF!</v>
      </c>
      <c r="C1051" t="e">
        <f>#REF!</f>
        <v>#REF!</v>
      </c>
      <c r="D1051" t="e">
        <f>#REF!</f>
        <v>#REF!</v>
      </c>
      <c r="E1051" t="e">
        <f>#REF!</f>
        <v>#REF!</v>
      </c>
      <c r="G1051" t="e">
        <f t="shared" si="81"/>
        <v>#REF!</v>
      </c>
      <c r="H1051" t="e">
        <f t="shared" si="82"/>
        <v>#REF!</v>
      </c>
      <c r="I1051" s="141" t="e">
        <f t="shared" si="83"/>
        <v>#REF!</v>
      </c>
      <c r="J1051" t="e">
        <f t="shared" si="84"/>
        <v>#REF!</v>
      </c>
      <c r="K1051" s="141" t="e">
        <f t="shared" si="85"/>
        <v>#REF!</v>
      </c>
    </row>
    <row r="1052" spans="1:11" hidden="1" x14ac:dyDescent="0.25">
      <c r="A1052" t="e">
        <f>#REF!</f>
        <v>#REF!</v>
      </c>
      <c r="B1052" t="e">
        <f>#REF!</f>
        <v>#REF!</v>
      </c>
      <c r="C1052" t="e">
        <f>#REF!</f>
        <v>#REF!</v>
      </c>
      <c r="D1052" t="e">
        <f>#REF!</f>
        <v>#REF!</v>
      </c>
      <c r="E1052" t="e">
        <f>#REF!</f>
        <v>#REF!</v>
      </c>
      <c r="G1052" t="e">
        <f t="shared" si="81"/>
        <v>#REF!</v>
      </c>
      <c r="H1052" t="e">
        <f t="shared" si="82"/>
        <v>#REF!</v>
      </c>
      <c r="I1052" s="141" t="e">
        <f t="shared" si="83"/>
        <v>#REF!</v>
      </c>
      <c r="J1052" t="e">
        <f t="shared" si="84"/>
        <v>#REF!</v>
      </c>
      <c r="K1052" s="141" t="e">
        <f t="shared" si="85"/>
        <v>#REF!</v>
      </c>
    </row>
    <row r="1053" spans="1:11" hidden="1" x14ac:dyDescent="0.25">
      <c r="A1053" t="e">
        <f>#REF!</f>
        <v>#REF!</v>
      </c>
      <c r="B1053" t="e">
        <f>#REF!</f>
        <v>#REF!</v>
      </c>
      <c r="C1053" t="e">
        <f>#REF!</f>
        <v>#REF!</v>
      </c>
      <c r="D1053" t="e">
        <f>#REF!</f>
        <v>#REF!</v>
      </c>
      <c r="E1053" t="e">
        <f>#REF!</f>
        <v>#REF!</v>
      </c>
      <c r="G1053" t="e">
        <f t="shared" si="81"/>
        <v>#REF!</v>
      </c>
      <c r="H1053" t="e">
        <f t="shared" si="82"/>
        <v>#REF!</v>
      </c>
      <c r="I1053" s="141" t="e">
        <f t="shared" si="83"/>
        <v>#REF!</v>
      </c>
      <c r="J1053" t="e">
        <f t="shared" si="84"/>
        <v>#REF!</v>
      </c>
      <c r="K1053" s="141" t="e">
        <f t="shared" si="85"/>
        <v>#REF!</v>
      </c>
    </row>
    <row r="1054" spans="1:11" hidden="1" x14ac:dyDescent="0.25">
      <c r="A1054" t="e">
        <f>#REF!</f>
        <v>#REF!</v>
      </c>
      <c r="B1054" t="e">
        <f>#REF!</f>
        <v>#REF!</v>
      </c>
      <c r="C1054" t="e">
        <f>#REF!</f>
        <v>#REF!</v>
      </c>
      <c r="D1054" t="e">
        <f>#REF!</f>
        <v>#REF!</v>
      </c>
      <c r="E1054" t="e">
        <f>#REF!</f>
        <v>#REF!</v>
      </c>
      <c r="G1054" t="e">
        <f t="shared" si="81"/>
        <v>#REF!</v>
      </c>
      <c r="H1054" t="e">
        <f t="shared" si="82"/>
        <v>#REF!</v>
      </c>
      <c r="I1054" s="141" t="e">
        <f t="shared" si="83"/>
        <v>#REF!</v>
      </c>
      <c r="J1054" t="e">
        <f t="shared" si="84"/>
        <v>#REF!</v>
      </c>
      <c r="K1054" s="141" t="e">
        <f t="shared" si="85"/>
        <v>#REF!</v>
      </c>
    </row>
    <row r="1055" spans="1:11" hidden="1" x14ac:dyDescent="0.25">
      <c r="A1055" t="e">
        <f>#REF!</f>
        <v>#REF!</v>
      </c>
      <c r="B1055" t="e">
        <f>#REF!</f>
        <v>#REF!</v>
      </c>
      <c r="C1055" t="e">
        <f>#REF!</f>
        <v>#REF!</v>
      </c>
      <c r="D1055" t="e">
        <f>#REF!</f>
        <v>#REF!</v>
      </c>
      <c r="E1055" t="e">
        <f>#REF!</f>
        <v>#REF!</v>
      </c>
      <c r="G1055" t="e">
        <f t="shared" si="81"/>
        <v>#REF!</v>
      </c>
      <c r="H1055" t="e">
        <f t="shared" si="82"/>
        <v>#REF!</v>
      </c>
      <c r="I1055" s="141" t="e">
        <f t="shared" si="83"/>
        <v>#REF!</v>
      </c>
      <c r="J1055" t="e">
        <f t="shared" si="84"/>
        <v>#REF!</v>
      </c>
      <c r="K1055" s="141" t="e">
        <f t="shared" si="85"/>
        <v>#REF!</v>
      </c>
    </row>
    <row r="1056" spans="1:11" hidden="1" x14ac:dyDescent="0.25">
      <c r="A1056" t="e">
        <f>#REF!</f>
        <v>#REF!</v>
      </c>
      <c r="B1056" t="e">
        <f>#REF!</f>
        <v>#REF!</v>
      </c>
      <c r="C1056" t="e">
        <f>#REF!</f>
        <v>#REF!</v>
      </c>
      <c r="D1056" t="e">
        <f>#REF!</f>
        <v>#REF!</v>
      </c>
      <c r="E1056" t="e">
        <f>#REF!</f>
        <v>#REF!</v>
      </c>
      <c r="G1056" t="e">
        <f t="shared" si="81"/>
        <v>#REF!</v>
      </c>
      <c r="H1056" t="e">
        <f t="shared" si="82"/>
        <v>#REF!</v>
      </c>
      <c r="I1056" s="141" t="e">
        <f t="shared" si="83"/>
        <v>#REF!</v>
      </c>
      <c r="J1056" t="e">
        <f t="shared" si="84"/>
        <v>#REF!</v>
      </c>
      <c r="K1056" s="141" t="e">
        <f t="shared" si="85"/>
        <v>#REF!</v>
      </c>
    </row>
    <row r="1057" spans="1:11" hidden="1" x14ac:dyDescent="0.25">
      <c r="A1057" t="e">
        <f>#REF!</f>
        <v>#REF!</v>
      </c>
      <c r="B1057" t="e">
        <f>#REF!</f>
        <v>#REF!</v>
      </c>
      <c r="C1057" t="e">
        <f>#REF!</f>
        <v>#REF!</v>
      </c>
      <c r="D1057" t="e">
        <f>#REF!</f>
        <v>#REF!</v>
      </c>
      <c r="E1057" t="e">
        <f>#REF!</f>
        <v>#REF!</v>
      </c>
      <c r="G1057" t="e">
        <f t="shared" si="81"/>
        <v>#REF!</v>
      </c>
      <c r="H1057" t="e">
        <f t="shared" si="82"/>
        <v>#REF!</v>
      </c>
      <c r="I1057" s="141" t="e">
        <f t="shared" si="83"/>
        <v>#REF!</v>
      </c>
      <c r="J1057" t="e">
        <f t="shared" si="84"/>
        <v>#REF!</v>
      </c>
      <c r="K1057" s="141" t="e">
        <f t="shared" si="85"/>
        <v>#REF!</v>
      </c>
    </row>
    <row r="1058" spans="1:11" hidden="1" x14ac:dyDescent="0.25">
      <c r="A1058" t="e">
        <f>#REF!</f>
        <v>#REF!</v>
      </c>
      <c r="B1058" t="e">
        <f>#REF!</f>
        <v>#REF!</v>
      </c>
      <c r="C1058" t="e">
        <f>#REF!</f>
        <v>#REF!</v>
      </c>
      <c r="D1058" t="e">
        <f>#REF!</f>
        <v>#REF!</v>
      </c>
      <c r="E1058" t="e">
        <f>#REF!</f>
        <v>#REF!</v>
      </c>
      <c r="G1058" t="e">
        <f t="shared" si="81"/>
        <v>#REF!</v>
      </c>
      <c r="H1058" t="e">
        <f t="shared" si="82"/>
        <v>#REF!</v>
      </c>
      <c r="I1058" s="141" t="e">
        <f t="shared" si="83"/>
        <v>#REF!</v>
      </c>
      <c r="J1058" t="e">
        <f t="shared" si="84"/>
        <v>#REF!</v>
      </c>
      <c r="K1058" s="141" t="e">
        <f t="shared" si="85"/>
        <v>#REF!</v>
      </c>
    </row>
    <row r="1059" spans="1:11" hidden="1" x14ac:dyDescent="0.25">
      <c r="A1059" t="e">
        <f>#REF!</f>
        <v>#REF!</v>
      </c>
      <c r="B1059" t="e">
        <f>#REF!</f>
        <v>#REF!</v>
      </c>
      <c r="C1059" t="e">
        <f>#REF!</f>
        <v>#REF!</v>
      </c>
      <c r="D1059" t="e">
        <f>#REF!</f>
        <v>#REF!</v>
      </c>
      <c r="E1059" t="e">
        <f>#REF!</f>
        <v>#REF!</v>
      </c>
      <c r="G1059" t="e">
        <f t="shared" si="81"/>
        <v>#REF!</v>
      </c>
      <c r="H1059" t="e">
        <f t="shared" si="82"/>
        <v>#REF!</v>
      </c>
      <c r="I1059" s="141" t="e">
        <f t="shared" si="83"/>
        <v>#REF!</v>
      </c>
      <c r="J1059" t="e">
        <f t="shared" si="84"/>
        <v>#REF!</v>
      </c>
      <c r="K1059" s="141" t="e">
        <f t="shared" si="85"/>
        <v>#REF!</v>
      </c>
    </row>
    <row r="1060" spans="1:11" hidden="1" x14ac:dyDescent="0.25">
      <c r="A1060" t="e">
        <f>#REF!</f>
        <v>#REF!</v>
      </c>
      <c r="B1060" t="e">
        <f>#REF!</f>
        <v>#REF!</v>
      </c>
      <c r="C1060" t="e">
        <f>#REF!</f>
        <v>#REF!</v>
      </c>
      <c r="D1060" t="e">
        <f>#REF!</f>
        <v>#REF!</v>
      </c>
      <c r="E1060" t="e">
        <f>#REF!</f>
        <v>#REF!</v>
      </c>
      <c r="G1060" t="e">
        <f t="shared" si="81"/>
        <v>#REF!</v>
      </c>
      <c r="H1060" t="e">
        <f t="shared" si="82"/>
        <v>#REF!</v>
      </c>
      <c r="I1060" s="141" t="e">
        <f t="shared" si="83"/>
        <v>#REF!</v>
      </c>
      <c r="J1060" t="e">
        <f t="shared" si="84"/>
        <v>#REF!</v>
      </c>
      <c r="K1060" s="141" t="e">
        <f t="shared" si="85"/>
        <v>#REF!</v>
      </c>
    </row>
    <row r="1061" spans="1:11" hidden="1" x14ac:dyDescent="0.25">
      <c r="A1061" t="e">
        <f>#REF!</f>
        <v>#REF!</v>
      </c>
      <c r="B1061" t="e">
        <f>#REF!</f>
        <v>#REF!</v>
      </c>
      <c r="C1061" t="e">
        <f>#REF!</f>
        <v>#REF!</v>
      </c>
      <c r="D1061" t="e">
        <f>#REF!</f>
        <v>#REF!</v>
      </c>
      <c r="E1061" t="e">
        <f>#REF!</f>
        <v>#REF!</v>
      </c>
      <c r="G1061" t="e">
        <f t="shared" si="81"/>
        <v>#REF!</v>
      </c>
      <c r="H1061" t="e">
        <f t="shared" si="82"/>
        <v>#REF!</v>
      </c>
      <c r="I1061" s="141" t="e">
        <f t="shared" si="83"/>
        <v>#REF!</v>
      </c>
      <c r="J1061" t="e">
        <f t="shared" si="84"/>
        <v>#REF!</v>
      </c>
      <c r="K1061" s="141" t="e">
        <f t="shared" si="85"/>
        <v>#REF!</v>
      </c>
    </row>
    <row r="1062" spans="1:11" hidden="1" x14ac:dyDescent="0.25">
      <c r="A1062" t="e">
        <f>#REF!</f>
        <v>#REF!</v>
      </c>
      <c r="B1062" t="e">
        <f>#REF!</f>
        <v>#REF!</v>
      </c>
      <c r="C1062" t="e">
        <f>#REF!</f>
        <v>#REF!</v>
      </c>
      <c r="D1062" t="e">
        <f>#REF!</f>
        <v>#REF!</v>
      </c>
      <c r="E1062" t="e">
        <f>#REF!</f>
        <v>#REF!</v>
      </c>
      <c r="G1062" t="e">
        <f t="shared" si="81"/>
        <v>#REF!</v>
      </c>
      <c r="H1062" t="e">
        <f t="shared" si="82"/>
        <v>#REF!</v>
      </c>
      <c r="I1062" s="141" t="e">
        <f t="shared" si="83"/>
        <v>#REF!</v>
      </c>
      <c r="J1062" t="e">
        <f t="shared" si="84"/>
        <v>#REF!</v>
      </c>
      <c r="K1062" s="141" t="e">
        <f t="shared" si="85"/>
        <v>#REF!</v>
      </c>
    </row>
    <row r="1063" spans="1:11" hidden="1" x14ac:dyDescent="0.25">
      <c r="A1063" t="e">
        <f>#REF!</f>
        <v>#REF!</v>
      </c>
      <c r="B1063" t="e">
        <f>#REF!</f>
        <v>#REF!</v>
      </c>
      <c r="C1063" t="e">
        <f>#REF!</f>
        <v>#REF!</v>
      </c>
      <c r="D1063" t="e">
        <f>#REF!</f>
        <v>#REF!</v>
      </c>
      <c r="E1063" t="e">
        <f>#REF!</f>
        <v>#REF!</v>
      </c>
      <c r="G1063" t="e">
        <f t="shared" si="81"/>
        <v>#REF!</v>
      </c>
      <c r="H1063" t="e">
        <f t="shared" si="82"/>
        <v>#REF!</v>
      </c>
      <c r="I1063" s="141" t="e">
        <f t="shared" si="83"/>
        <v>#REF!</v>
      </c>
      <c r="J1063" t="e">
        <f t="shared" si="84"/>
        <v>#REF!</v>
      </c>
      <c r="K1063" s="141" t="e">
        <f t="shared" si="85"/>
        <v>#REF!</v>
      </c>
    </row>
    <row r="1064" spans="1:11" hidden="1" x14ac:dyDescent="0.25">
      <c r="A1064" t="e">
        <f>#REF!</f>
        <v>#REF!</v>
      </c>
      <c r="B1064" t="e">
        <f>#REF!</f>
        <v>#REF!</v>
      </c>
      <c r="C1064" t="e">
        <f>#REF!</f>
        <v>#REF!</v>
      </c>
      <c r="D1064" t="e">
        <f>#REF!</f>
        <v>#REF!</v>
      </c>
      <c r="E1064" t="e">
        <f>#REF!</f>
        <v>#REF!</v>
      </c>
      <c r="G1064" t="e">
        <f t="shared" si="81"/>
        <v>#REF!</v>
      </c>
      <c r="H1064" t="e">
        <f t="shared" si="82"/>
        <v>#REF!</v>
      </c>
      <c r="I1064" s="141" t="e">
        <f t="shared" si="83"/>
        <v>#REF!</v>
      </c>
      <c r="J1064" t="e">
        <f t="shared" si="84"/>
        <v>#REF!</v>
      </c>
      <c r="K1064" s="141" t="e">
        <f t="shared" si="85"/>
        <v>#REF!</v>
      </c>
    </row>
    <row r="1065" spans="1:11" hidden="1" x14ac:dyDescent="0.25">
      <c r="A1065" t="e">
        <f>#REF!</f>
        <v>#REF!</v>
      </c>
      <c r="B1065" t="e">
        <f>#REF!</f>
        <v>#REF!</v>
      </c>
      <c r="C1065" t="e">
        <f>#REF!</f>
        <v>#REF!</v>
      </c>
      <c r="D1065" t="e">
        <f>#REF!</f>
        <v>#REF!</v>
      </c>
      <c r="E1065" t="e">
        <f>#REF!</f>
        <v>#REF!</v>
      </c>
      <c r="G1065" t="e">
        <f t="shared" si="81"/>
        <v>#REF!</v>
      </c>
      <c r="H1065" t="e">
        <f t="shared" si="82"/>
        <v>#REF!</v>
      </c>
      <c r="I1065" s="141" t="e">
        <f t="shared" si="83"/>
        <v>#REF!</v>
      </c>
      <c r="J1065" t="e">
        <f t="shared" si="84"/>
        <v>#REF!</v>
      </c>
      <c r="K1065" s="141" t="e">
        <f t="shared" si="85"/>
        <v>#REF!</v>
      </c>
    </row>
    <row r="1066" spans="1:11" hidden="1" x14ac:dyDescent="0.25">
      <c r="A1066" t="e">
        <f>#REF!</f>
        <v>#REF!</v>
      </c>
      <c r="B1066" t="e">
        <f>#REF!</f>
        <v>#REF!</v>
      </c>
      <c r="C1066" t="e">
        <f>#REF!</f>
        <v>#REF!</v>
      </c>
      <c r="D1066" t="e">
        <f>#REF!</f>
        <v>#REF!</v>
      </c>
      <c r="E1066" t="e">
        <f>#REF!</f>
        <v>#REF!</v>
      </c>
      <c r="G1066" t="e">
        <f t="shared" si="81"/>
        <v>#REF!</v>
      </c>
      <c r="H1066" t="e">
        <f t="shared" si="82"/>
        <v>#REF!</v>
      </c>
      <c r="I1066" s="141" t="e">
        <f t="shared" si="83"/>
        <v>#REF!</v>
      </c>
      <c r="J1066" t="e">
        <f t="shared" si="84"/>
        <v>#REF!</v>
      </c>
      <c r="K1066" s="141" t="e">
        <f t="shared" si="85"/>
        <v>#REF!</v>
      </c>
    </row>
    <row r="1067" spans="1:11" hidden="1" x14ac:dyDescent="0.25">
      <c r="A1067" t="e">
        <f>#REF!</f>
        <v>#REF!</v>
      </c>
      <c r="B1067" t="e">
        <f>#REF!</f>
        <v>#REF!</v>
      </c>
      <c r="C1067" t="e">
        <f>#REF!</f>
        <v>#REF!</v>
      </c>
      <c r="D1067" t="e">
        <f>#REF!</f>
        <v>#REF!</v>
      </c>
      <c r="E1067" t="e">
        <f>#REF!</f>
        <v>#REF!</v>
      </c>
      <c r="G1067" t="e">
        <f t="shared" si="81"/>
        <v>#REF!</v>
      </c>
      <c r="H1067" t="e">
        <f t="shared" si="82"/>
        <v>#REF!</v>
      </c>
      <c r="I1067" s="141" t="e">
        <f t="shared" si="83"/>
        <v>#REF!</v>
      </c>
      <c r="J1067" t="e">
        <f t="shared" si="84"/>
        <v>#REF!</v>
      </c>
      <c r="K1067" s="141" t="e">
        <f t="shared" si="85"/>
        <v>#REF!</v>
      </c>
    </row>
    <row r="1068" spans="1:11" hidden="1" x14ac:dyDescent="0.25">
      <c r="A1068" t="e">
        <f>#REF!</f>
        <v>#REF!</v>
      </c>
      <c r="B1068" t="e">
        <f>#REF!</f>
        <v>#REF!</v>
      </c>
      <c r="C1068" t="e">
        <f>#REF!</f>
        <v>#REF!</v>
      </c>
      <c r="D1068" t="e">
        <f>#REF!</f>
        <v>#REF!</v>
      </c>
      <c r="E1068" t="e">
        <f>#REF!</f>
        <v>#REF!</v>
      </c>
      <c r="G1068" t="e">
        <f t="shared" si="81"/>
        <v>#REF!</v>
      </c>
      <c r="H1068" t="e">
        <f t="shared" si="82"/>
        <v>#REF!</v>
      </c>
      <c r="I1068" s="141" t="e">
        <f t="shared" si="83"/>
        <v>#REF!</v>
      </c>
      <c r="J1068" t="e">
        <f t="shared" si="84"/>
        <v>#REF!</v>
      </c>
      <c r="K1068" s="141" t="e">
        <f t="shared" si="85"/>
        <v>#REF!</v>
      </c>
    </row>
    <row r="1069" spans="1:11" hidden="1" x14ac:dyDescent="0.25">
      <c r="A1069" t="e">
        <f>#REF!</f>
        <v>#REF!</v>
      </c>
      <c r="B1069" t="e">
        <f>#REF!</f>
        <v>#REF!</v>
      </c>
      <c r="C1069" t="e">
        <f>#REF!</f>
        <v>#REF!</v>
      </c>
      <c r="D1069" t="e">
        <f>#REF!</f>
        <v>#REF!</v>
      </c>
      <c r="E1069" t="e">
        <f>#REF!</f>
        <v>#REF!</v>
      </c>
      <c r="G1069" t="e">
        <f t="shared" si="81"/>
        <v>#REF!</v>
      </c>
      <c r="H1069" t="e">
        <f t="shared" si="82"/>
        <v>#REF!</v>
      </c>
      <c r="I1069" s="141" t="e">
        <f t="shared" si="83"/>
        <v>#REF!</v>
      </c>
      <c r="J1069" t="e">
        <f t="shared" si="84"/>
        <v>#REF!</v>
      </c>
      <c r="K1069" s="141" t="e">
        <f t="shared" si="85"/>
        <v>#REF!</v>
      </c>
    </row>
    <row r="1070" spans="1:11" hidden="1" x14ac:dyDescent="0.25">
      <c r="A1070" t="e">
        <f>#REF!</f>
        <v>#REF!</v>
      </c>
      <c r="B1070" t="e">
        <f>#REF!</f>
        <v>#REF!</v>
      </c>
      <c r="C1070" t="e">
        <f>#REF!</f>
        <v>#REF!</v>
      </c>
      <c r="D1070" t="e">
        <f>#REF!</f>
        <v>#REF!</v>
      </c>
      <c r="E1070" t="e">
        <f>#REF!</f>
        <v>#REF!</v>
      </c>
      <c r="G1070" t="e">
        <f t="shared" si="81"/>
        <v>#REF!</v>
      </c>
      <c r="H1070" t="e">
        <f t="shared" si="82"/>
        <v>#REF!</v>
      </c>
      <c r="I1070" s="141" t="e">
        <f t="shared" si="83"/>
        <v>#REF!</v>
      </c>
      <c r="J1070" t="e">
        <f t="shared" si="84"/>
        <v>#REF!</v>
      </c>
      <c r="K1070" s="141" t="e">
        <f t="shared" si="85"/>
        <v>#REF!</v>
      </c>
    </row>
    <row r="1071" spans="1:11" hidden="1" x14ac:dyDescent="0.25">
      <c r="A1071" t="e">
        <f>#REF!</f>
        <v>#REF!</v>
      </c>
      <c r="B1071" t="e">
        <f>#REF!</f>
        <v>#REF!</v>
      </c>
      <c r="C1071" t="e">
        <f>#REF!</f>
        <v>#REF!</v>
      </c>
      <c r="D1071" t="e">
        <f>#REF!</f>
        <v>#REF!</v>
      </c>
      <c r="E1071" t="e">
        <f>#REF!</f>
        <v>#REF!</v>
      </c>
      <c r="G1071" t="e">
        <f t="shared" si="81"/>
        <v>#REF!</v>
      </c>
      <c r="H1071" t="e">
        <f t="shared" si="82"/>
        <v>#REF!</v>
      </c>
      <c r="I1071" s="141" t="e">
        <f t="shared" si="83"/>
        <v>#REF!</v>
      </c>
      <c r="J1071" t="e">
        <f t="shared" si="84"/>
        <v>#REF!</v>
      </c>
      <c r="K1071" s="141" t="e">
        <f t="shared" si="85"/>
        <v>#REF!</v>
      </c>
    </row>
    <row r="1072" spans="1:11" hidden="1" x14ac:dyDescent="0.25">
      <c r="A1072" t="e">
        <f>#REF!</f>
        <v>#REF!</v>
      </c>
      <c r="B1072" t="e">
        <f>#REF!</f>
        <v>#REF!</v>
      </c>
      <c r="C1072" t="e">
        <f>#REF!</f>
        <v>#REF!</v>
      </c>
      <c r="D1072" t="e">
        <f>#REF!</f>
        <v>#REF!</v>
      </c>
      <c r="E1072" t="e">
        <f>#REF!</f>
        <v>#REF!</v>
      </c>
      <c r="G1072" t="e">
        <f t="shared" si="81"/>
        <v>#REF!</v>
      </c>
      <c r="H1072" t="e">
        <f t="shared" si="82"/>
        <v>#REF!</v>
      </c>
      <c r="I1072" s="141" t="e">
        <f t="shared" si="83"/>
        <v>#REF!</v>
      </c>
      <c r="J1072" t="e">
        <f t="shared" si="84"/>
        <v>#REF!</v>
      </c>
      <c r="K1072" s="141" t="e">
        <f t="shared" si="85"/>
        <v>#REF!</v>
      </c>
    </row>
    <row r="1073" spans="1:11" hidden="1" x14ac:dyDescent="0.25">
      <c r="A1073" t="e">
        <f>#REF!</f>
        <v>#REF!</v>
      </c>
      <c r="B1073" t="e">
        <f>#REF!</f>
        <v>#REF!</v>
      </c>
      <c r="C1073" t="e">
        <f>#REF!</f>
        <v>#REF!</v>
      </c>
      <c r="D1073" t="e">
        <f>#REF!</f>
        <v>#REF!</v>
      </c>
      <c r="E1073" t="e">
        <f>#REF!</f>
        <v>#REF!</v>
      </c>
      <c r="G1073" t="e">
        <f t="shared" si="81"/>
        <v>#REF!</v>
      </c>
      <c r="H1073" t="e">
        <f t="shared" si="82"/>
        <v>#REF!</v>
      </c>
      <c r="I1073" s="141" t="e">
        <f t="shared" si="83"/>
        <v>#REF!</v>
      </c>
      <c r="J1073" t="e">
        <f t="shared" si="84"/>
        <v>#REF!</v>
      </c>
      <c r="K1073" s="141" t="e">
        <f t="shared" si="85"/>
        <v>#REF!</v>
      </c>
    </row>
    <row r="1074" spans="1:11" hidden="1" x14ac:dyDescent="0.25">
      <c r="A1074" t="e">
        <f>#REF!</f>
        <v>#REF!</v>
      </c>
      <c r="B1074" t="e">
        <f>#REF!</f>
        <v>#REF!</v>
      </c>
      <c r="C1074" t="e">
        <f>#REF!</f>
        <v>#REF!</v>
      </c>
      <c r="D1074" t="e">
        <f>#REF!</f>
        <v>#REF!</v>
      </c>
      <c r="E1074" t="e">
        <f>#REF!</f>
        <v>#REF!</v>
      </c>
      <c r="G1074" t="e">
        <f t="shared" si="81"/>
        <v>#REF!</v>
      </c>
      <c r="H1074" t="e">
        <f t="shared" si="82"/>
        <v>#REF!</v>
      </c>
      <c r="I1074" s="141" t="e">
        <f t="shared" si="83"/>
        <v>#REF!</v>
      </c>
      <c r="J1074" t="e">
        <f t="shared" si="84"/>
        <v>#REF!</v>
      </c>
      <c r="K1074" s="141" t="e">
        <f t="shared" si="85"/>
        <v>#REF!</v>
      </c>
    </row>
    <row r="1075" spans="1:11" hidden="1" x14ac:dyDescent="0.25">
      <c r="A1075" t="e">
        <f>#REF!</f>
        <v>#REF!</v>
      </c>
      <c r="B1075" t="e">
        <f>#REF!</f>
        <v>#REF!</v>
      </c>
      <c r="C1075" t="e">
        <f>#REF!</f>
        <v>#REF!</v>
      </c>
      <c r="D1075" t="e">
        <f>#REF!</f>
        <v>#REF!</v>
      </c>
      <c r="E1075" t="e">
        <f>#REF!</f>
        <v>#REF!</v>
      </c>
      <c r="G1075" t="e">
        <f t="shared" si="81"/>
        <v>#REF!</v>
      </c>
      <c r="H1075" t="e">
        <f t="shared" si="82"/>
        <v>#REF!</v>
      </c>
      <c r="I1075" s="141" t="e">
        <f t="shared" si="83"/>
        <v>#REF!</v>
      </c>
      <c r="J1075" t="e">
        <f t="shared" si="84"/>
        <v>#REF!</v>
      </c>
      <c r="K1075" s="141" t="e">
        <f t="shared" si="85"/>
        <v>#REF!</v>
      </c>
    </row>
    <row r="1076" spans="1:11" hidden="1" x14ac:dyDescent="0.25">
      <c r="A1076" t="e">
        <f>#REF!</f>
        <v>#REF!</v>
      </c>
      <c r="B1076" t="e">
        <f>#REF!</f>
        <v>#REF!</v>
      </c>
      <c r="C1076" t="e">
        <f>#REF!</f>
        <v>#REF!</v>
      </c>
      <c r="D1076" t="e">
        <f>#REF!</f>
        <v>#REF!</v>
      </c>
      <c r="E1076" t="e">
        <f>#REF!</f>
        <v>#REF!</v>
      </c>
      <c r="G1076" t="e">
        <f t="shared" si="81"/>
        <v>#REF!</v>
      </c>
      <c r="H1076" t="e">
        <f t="shared" si="82"/>
        <v>#REF!</v>
      </c>
      <c r="I1076" s="141" t="e">
        <f t="shared" si="83"/>
        <v>#REF!</v>
      </c>
      <c r="J1076" t="e">
        <f t="shared" si="84"/>
        <v>#REF!</v>
      </c>
      <c r="K1076" s="141" t="e">
        <f t="shared" si="85"/>
        <v>#REF!</v>
      </c>
    </row>
    <row r="1077" spans="1:11" hidden="1" x14ac:dyDescent="0.25">
      <c r="A1077" t="e">
        <f>#REF!</f>
        <v>#REF!</v>
      </c>
      <c r="B1077" t="e">
        <f>#REF!</f>
        <v>#REF!</v>
      </c>
      <c r="C1077" t="e">
        <f>#REF!</f>
        <v>#REF!</v>
      </c>
      <c r="D1077" t="e">
        <f>#REF!</f>
        <v>#REF!</v>
      </c>
      <c r="E1077" t="e">
        <f>#REF!</f>
        <v>#REF!</v>
      </c>
      <c r="G1077" t="e">
        <f t="shared" si="81"/>
        <v>#REF!</v>
      </c>
      <c r="H1077" t="e">
        <f t="shared" si="82"/>
        <v>#REF!</v>
      </c>
      <c r="I1077" s="141" t="e">
        <f t="shared" si="83"/>
        <v>#REF!</v>
      </c>
      <c r="J1077" t="e">
        <f t="shared" si="84"/>
        <v>#REF!</v>
      </c>
      <c r="K1077" s="141" t="e">
        <f t="shared" si="85"/>
        <v>#REF!</v>
      </c>
    </row>
    <row r="1078" spans="1:11" hidden="1" x14ac:dyDescent="0.25">
      <c r="A1078" t="e">
        <f>#REF!</f>
        <v>#REF!</v>
      </c>
      <c r="B1078" t="e">
        <f>#REF!</f>
        <v>#REF!</v>
      </c>
      <c r="C1078" t="e">
        <f>#REF!</f>
        <v>#REF!</v>
      </c>
      <c r="D1078" t="e">
        <f>#REF!</f>
        <v>#REF!</v>
      </c>
      <c r="E1078" t="e">
        <f>#REF!</f>
        <v>#REF!</v>
      </c>
      <c r="G1078" t="e">
        <f t="shared" si="81"/>
        <v>#REF!</v>
      </c>
      <c r="H1078" t="e">
        <f t="shared" si="82"/>
        <v>#REF!</v>
      </c>
      <c r="I1078" s="141" t="e">
        <f t="shared" si="83"/>
        <v>#REF!</v>
      </c>
      <c r="J1078" t="e">
        <f t="shared" si="84"/>
        <v>#REF!</v>
      </c>
      <c r="K1078" s="141" t="e">
        <f t="shared" si="85"/>
        <v>#REF!</v>
      </c>
    </row>
    <row r="1079" spans="1:11" hidden="1" x14ac:dyDescent="0.25">
      <c r="A1079" t="e">
        <f>#REF!</f>
        <v>#REF!</v>
      </c>
      <c r="B1079" t="e">
        <f>#REF!</f>
        <v>#REF!</v>
      </c>
      <c r="C1079" t="e">
        <f>#REF!</f>
        <v>#REF!</v>
      </c>
      <c r="D1079" t="e">
        <f>#REF!</f>
        <v>#REF!</v>
      </c>
      <c r="E1079" t="e">
        <f>#REF!</f>
        <v>#REF!</v>
      </c>
      <c r="G1079" t="e">
        <f t="shared" si="81"/>
        <v>#REF!</v>
      </c>
      <c r="H1079" t="e">
        <f t="shared" si="82"/>
        <v>#REF!</v>
      </c>
      <c r="I1079" s="141" t="e">
        <f t="shared" si="83"/>
        <v>#REF!</v>
      </c>
      <c r="J1079" t="e">
        <f t="shared" si="84"/>
        <v>#REF!</v>
      </c>
      <c r="K1079" s="141" t="e">
        <f t="shared" si="85"/>
        <v>#REF!</v>
      </c>
    </row>
    <row r="1080" spans="1:11" hidden="1" x14ac:dyDescent="0.25">
      <c r="A1080" t="e">
        <f>#REF!</f>
        <v>#REF!</v>
      </c>
      <c r="B1080" t="e">
        <f>#REF!</f>
        <v>#REF!</v>
      </c>
      <c r="C1080" t="e">
        <f>#REF!</f>
        <v>#REF!</v>
      </c>
      <c r="D1080" t="e">
        <f>#REF!</f>
        <v>#REF!</v>
      </c>
      <c r="E1080" t="e">
        <f>#REF!</f>
        <v>#REF!</v>
      </c>
      <c r="G1080" t="e">
        <f t="shared" si="81"/>
        <v>#REF!</v>
      </c>
      <c r="H1080" t="e">
        <f t="shared" si="82"/>
        <v>#REF!</v>
      </c>
      <c r="I1080" s="141" t="e">
        <f t="shared" si="83"/>
        <v>#REF!</v>
      </c>
      <c r="J1080" t="e">
        <f t="shared" si="84"/>
        <v>#REF!</v>
      </c>
      <c r="K1080" s="141" t="e">
        <f t="shared" si="85"/>
        <v>#REF!</v>
      </c>
    </row>
    <row r="1081" spans="1:11" hidden="1" x14ac:dyDescent="0.25">
      <c r="A1081" t="e">
        <f>#REF!</f>
        <v>#REF!</v>
      </c>
      <c r="B1081" t="e">
        <f>#REF!</f>
        <v>#REF!</v>
      </c>
      <c r="C1081" t="e">
        <f>#REF!</f>
        <v>#REF!</v>
      </c>
      <c r="D1081" t="e">
        <f>#REF!</f>
        <v>#REF!</v>
      </c>
      <c r="E1081" t="e">
        <f>#REF!</f>
        <v>#REF!</v>
      </c>
      <c r="G1081" t="e">
        <f t="shared" si="81"/>
        <v>#REF!</v>
      </c>
      <c r="H1081" t="e">
        <f t="shared" si="82"/>
        <v>#REF!</v>
      </c>
      <c r="I1081" s="141" t="e">
        <f t="shared" si="83"/>
        <v>#REF!</v>
      </c>
      <c r="J1081" t="e">
        <f t="shared" si="84"/>
        <v>#REF!</v>
      </c>
      <c r="K1081" s="141" t="e">
        <f t="shared" si="85"/>
        <v>#REF!</v>
      </c>
    </row>
    <row r="1082" spans="1:11" hidden="1" x14ac:dyDescent="0.25">
      <c r="A1082" t="e">
        <f>#REF!</f>
        <v>#REF!</v>
      </c>
      <c r="B1082" t="e">
        <f>#REF!</f>
        <v>#REF!</v>
      </c>
      <c r="C1082" t="e">
        <f>#REF!</f>
        <v>#REF!</v>
      </c>
      <c r="D1082" t="e">
        <f>#REF!</f>
        <v>#REF!</v>
      </c>
      <c r="E1082" t="e">
        <f>#REF!</f>
        <v>#REF!</v>
      </c>
      <c r="G1082" t="e">
        <f t="shared" si="81"/>
        <v>#REF!</v>
      </c>
      <c r="H1082" t="e">
        <f t="shared" si="82"/>
        <v>#REF!</v>
      </c>
      <c r="I1082" s="141" t="e">
        <f t="shared" si="83"/>
        <v>#REF!</v>
      </c>
      <c r="J1082" t="e">
        <f t="shared" si="84"/>
        <v>#REF!</v>
      </c>
      <c r="K1082" s="141" t="e">
        <f t="shared" si="85"/>
        <v>#REF!</v>
      </c>
    </row>
    <row r="1083" spans="1:11" hidden="1" x14ac:dyDescent="0.25">
      <c r="A1083" t="e">
        <f>#REF!</f>
        <v>#REF!</v>
      </c>
      <c r="B1083" t="e">
        <f>#REF!</f>
        <v>#REF!</v>
      </c>
      <c r="C1083" t="e">
        <f>#REF!</f>
        <v>#REF!</v>
      </c>
      <c r="D1083" t="e">
        <f>#REF!</f>
        <v>#REF!</v>
      </c>
      <c r="E1083" t="e">
        <f>#REF!</f>
        <v>#REF!</v>
      </c>
      <c r="G1083" t="e">
        <f t="shared" si="81"/>
        <v>#REF!</v>
      </c>
      <c r="H1083" t="e">
        <f t="shared" si="82"/>
        <v>#REF!</v>
      </c>
      <c r="I1083" s="141" t="e">
        <f t="shared" si="83"/>
        <v>#REF!</v>
      </c>
      <c r="J1083" t="e">
        <f t="shared" si="84"/>
        <v>#REF!</v>
      </c>
      <c r="K1083" s="141" t="e">
        <f t="shared" si="85"/>
        <v>#REF!</v>
      </c>
    </row>
    <row r="1084" spans="1:11" hidden="1" x14ac:dyDescent="0.25">
      <c r="A1084" t="e">
        <f>#REF!</f>
        <v>#REF!</v>
      </c>
      <c r="B1084" t="e">
        <f>#REF!</f>
        <v>#REF!</v>
      </c>
      <c r="C1084" t="e">
        <f>#REF!</f>
        <v>#REF!</v>
      </c>
      <c r="D1084" t="e">
        <f>#REF!</f>
        <v>#REF!</v>
      </c>
      <c r="E1084" t="e">
        <f>#REF!</f>
        <v>#REF!</v>
      </c>
      <c r="G1084" t="e">
        <f t="shared" si="81"/>
        <v>#REF!</v>
      </c>
      <c r="H1084" t="e">
        <f t="shared" si="82"/>
        <v>#REF!</v>
      </c>
      <c r="I1084" s="141" t="e">
        <f t="shared" si="83"/>
        <v>#REF!</v>
      </c>
      <c r="J1084" t="e">
        <f t="shared" si="84"/>
        <v>#REF!</v>
      </c>
      <c r="K1084" s="141" t="e">
        <f t="shared" si="85"/>
        <v>#REF!</v>
      </c>
    </row>
    <row r="1085" spans="1:11" hidden="1" x14ac:dyDescent="0.25">
      <c r="A1085" t="e">
        <f>#REF!</f>
        <v>#REF!</v>
      </c>
      <c r="B1085" t="e">
        <f>#REF!</f>
        <v>#REF!</v>
      </c>
      <c r="C1085" t="e">
        <f>#REF!</f>
        <v>#REF!</v>
      </c>
      <c r="D1085" t="e">
        <f>#REF!</f>
        <v>#REF!</v>
      </c>
      <c r="E1085" t="e">
        <f>#REF!</f>
        <v>#REF!</v>
      </c>
      <c r="G1085" t="e">
        <f t="shared" si="81"/>
        <v>#REF!</v>
      </c>
      <c r="H1085" t="e">
        <f t="shared" si="82"/>
        <v>#REF!</v>
      </c>
      <c r="I1085" s="141" t="e">
        <f t="shared" si="83"/>
        <v>#REF!</v>
      </c>
      <c r="J1085" t="e">
        <f t="shared" si="84"/>
        <v>#REF!</v>
      </c>
      <c r="K1085" s="141" t="e">
        <f t="shared" si="85"/>
        <v>#REF!</v>
      </c>
    </row>
    <row r="1086" spans="1:11" hidden="1" x14ac:dyDescent="0.25">
      <c r="A1086" t="e">
        <f>#REF!</f>
        <v>#REF!</v>
      </c>
      <c r="B1086" t="e">
        <f>#REF!</f>
        <v>#REF!</v>
      </c>
      <c r="C1086" t="e">
        <f>#REF!</f>
        <v>#REF!</v>
      </c>
      <c r="D1086" t="e">
        <f>#REF!</f>
        <v>#REF!</v>
      </c>
      <c r="E1086" t="e">
        <f>#REF!</f>
        <v>#REF!</v>
      </c>
      <c r="G1086" t="e">
        <f t="shared" si="81"/>
        <v>#REF!</v>
      </c>
      <c r="H1086" t="e">
        <f t="shared" si="82"/>
        <v>#REF!</v>
      </c>
      <c r="I1086" s="141" t="e">
        <f t="shared" si="83"/>
        <v>#REF!</v>
      </c>
      <c r="J1086" t="e">
        <f t="shared" si="84"/>
        <v>#REF!</v>
      </c>
      <c r="K1086" s="141" t="e">
        <f t="shared" si="85"/>
        <v>#REF!</v>
      </c>
    </row>
    <row r="1087" spans="1:11" hidden="1" x14ac:dyDescent="0.25">
      <c r="A1087" t="e">
        <f>#REF!</f>
        <v>#REF!</v>
      </c>
      <c r="B1087" t="e">
        <f>#REF!</f>
        <v>#REF!</v>
      </c>
      <c r="C1087" t="e">
        <f>#REF!</f>
        <v>#REF!</v>
      </c>
      <c r="D1087" t="e">
        <f>#REF!</f>
        <v>#REF!</v>
      </c>
      <c r="E1087" t="e">
        <f>#REF!</f>
        <v>#REF!</v>
      </c>
      <c r="G1087" t="e">
        <f t="shared" si="81"/>
        <v>#REF!</v>
      </c>
      <c r="H1087" t="e">
        <f t="shared" si="82"/>
        <v>#REF!</v>
      </c>
      <c r="I1087" s="141" t="e">
        <f t="shared" si="83"/>
        <v>#REF!</v>
      </c>
      <c r="J1087" t="e">
        <f t="shared" si="84"/>
        <v>#REF!</v>
      </c>
      <c r="K1087" s="141" t="e">
        <f t="shared" si="85"/>
        <v>#REF!</v>
      </c>
    </row>
    <row r="1088" spans="1:11" hidden="1" x14ac:dyDescent="0.25">
      <c r="A1088" t="e">
        <f>#REF!</f>
        <v>#REF!</v>
      </c>
      <c r="B1088" t="e">
        <f>#REF!</f>
        <v>#REF!</v>
      </c>
      <c r="C1088" t="e">
        <f>#REF!</f>
        <v>#REF!</v>
      </c>
      <c r="D1088" t="e">
        <f>#REF!</f>
        <v>#REF!</v>
      </c>
      <c r="E1088" t="e">
        <f>#REF!</f>
        <v>#REF!</v>
      </c>
      <c r="G1088" t="e">
        <f t="shared" si="81"/>
        <v>#REF!</v>
      </c>
      <c r="H1088" t="e">
        <f t="shared" si="82"/>
        <v>#REF!</v>
      </c>
      <c r="I1088" s="141" t="e">
        <f t="shared" si="83"/>
        <v>#REF!</v>
      </c>
      <c r="J1088" t="e">
        <f t="shared" si="84"/>
        <v>#REF!</v>
      </c>
      <c r="K1088" s="141" t="e">
        <f t="shared" si="85"/>
        <v>#REF!</v>
      </c>
    </row>
    <row r="1089" spans="1:11" hidden="1" x14ac:dyDescent="0.25">
      <c r="A1089" t="e">
        <f>#REF!</f>
        <v>#REF!</v>
      </c>
      <c r="B1089" t="e">
        <f>#REF!</f>
        <v>#REF!</v>
      </c>
      <c r="C1089" t="e">
        <f>#REF!</f>
        <v>#REF!</v>
      </c>
      <c r="D1089" t="e">
        <f>#REF!</f>
        <v>#REF!</v>
      </c>
      <c r="E1089" t="e">
        <f>#REF!</f>
        <v>#REF!</v>
      </c>
      <c r="G1089" t="e">
        <f t="shared" si="81"/>
        <v>#REF!</v>
      </c>
      <c r="H1089" t="e">
        <f t="shared" si="82"/>
        <v>#REF!</v>
      </c>
      <c r="I1089" s="141" t="e">
        <f t="shared" si="83"/>
        <v>#REF!</v>
      </c>
      <c r="J1089" t="e">
        <f t="shared" si="84"/>
        <v>#REF!</v>
      </c>
      <c r="K1089" s="141" t="e">
        <f t="shared" si="85"/>
        <v>#REF!</v>
      </c>
    </row>
    <row r="1090" spans="1:11" hidden="1" x14ac:dyDescent="0.25">
      <c r="A1090" t="e">
        <f>#REF!</f>
        <v>#REF!</v>
      </c>
      <c r="B1090" t="e">
        <f>#REF!</f>
        <v>#REF!</v>
      </c>
      <c r="C1090" t="e">
        <f>#REF!</f>
        <v>#REF!</v>
      </c>
      <c r="D1090" t="e">
        <f>#REF!</f>
        <v>#REF!</v>
      </c>
      <c r="E1090" t="e">
        <f>#REF!</f>
        <v>#REF!</v>
      </c>
      <c r="G1090" t="e">
        <f t="shared" ref="G1090:G1153" si="86">A1090</f>
        <v>#REF!</v>
      </c>
      <c r="H1090" t="e">
        <f t="shared" ref="H1090:H1153" si="87">B1090</f>
        <v>#REF!</v>
      </c>
      <c r="I1090" s="141" t="e">
        <f t="shared" ref="I1090:I1153" si="88">C1090</f>
        <v>#REF!</v>
      </c>
      <c r="J1090" t="e">
        <f t="shared" ref="J1090:J1153" si="89">D1090</f>
        <v>#REF!</v>
      </c>
      <c r="K1090" s="141" t="e">
        <f t="shared" ref="K1090:K1153" si="90">E1090</f>
        <v>#REF!</v>
      </c>
    </row>
    <row r="1091" spans="1:11" hidden="1" x14ac:dyDescent="0.25">
      <c r="A1091" t="e">
        <f>#REF!</f>
        <v>#REF!</v>
      </c>
      <c r="B1091" t="e">
        <f>#REF!</f>
        <v>#REF!</v>
      </c>
      <c r="C1091" t="e">
        <f>#REF!</f>
        <v>#REF!</v>
      </c>
      <c r="D1091" t="e">
        <f>#REF!</f>
        <v>#REF!</v>
      </c>
      <c r="E1091" t="e">
        <f>#REF!</f>
        <v>#REF!</v>
      </c>
      <c r="G1091" t="e">
        <f t="shared" si="86"/>
        <v>#REF!</v>
      </c>
      <c r="H1091" t="e">
        <f t="shared" si="87"/>
        <v>#REF!</v>
      </c>
      <c r="I1091" s="141" t="e">
        <f t="shared" si="88"/>
        <v>#REF!</v>
      </c>
      <c r="J1091" t="e">
        <f t="shared" si="89"/>
        <v>#REF!</v>
      </c>
      <c r="K1091" s="141" t="e">
        <f t="shared" si="90"/>
        <v>#REF!</v>
      </c>
    </row>
    <row r="1092" spans="1:11" hidden="1" x14ac:dyDescent="0.25">
      <c r="A1092" t="e">
        <f>#REF!</f>
        <v>#REF!</v>
      </c>
      <c r="B1092" t="e">
        <f>#REF!</f>
        <v>#REF!</v>
      </c>
      <c r="C1092" t="e">
        <f>#REF!</f>
        <v>#REF!</v>
      </c>
      <c r="D1092" t="e">
        <f>#REF!</f>
        <v>#REF!</v>
      </c>
      <c r="E1092" t="e">
        <f>#REF!</f>
        <v>#REF!</v>
      </c>
      <c r="G1092" t="e">
        <f t="shared" si="86"/>
        <v>#REF!</v>
      </c>
      <c r="H1092" t="e">
        <f t="shared" si="87"/>
        <v>#REF!</v>
      </c>
      <c r="I1092" s="141" t="e">
        <f t="shared" si="88"/>
        <v>#REF!</v>
      </c>
      <c r="J1092" t="e">
        <f t="shared" si="89"/>
        <v>#REF!</v>
      </c>
      <c r="K1092" s="141" t="e">
        <f t="shared" si="90"/>
        <v>#REF!</v>
      </c>
    </row>
    <row r="1093" spans="1:11" hidden="1" x14ac:dyDescent="0.25">
      <c r="A1093" t="e">
        <f>#REF!</f>
        <v>#REF!</v>
      </c>
      <c r="B1093" t="e">
        <f>#REF!</f>
        <v>#REF!</v>
      </c>
      <c r="C1093" t="e">
        <f>#REF!</f>
        <v>#REF!</v>
      </c>
      <c r="D1093" t="e">
        <f>#REF!</f>
        <v>#REF!</v>
      </c>
      <c r="E1093" t="e">
        <f>#REF!</f>
        <v>#REF!</v>
      </c>
      <c r="G1093" t="e">
        <f t="shared" si="86"/>
        <v>#REF!</v>
      </c>
      <c r="H1093" t="e">
        <f t="shared" si="87"/>
        <v>#REF!</v>
      </c>
      <c r="I1093" s="141" t="e">
        <f t="shared" si="88"/>
        <v>#REF!</v>
      </c>
      <c r="J1093" t="e">
        <f t="shared" si="89"/>
        <v>#REF!</v>
      </c>
      <c r="K1093" s="141" t="e">
        <f t="shared" si="90"/>
        <v>#REF!</v>
      </c>
    </row>
    <row r="1094" spans="1:11" hidden="1" x14ac:dyDescent="0.25">
      <c r="A1094" t="e">
        <f>#REF!</f>
        <v>#REF!</v>
      </c>
      <c r="B1094" t="e">
        <f>#REF!</f>
        <v>#REF!</v>
      </c>
      <c r="C1094" t="e">
        <f>#REF!</f>
        <v>#REF!</v>
      </c>
      <c r="D1094" t="e">
        <f>#REF!</f>
        <v>#REF!</v>
      </c>
      <c r="E1094" t="e">
        <f>#REF!</f>
        <v>#REF!</v>
      </c>
      <c r="G1094" t="e">
        <f t="shared" si="86"/>
        <v>#REF!</v>
      </c>
      <c r="H1094" t="e">
        <f t="shared" si="87"/>
        <v>#REF!</v>
      </c>
      <c r="I1094" s="141" t="e">
        <f t="shared" si="88"/>
        <v>#REF!</v>
      </c>
      <c r="J1094" t="e">
        <f t="shared" si="89"/>
        <v>#REF!</v>
      </c>
      <c r="K1094" s="141" t="e">
        <f t="shared" si="90"/>
        <v>#REF!</v>
      </c>
    </row>
    <row r="1095" spans="1:11" hidden="1" x14ac:dyDescent="0.25">
      <c r="A1095" t="e">
        <f>#REF!</f>
        <v>#REF!</v>
      </c>
      <c r="B1095" t="e">
        <f>#REF!</f>
        <v>#REF!</v>
      </c>
      <c r="C1095" t="e">
        <f>#REF!</f>
        <v>#REF!</v>
      </c>
      <c r="D1095" t="e">
        <f>#REF!</f>
        <v>#REF!</v>
      </c>
      <c r="E1095" t="e">
        <f>#REF!</f>
        <v>#REF!</v>
      </c>
      <c r="G1095" t="e">
        <f t="shared" si="86"/>
        <v>#REF!</v>
      </c>
      <c r="H1095" t="e">
        <f t="shared" si="87"/>
        <v>#REF!</v>
      </c>
      <c r="I1095" s="141" t="e">
        <f t="shared" si="88"/>
        <v>#REF!</v>
      </c>
      <c r="J1095" t="e">
        <f t="shared" si="89"/>
        <v>#REF!</v>
      </c>
      <c r="K1095" s="141" t="e">
        <f t="shared" si="90"/>
        <v>#REF!</v>
      </c>
    </row>
    <row r="1096" spans="1:11" hidden="1" x14ac:dyDescent="0.25">
      <c r="A1096" t="e">
        <f>#REF!</f>
        <v>#REF!</v>
      </c>
      <c r="B1096" t="e">
        <f>#REF!</f>
        <v>#REF!</v>
      </c>
      <c r="C1096" t="e">
        <f>#REF!</f>
        <v>#REF!</v>
      </c>
      <c r="D1096" t="e">
        <f>#REF!</f>
        <v>#REF!</v>
      </c>
      <c r="E1096" t="e">
        <f>#REF!</f>
        <v>#REF!</v>
      </c>
      <c r="G1096" t="e">
        <f t="shared" si="86"/>
        <v>#REF!</v>
      </c>
      <c r="H1096" t="e">
        <f t="shared" si="87"/>
        <v>#REF!</v>
      </c>
      <c r="I1096" s="141" t="e">
        <f t="shared" si="88"/>
        <v>#REF!</v>
      </c>
      <c r="J1096" t="e">
        <f t="shared" si="89"/>
        <v>#REF!</v>
      </c>
      <c r="K1096" s="141" t="e">
        <f t="shared" si="90"/>
        <v>#REF!</v>
      </c>
    </row>
    <row r="1097" spans="1:11" hidden="1" x14ac:dyDescent="0.25">
      <c r="A1097" t="e">
        <f>#REF!</f>
        <v>#REF!</v>
      </c>
      <c r="B1097" t="e">
        <f>#REF!</f>
        <v>#REF!</v>
      </c>
      <c r="C1097" t="e">
        <f>#REF!</f>
        <v>#REF!</v>
      </c>
      <c r="D1097" t="e">
        <f>#REF!</f>
        <v>#REF!</v>
      </c>
      <c r="E1097" t="e">
        <f>#REF!</f>
        <v>#REF!</v>
      </c>
      <c r="G1097" t="e">
        <f t="shared" si="86"/>
        <v>#REF!</v>
      </c>
      <c r="H1097" t="e">
        <f t="shared" si="87"/>
        <v>#REF!</v>
      </c>
      <c r="I1097" s="141" t="e">
        <f t="shared" si="88"/>
        <v>#REF!</v>
      </c>
      <c r="J1097" t="e">
        <f t="shared" si="89"/>
        <v>#REF!</v>
      </c>
      <c r="K1097" s="141" t="e">
        <f t="shared" si="90"/>
        <v>#REF!</v>
      </c>
    </row>
    <row r="1098" spans="1:11" hidden="1" x14ac:dyDescent="0.25">
      <c r="A1098" t="e">
        <f>#REF!</f>
        <v>#REF!</v>
      </c>
      <c r="B1098" t="e">
        <f>#REF!</f>
        <v>#REF!</v>
      </c>
      <c r="C1098" t="e">
        <f>#REF!</f>
        <v>#REF!</v>
      </c>
      <c r="D1098" t="e">
        <f>#REF!</f>
        <v>#REF!</v>
      </c>
      <c r="E1098" t="e">
        <f>#REF!</f>
        <v>#REF!</v>
      </c>
      <c r="G1098" t="e">
        <f t="shared" si="86"/>
        <v>#REF!</v>
      </c>
      <c r="H1098" t="e">
        <f t="shared" si="87"/>
        <v>#REF!</v>
      </c>
      <c r="I1098" s="141" t="e">
        <f t="shared" si="88"/>
        <v>#REF!</v>
      </c>
      <c r="J1098" t="e">
        <f t="shared" si="89"/>
        <v>#REF!</v>
      </c>
      <c r="K1098" s="141" t="e">
        <f t="shared" si="90"/>
        <v>#REF!</v>
      </c>
    </row>
    <row r="1099" spans="1:11" hidden="1" x14ac:dyDescent="0.25">
      <c r="A1099" t="e">
        <f>#REF!</f>
        <v>#REF!</v>
      </c>
      <c r="B1099" t="e">
        <f>#REF!</f>
        <v>#REF!</v>
      </c>
      <c r="C1099" t="e">
        <f>#REF!</f>
        <v>#REF!</v>
      </c>
      <c r="D1099" t="e">
        <f>#REF!</f>
        <v>#REF!</v>
      </c>
      <c r="E1099" t="e">
        <f>#REF!</f>
        <v>#REF!</v>
      </c>
      <c r="G1099" t="e">
        <f t="shared" si="86"/>
        <v>#REF!</v>
      </c>
      <c r="H1099" t="e">
        <f t="shared" si="87"/>
        <v>#REF!</v>
      </c>
      <c r="I1099" s="141" t="e">
        <f t="shared" si="88"/>
        <v>#REF!</v>
      </c>
      <c r="J1099" t="e">
        <f t="shared" si="89"/>
        <v>#REF!</v>
      </c>
      <c r="K1099" s="141" t="e">
        <f t="shared" si="90"/>
        <v>#REF!</v>
      </c>
    </row>
    <row r="1100" spans="1:11" hidden="1" x14ac:dyDescent="0.25">
      <c r="A1100" t="e">
        <f>#REF!</f>
        <v>#REF!</v>
      </c>
      <c r="B1100" t="e">
        <f>#REF!</f>
        <v>#REF!</v>
      </c>
      <c r="C1100" t="e">
        <f>#REF!</f>
        <v>#REF!</v>
      </c>
      <c r="D1100" t="e">
        <f>#REF!</f>
        <v>#REF!</v>
      </c>
      <c r="E1100" t="e">
        <f>#REF!</f>
        <v>#REF!</v>
      </c>
      <c r="G1100" t="e">
        <f t="shared" si="86"/>
        <v>#REF!</v>
      </c>
      <c r="H1100" t="e">
        <f t="shared" si="87"/>
        <v>#REF!</v>
      </c>
      <c r="I1100" s="141" t="e">
        <f t="shared" si="88"/>
        <v>#REF!</v>
      </c>
      <c r="J1100" t="e">
        <f t="shared" si="89"/>
        <v>#REF!</v>
      </c>
      <c r="K1100" s="141" t="e">
        <f t="shared" si="90"/>
        <v>#REF!</v>
      </c>
    </row>
    <row r="1101" spans="1:11" hidden="1" x14ac:dyDescent="0.25">
      <c r="A1101" t="e">
        <f>#REF!</f>
        <v>#REF!</v>
      </c>
      <c r="B1101" t="e">
        <f>#REF!</f>
        <v>#REF!</v>
      </c>
      <c r="C1101" t="e">
        <f>#REF!</f>
        <v>#REF!</v>
      </c>
      <c r="D1101" t="e">
        <f>#REF!</f>
        <v>#REF!</v>
      </c>
      <c r="E1101" t="e">
        <f>#REF!</f>
        <v>#REF!</v>
      </c>
      <c r="G1101" t="e">
        <f t="shared" si="86"/>
        <v>#REF!</v>
      </c>
      <c r="H1101" t="e">
        <f t="shared" si="87"/>
        <v>#REF!</v>
      </c>
      <c r="I1101" s="141" t="e">
        <f t="shared" si="88"/>
        <v>#REF!</v>
      </c>
      <c r="J1101" t="e">
        <f t="shared" si="89"/>
        <v>#REF!</v>
      </c>
      <c r="K1101" s="141" t="e">
        <f t="shared" si="90"/>
        <v>#REF!</v>
      </c>
    </row>
    <row r="1102" spans="1:11" hidden="1" x14ac:dyDescent="0.25">
      <c r="A1102" t="e">
        <f>#REF!</f>
        <v>#REF!</v>
      </c>
      <c r="B1102" t="e">
        <f>#REF!</f>
        <v>#REF!</v>
      </c>
      <c r="C1102" t="e">
        <f>#REF!</f>
        <v>#REF!</v>
      </c>
      <c r="D1102" t="e">
        <f>#REF!</f>
        <v>#REF!</v>
      </c>
      <c r="E1102" t="e">
        <f>#REF!</f>
        <v>#REF!</v>
      </c>
      <c r="G1102" t="e">
        <f t="shared" si="86"/>
        <v>#REF!</v>
      </c>
      <c r="H1102" t="e">
        <f t="shared" si="87"/>
        <v>#REF!</v>
      </c>
      <c r="I1102" s="141" t="e">
        <f t="shared" si="88"/>
        <v>#REF!</v>
      </c>
      <c r="J1102" t="e">
        <f t="shared" si="89"/>
        <v>#REF!</v>
      </c>
      <c r="K1102" s="141" t="e">
        <f t="shared" si="90"/>
        <v>#REF!</v>
      </c>
    </row>
    <row r="1103" spans="1:11" hidden="1" x14ac:dyDescent="0.25">
      <c r="A1103" t="e">
        <f>#REF!</f>
        <v>#REF!</v>
      </c>
      <c r="B1103" t="e">
        <f>#REF!</f>
        <v>#REF!</v>
      </c>
      <c r="C1103" t="e">
        <f>#REF!</f>
        <v>#REF!</v>
      </c>
      <c r="D1103" t="e">
        <f>#REF!</f>
        <v>#REF!</v>
      </c>
      <c r="E1103" t="e">
        <f>#REF!</f>
        <v>#REF!</v>
      </c>
      <c r="G1103" t="e">
        <f t="shared" si="86"/>
        <v>#REF!</v>
      </c>
      <c r="H1103" t="e">
        <f t="shared" si="87"/>
        <v>#REF!</v>
      </c>
      <c r="I1103" s="141" t="e">
        <f t="shared" si="88"/>
        <v>#REF!</v>
      </c>
      <c r="J1103" t="e">
        <f t="shared" si="89"/>
        <v>#REF!</v>
      </c>
      <c r="K1103" s="141" t="e">
        <f t="shared" si="90"/>
        <v>#REF!</v>
      </c>
    </row>
    <row r="1104" spans="1:11" hidden="1" x14ac:dyDescent="0.25">
      <c r="A1104" t="e">
        <f>#REF!</f>
        <v>#REF!</v>
      </c>
      <c r="B1104" t="e">
        <f>#REF!</f>
        <v>#REF!</v>
      </c>
      <c r="C1104" t="e">
        <f>#REF!</f>
        <v>#REF!</v>
      </c>
      <c r="D1104" t="e">
        <f>#REF!</f>
        <v>#REF!</v>
      </c>
      <c r="E1104" t="e">
        <f>#REF!</f>
        <v>#REF!</v>
      </c>
      <c r="G1104" t="e">
        <f t="shared" si="86"/>
        <v>#REF!</v>
      </c>
      <c r="H1104" t="e">
        <f t="shared" si="87"/>
        <v>#REF!</v>
      </c>
      <c r="I1104" s="141" t="e">
        <f t="shared" si="88"/>
        <v>#REF!</v>
      </c>
      <c r="J1104" t="e">
        <f t="shared" si="89"/>
        <v>#REF!</v>
      </c>
      <c r="K1104" s="141" t="e">
        <f t="shared" si="90"/>
        <v>#REF!</v>
      </c>
    </row>
    <row r="1105" spans="1:11" hidden="1" x14ac:dyDescent="0.25">
      <c r="A1105" t="e">
        <f>#REF!</f>
        <v>#REF!</v>
      </c>
      <c r="B1105" t="e">
        <f>#REF!</f>
        <v>#REF!</v>
      </c>
      <c r="C1105" t="e">
        <f>#REF!</f>
        <v>#REF!</v>
      </c>
      <c r="D1105" t="e">
        <f>#REF!</f>
        <v>#REF!</v>
      </c>
      <c r="E1105" t="e">
        <f>#REF!</f>
        <v>#REF!</v>
      </c>
      <c r="G1105" t="e">
        <f t="shared" si="86"/>
        <v>#REF!</v>
      </c>
      <c r="H1105" t="e">
        <f t="shared" si="87"/>
        <v>#REF!</v>
      </c>
      <c r="I1105" s="141" t="e">
        <f t="shared" si="88"/>
        <v>#REF!</v>
      </c>
      <c r="J1105" t="e">
        <f t="shared" si="89"/>
        <v>#REF!</v>
      </c>
      <c r="K1105" s="141" t="e">
        <f t="shared" si="90"/>
        <v>#REF!</v>
      </c>
    </row>
    <row r="1106" spans="1:11" hidden="1" x14ac:dyDescent="0.25">
      <c r="A1106" t="e">
        <f>#REF!</f>
        <v>#REF!</v>
      </c>
      <c r="B1106" t="e">
        <f>#REF!</f>
        <v>#REF!</v>
      </c>
      <c r="C1106" t="e">
        <f>#REF!</f>
        <v>#REF!</v>
      </c>
      <c r="D1106" t="e">
        <f>#REF!</f>
        <v>#REF!</v>
      </c>
      <c r="E1106" t="e">
        <f>#REF!</f>
        <v>#REF!</v>
      </c>
      <c r="G1106" t="e">
        <f t="shared" si="86"/>
        <v>#REF!</v>
      </c>
      <c r="H1106" t="e">
        <f t="shared" si="87"/>
        <v>#REF!</v>
      </c>
      <c r="I1106" s="141" t="e">
        <f t="shared" si="88"/>
        <v>#REF!</v>
      </c>
      <c r="J1106" t="e">
        <f t="shared" si="89"/>
        <v>#REF!</v>
      </c>
      <c r="K1106" s="141" t="e">
        <f t="shared" si="90"/>
        <v>#REF!</v>
      </c>
    </row>
    <row r="1107" spans="1:11" hidden="1" x14ac:dyDescent="0.25">
      <c r="A1107" t="e">
        <f>#REF!</f>
        <v>#REF!</v>
      </c>
      <c r="B1107" t="e">
        <f>#REF!</f>
        <v>#REF!</v>
      </c>
      <c r="C1107" t="e">
        <f>#REF!</f>
        <v>#REF!</v>
      </c>
      <c r="D1107" t="e">
        <f>#REF!</f>
        <v>#REF!</v>
      </c>
      <c r="E1107" t="e">
        <f>#REF!</f>
        <v>#REF!</v>
      </c>
      <c r="G1107" t="e">
        <f t="shared" si="86"/>
        <v>#REF!</v>
      </c>
      <c r="H1107" t="e">
        <f t="shared" si="87"/>
        <v>#REF!</v>
      </c>
      <c r="I1107" s="141" t="e">
        <f t="shared" si="88"/>
        <v>#REF!</v>
      </c>
      <c r="J1107" t="e">
        <f t="shared" si="89"/>
        <v>#REF!</v>
      </c>
      <c r="K1107" s="141" t="e">
        <f t="shared" si="90"/>
        <v>#REF!</v>
      </c>
    </row>
    <row r="1108" spans="1:11" hidden="1" x14ac:dyDescent="0.25">
      <c r="A1108" t="e">
        <f>#REF!</f>
        <v>#REF!</v>
      </c>
      <c r="B1108" t="e">
        <f>#REF!</f>
        <v>#REF!</v>
      </c>
      <c r="C1108" t="e">
        <f>#REF!</f>
        <v>#REF!</v>
      </c>
      <c r="D1108" t="e">
        <f>#REF!</f>
        <v>#REF!</v>
      </c>
      <c r="E1108" t="e">
        <f>#REF!</f>
        <v>#REF!</v>
      </c>
      <c r="G1108" t="e">
        <f t="shared" si="86"/>
        <v>#REF!</v>
      </c>
      <c r="H1108" t="e">
        <f t="shared" si="87"/>
        <v>#REF!</v>
      </c>
      <c r="I1108" s="141" t="e">
        <f t="shared" si="88"/>
        <v>#REF!</v>
      </c>
      <c r="J1108" t="e">
        <f t="shared" si="89"/>
        <v>#REF!</v>
      </c>
      <c r="K1108" s="141" t="e">
        <f t="shared" si="90"/>
        <v>#REF!</v>
      </c>
    </row>
    <row r="1109" spans="1:11" hidden="1" x14ac:dyDescent="0.25">
      <c r="A1109" t="e">
        <f>#REF!</f>
        <v>#REF!</v>
      </c>
      <c r="B1109" t="e">
        <f>#REF!</f>
        <v>#REF!</v>
      </c>
      <c r="C1109" t="e">
        <f>#REF!</f>
        <v>#REF!</v>
      </c>
      <c r="D1109" t="e">
        <f>#REF!</f>
        <v>#REF!</v>
      </c>
      <c r="E1109" t="e">
        <f>#REF!</f>
        <v>#REF!</v>
      </c>
      <c r="G1109" t="e">
        <f t="shared" si="86"/>
        <v>#REF!</v>
      </c>
      <c r="H1109" t="e">
        <f t="shared" si="87"/>
        <v>#REF!</v>
      </c>
      <c r="I1109" s="141" t="e">
        <f t="shared" si="88"/>
        <v>#REF!</v>
      </c>
      <c r="J1109" t="e">
        <f t="shared" si="89"/>
        <v>#REF!</v>
      </c>
      <c r="K1109" s="141" t="e">
        <f t="shared" si="90"/>
        <v>#REF!</v>
      </c>
    </row>
    <row r="1110" spans="1:11" hidden="1" x14ac:dyDescent="0.25">
      <c r="A1110" t="e">
        <f>#REF!</f>
        <v>#REF!</v>
      </c>
      <c r="B1110" t="e">
        <f>#REF!</f>
        <v>#REF!</v>
      </c>
      <c r="C1110" t="e">
        <f>#REF!</f>
        <v>#REF!</v>
      </c>
      <c r="D1110" t="e">
        <f>#REF!</f>
        <v>#REF!</v>
      </c>
      <c r="E1110" t="e">
        <f>#REF!</f>
        <v>#REF!</v>
      </c>
      <c r="G1110" t="e">
        <f t="shared" si="86"/>
        <v>#REF!</v>
      </c>
      <c r="H1110" t="e">
        <f t="shared" si="87"/>
        <v>#REF!</v>
      </c>
      <c r="I1110" s="141" t="e">
        <f t="shared" si="88"/>
        <v>#REF!</v>
      </c>
      <c r="J1110" t="e">
        <f t="shared" si="89"/>
        <v>#REF!</v>
      </c>
      <c r="K1110" s="141" t="e">
        <f t="shared" si="90"/>
        <v>#REF!</v>
      </c>
    </row>
    <row r="1111" spans="1:11" hidden="1" x14ac:dyDescent="0.25">
      <c r="A1111" t="e">
        <f>#REF!</f>
        <v>#REF!</v>
      </c>
      <c r="B1111" t="e">
        <f>#REF!</f>
        <v>#REF!</v>
      </c>
      <c r="C1111" t="e">
        <f>#REF!</f>
        <v>#REF!</v>
      </c>
      <c r="D1111" t="e">
        <f>#REF!</f>
        <v>#REF!</v>
      </c>
      <c r="E1111" t="e">
        <f>#REF!</f>
        <v>#REF!</v>
      </c>
      <c r="G1111" t="e">
        <f t="shared" si="86"/>
        <v>#REF!</v>
      </c>
      <c r="H1111" t="e">
        <f t="shared" si="87"/>
        <v>#REF!</v>
      </c>
      <c r="I1111" s="141" t="e">
        <f t="shared" si="88"/>
        <v>#REF!</v>
      </c>
      <c r="J1111" t="e">
        <f t="shared" si="89"/>
        <v>#REF!</v>
      </c>
      <c r="K1111" s="141" t="e">
        <f t="shared" si="90"/>
        <v>#REF!</v>
      </c>
    </row>
    <row r="1112" spans="1:11" hidden="1" x14ac:dyDescent="0.25">
      <c r="A1112" t="e">
        <f>#REF!</f>
        <v>#REF!</v>
      </c>
      <c r="B1112" t="e">
        <f>#REF!</f>
        <v>#REF!</v>
      </c>
      <c r="C1112" t="e">
        <f>#REF!</f>
        <v>#REF!</v>
      </c>
      <c r="D1112" t="e">
        <f>#REF!</f>
        <v>#REF!</v>
      </c>
      <c r="E1112" t="e">
        <f>#REF!</f>
        <v>#REF!</v>
      </c>
      <c r="G1112" t="e">
        <f t="shared" si="86"/>
        <v>#REF!</v>
      </c>
      <c r="H1112" t="e">
        <f t="shared" si="87"/>
        <v>#REF!</v>
      </c>
      <c r="I1112" s="141" t="e">
        <f t="shared" si="88"/>
        <v>#REF!</v>
      </c>
      <c r="J1112" t="e">
        <f t="shared" si="89"/>
        <v>#REF!</v>
      </c>
      <c r="K1112" s="141" t="e">
        <f t="shared" si="90"/>
        <v>#REF!</v>
      </c>
    </row>
    <row r="1113" spans="1:11" hidden="1" x14ac:dyDescent="0.25">
      <c r="A1113" t="e">
        <f>#REF!</f>
        <v>#REF!</v>
      </c>
      <c r="B1113" t="e">
        <f>#REF!</f>
        <v>#REF!</v>
      </c>
      <c r="C1113" t="e">
        <f>#REF!</f>
        <v>#REF!</v>
      </c>
      <c r="D1113" t="e">
        <f>#REF!</f>
        <v>#REF!</v>
      </c>
      <c r="E1113" t="e">
        <f>#REF!</f>
        <v>#REF!</v>
      </c>
      <c r="G1113" t="e">
        <f t="shared" si="86"/>
        <v>#REF!</v>
      </c>
      <c r="H1113" t="e">
        <f t="shared" si="87"/>
        <v>#REF!</v>
      </c>
      <c r="I1113" s="141" t="e">
        <f t="shared" si="88"/>
        <v>#REF!</v>
      </c>
      <c r="J1113" t="e">
        <f t="shared" si="89"/>
        <v>#REF!</v>
      </c>
      <c r="K1113" s="141" t="e">
        <f t="shared" si="90"/>
        <v>#REF!</v>
      </c>
    </row>
    <row r="1114" spans="1:11" hidden="1" x14ac:dyDescent="0.25">
      <c r="A1114" t="e">
        <f>#REF!</f>
        <v>#REF!</v>
      </c>
      <c r="B1114" t="e">
        <f>#REF!</f>
        <v>#REF!</v>
      </c>
      <c r="C1114" t="e">
        <f>#REF!</f>
        <v>#REF!</v>
      </c>
      <c r="D1114" t="e">
        <f>#REF!</f>
        <v>#REF!</v>
      </c>
      <c r="E1114" t="e">
        <f>#REF!</f>
        <v>#REF!</v>
      </c>
      <c r="G1114" t="e">
        <f t="shared" si="86"/>
        <v>#REF!</v>
      </c>
      <c r="H1114" t="e">
        <f t="shared" si="87"/>
        <v>#REF!</v>
      </c>
      <c r="I1114" s="141" t="e">
        <f t="shared" si="88"/>
        <v>#REF!</v>
      </c>
      <c r="J1114" t="e">
        <f t="shared" si="89"/>
        <v>#REF!</v>
      </c>
      <c r="K1114" s="141" t="e">
        <f t="shared" si="90"/>
        <v>#REF!</v>
      </c>
    </row>
    <row r="1115" spans="1:11" hidden="1" x14ac:dyDescent="0.25">
      <c r="A1115" t="e">
        <f>#REF!</f>
        <v>#REF!</v>
      </c>
      <c r="B1115" t="e">
        <f>#REF!</f>
        <v>#REF!</v>
      </c>
      <c r="C1115" t="e">
        <f>#REF!</f>
        <v>#REF!</v>
      </c>
      <c r="D1115" t="e">
        <f>#REF!</f>
        <v>#REF!</v>
      </c>
      <c r="E1115" t="e">
        <f>#REF!</f>
        <v>#REF!</v>
      </c>
      <c r="G1115" t="e">
        <f t="shared" si="86"/>
        <v>#REF!</v>
      </c>
      <c r="H1115" t="e">
        <f t="shared" si="87"/>
        <v>#REF!</v>
      </c>
      <c r="I1115" s="141" t="e">
        <f t="shared" si="88"/>
        <v>#REF!</v>
      </c>
      <c r="J1115" t="e">
        <f t="shared" si="89"/>
        <v>#REF!</v>
      </c>
      <c r="K1115" s="141" t="e">
        <f t="shared" si="90"/>
        <v>#REF!</v>
      </c>
    </row>
    <row r="1116" spans="1:11" hidden="1" x14ac:dyDescent="0.25">
      <c r="A1116" t="e">
        <f>#REF!</f>
        <v>#REF!</v>
      </c>
      <c r="B1116" t="e">
        <f>#REF!</f>
        <v>#REF!</v>
      </c>
      <c r="C1116" t="e">
        <f>#REF!</f>
        <v>#REF!</v>
      </c>
      <c r="D1116" t="e">
        <f>#REF!</f>
        <v>#REF!</v>
      </c>
      <c r="E1116" t="e">
        <f>#REF!</f>
        <v>#REF!</v>
      </c>
      <c r="G1116" t="e">
        <f t="shared" si="86"/>
        <v>#REF!</v>
      </c>
      <c r="H1116" t="e">
        <f t="shared" si="87"/>
        <v>#REF!</v>
      </c>
      <c r="I1116" s="141" t="e">
        <f t="shared" si="88"/>
        <v>#REF!</v>
      </c>
      <c r="J1116" t="e">
        <f t="shared" si="89"/>
        <v>#REF!</v>
      </c>
      <c r="K1116" s="141" t="e">
        <f t="shared" si="90"/>
        <v>#REF!</v>
      </c>
    </row>
    <row r="1117" spans="1:11" hidden="1" x14ac:dyDescent="0.25">
      <c r="A1117" t="e">
        <f>#REF!</f>
        <v>#REF!</v>
      </c>
      <c r="B1117" t="e">
        <f>#REF!</f>
        <v>#REF!</v>
      </c>
      <c r="C1117" t="e">
        <f>#REF!</f>
        <v>#REF!</v>
      </c>
      <c r="D1117" t="e">
        <f>#REF!</f>
        <v>#REF!</v>
      </c>
      <c r="E1117" t="e">
        <f>#REF!</f>
        <v>#REF!</v>
      </c>
      <c r="G1117" t="e">
        <f t="shared" si="86"/>
        <v>#REF!</v>
      </c>
      <c r="H1117" t="e">
        <f t="shared" si="87"/>
        <v>#REF!</v>
      </c>
      <c r="I1117" s="141" t="e">
        <f t="shared" si="88"/>
        <v>#REF!</v>
      </c>
      <c r="J1117" t="e">
        <f t="shared" si="89"/>
        <v>#REF!</v>
      </c>
      <c r="K1117" s="141" t="e">
        <f t="shared" si="90"/>
        <v>#REF!</v>
      </c>
    </row>
    <row r="1118" spans="1:11" hidden="1" x14ac:dyDescent="0.25">
      <c r="A1118" t="e">
        <f>#REF!</f>
        <v>#REF!</v>
      </c>
      <c r="B1118" t="e">
        <f>#REF!</f>
        <v>#REF!</v>
      </c>
      <c r="C1118" t="e">
        <f>#REF!</f>
        <v>#REF!</v>
      </c>
      <c r="D1118" t="e">
        <f>#REF!</f>
        <v>#REF!</v>
      </c>
      <c r="E1118" t="e">
        <f>#REF!</f>
        <v>#REF!</v>
      </c>
      <c r="G1118" t="e">
        <f t="shared" si="86"/>
        <v>#REF!</v>
      </c>
      <c r="H1118" t="e">
        <f t="shared" si="87"/>
        <v>#REF!</v>
      </c>
      <c r="I1118" s="141" t="e">
        <f t="shared" si="88"/>
        <v>#REF!</v>
      </c>
      <c r="J1118" t="e">
        <f t="shared" si="89"/>
        <v>#REF!</v>
      </c>
      <c r="K1118" s="141" t="e">
        <f t="shared" si="90"/>
        <v>#REF!</v>
      </c>
    </row>
    <row r="1119" spans="1:11" hidden="1" x14ac:dyDescent="0.25">
      <c r="A1119" t="e">
        <f>#REF!</f>
        <v>#REF!</v>
      </c>
      <c r="B1119" t="e">
        <f>#REF!</f>
        <v>#REF!</v>
      </c>
      <c r="C1119" t="e">
        <f>#REF!</f>
        <v>#REF!</v>
      </c>
      <c r="D1119" t="e">
        <f>#REF!</f>
        <v>#REF!</v>
      </c>
      <c r="E1119" t="e">
        <f>#REF!</f>
        <v>#REF!</v>
      </c>
      <c r="G1119" t="e">
        <f t="shared" si="86"/>
        <v>#REF!</v>
      </c>
      <c r="H1119" t="e">
        <f t="shared" si="87"/>
        <v>#REF!</v>
      </c>
      <c r="I1119" s="141" t="e">
        <f t="shared" si="88"/>
        <v>#REF!</v>
      </c>
      <c r="J1119" t="e">
        <f t="shared" si="89"/>
        <v>#REF!</v>
      </c>
      <c r="K1119" s="141" t="e">
        <f t="shared" si="90"/>
        <v>#REF!</v>
      </c>
    </row>
    <row r="1120" spans="1:11" hidden="1" x14ac:dyDescent="0.25">
      <c r="A1120" t="e">
        <f>#REF!</f>
        <v>#REF!</v>
      </c>
      <c r="B1120" t="e">
        <f>#REF!</f>
        <v>#REF!</v>
      </c>
      <c r="C1120" t="e">
        <f>#REF!</f>
        <v>#REF!</v>
      </c>
      <c r="D1120" t="e">
        <f>#REF!</f>
        <v>#REF!</v>
      </c>
      <c r="E1120" t="e">
        <f>#REF!</f>
        <v>#REF!</v>
      </c>
      <c r="G1120" t="e">
        <f t="shared" si="86"/>
        <v>#REF!</v>
      </c>
      <c r="H1120" t="e">
        <f t="shared" si="87"/>
        <v>#REF!</v>
      </c>
      <c r="I1120" s="141" t="e">
        <f t="shared" si="88"/>
        <v>#REF!</v>
      </c>
      <c r="J1120" t="e">
        <f t="shared" si="89"/>
        <v>#REF!</v>
      </c>
      <c r="K1120" s="141" t="e">
        <f t="shared" si="90"/>
        <v>#REF!</v>
      </c>
    </row>
    <row r="1121" spans="1:11" hidden="1" x14ac:dyDescent="0.25">
      <c r="A1121" t="e">
        <f>#REF!</f>
        <v>#REF!</v>
      </c>
      <c r="B1121" t="e">
        <f>#REF!</f>
        <v>#REF!</v>
      </c>
      <c r="C1121" t="e">
        <f>#REF!</f>
        <v>#REF!</v>
      </c>
      <c r="D1121" t="e">
        <f>#REF!</f>
        <v>#REF!</v>
      </c>
      <c r="E1121" t="e">
        <f>#REF!</f>
        <v>#REF!</v>
      </c>
      <c r="G1121" t="e">
        <f t="shared" si="86"/>
        <v>#REF!</v>
      </c>
      <c r="H1121" t="e">
        <f t="shared" si="87"/>
        <v>#REF!</v>
      </c>
      <c r="I1121" s="141" t="e">
        <f t="shared" si="88"/>
        <v>#REF!</v>
      </c>
      <c r="J1121" t="e">
        <f t="shared" si="89"/>
        <v>#REF!</v>
      </c>
      <c r="K1121" s="141" t="e">
        <f t="shared" si="90"/>
        <v>#REF!</v>
      </c>
    </row>
    <row r="1122" spans="1:11" hidden="1" x14ac:dyDescent="0.25">
      <c r="A1122" t="e">
        <f>#REF!</f>
        <v>#REF!</v>
      </c>
      <c r="B1122" t="e">
        <f>#REF!</f>
        <v>#REF!</v>
      </c>
      <c r="C1122" t="e">
        <f>#REF!</f>
        <v>#REF!</v>
      </c>
      <c r="D1122" t="e">
        <f>#REF!</f>
        <v>#REF!</v>
      </c>
      <c r="E1122" t="e">
        <f>#REF!</f>
        <v>#REF!</v>
      </c>
      <c r="G1122" t="e">
        <f t="shared" si="86"/>
        <v>#REF!</v>
      </c>
      <c r="H1122" t="e">
        <f t="shared" si="87"/>
        <v>#REF!</v>
      </c>
      <c r="I1122" s="141" t="e">
        <f t="shared" si="88"/>
        <v>#REF!</v>
      </c>
      <c r="J1122" t="e">
        <f t="shared" si="89"/>
        <v>#REF!</v>
      </c>
      <c r="K1122" s="141" t="e">
        <f t="shared" si="90"/>
        <v>#REF!</v>
      </c>
    </row>
    <row r="1123" spans="1:11" hidden="1" x14ac:dyDescent="0.25">
      <c r="A1123" t="e">
        <f>#REF!</f>
        <v>#REF!</v>
      </c>
      <c r="B1123" t="e">
        <f>#REF!</f>
        <v>#REF!</v>
      </c>
      <c r="C1123" t="e">
        <f>#REF!</f>
        <v>#REF!</v>
      </c>
      <c r="D1123" t="e">
        <f>#REF!</f>
        <v>#REF!</v>
      </c>
      <c r="E1123" t="e">
        <f>#REF!</f>
        <v>#REF!</v>
      </c>
      <c r="G1123" t="e">
        <f t="shared" si="86"/>
        <v>#REF!</v>
      </c>
      <c r="H1123" t="e">
        <f t="shared" si="87"/>
        <v>#REF!</v>
      </c>
      <c r="I1123" s="141" t="e">
        <f t="shared" si="88"/>
        <v>#REF!</v>
      </c>
      <c r="J1123" t="e">
        <f t="shared" si="89"/>
        <v>#REF!</v>
      </c>
      <c r="K1123" s="141" t="e">
        <f t="shared" si="90"/>
        <v>#REF!</v>
      </c>
    </row>
    <row r="1124" spans="1:11" hidden="1" x14ac:dyDescent="0.25">
      <c r="A1124" t="e">
        <f>#REF!</f>
        <v>#REF!</v>
      </c>
      <c r="B1124" t="e">
        <f>#REF!</f>
        <v>#REF!</v>
      </c>
      <c r="C1124" t="e">
        <f>#REF!</f>
        <v>#REF!</v>
      </c>
      <c r="D1124" t="e">
        <f>#REF!</f>
        <v>#REF!</v>
      </c>
      <c r="E1124" t="e">
        <f>#REF!</f>
        <v>#REF!</v>
      </c>
      <c r="G1124" t="e">
        <f t="shared" si="86"/>
        <v>#REF!</v>
      </c>
      <c r="H1124" t="e">
        <f t="shared" si="87"/>
        <v>#REF!</v>
      </c>
      <c r="I1124" s="141" t="e">
        <f t="shared" si="88"/>
        <v>#REF!</v>
      </c>
      <c r="J1124" t="e">
        <f t="shared" si="89"/>
        <v>#REF!</v>
      </c>
      <c r="K1124" s="141" t="e">
        <f t="shared" si="90"/>
        <v>#REF!</v>
      </c>
    </row>
    <row r="1125" spans="1:11" hidden="1" x14ac:dyDescent="0.25">
      <c r="A1125" t="e">
        <f>#REF!</f>
        <v>#REF!</v>
      </c>
      <c r="B1125" t="e">
        <f>#REF!</f>
        <v>#REF!</v>
      </c>
      <c r="C1125" t="e">
        <f>#REF!</f>
        <v>#REF!</v>
      </c>
      <c r="D1125" t="e">
        <f>#REF!</f>
        <v>#REF!</v>
      </c>
      <c r="E1125" t="e">
        <f>#REF!</f>
        <v>#REF!</v>
      </c>
      <c r="G1125" t="e">
        <f t="shared" si="86"/>
        <v>#REF!</v>
      </c>
      <c r="H1125" t="e">
        <f t="shared" si="87"/>
        <v>#REF!</v>
      </c>
      <c r="I1125" s="141" t="e">
        <f t="shared" si="88"/>
        <v>#REF!</v>
      </c>
      <c r="J1125" t="e">
        <f t="shared" si="89"/>
        <v>#REF!</v>
      </c>
      <c r="K1125" s="141" t="e">
        <f t="shared" si="90"/>
        <v>#REF!</v>
      </c>
    </row>
    <row r="1126" spans="1:11" hidden="1" x14ac:dyDescent="0.25">
      <c r="A1126" t="e">
        <f>#REF!</f>
        <v>#REF!</v>
      </c>
      <c r="B1126" t="e">
        <f>#REF!</f>
        <v>#REF!</v>
      </c>
      <c r="C1126" t="e">
        <f>#REF!</f>
        <v>#REF!</v>
      </c>
      <c r="D1126" t="e">
        <f>#REF!</f>
        <v>#REF!</v>
      </c>
      <c r="E1126" t="e">
        <f>#REF!</f>
        <v>#REF!</v>
      </c>
      <c r="G1126" t="e">
        <f t="shared" si="86"/>
        <v>#REF!</v>
      </c>
      <c r="H1126" t="e">
        <f t="shared" si="87"/>
        <v>#REF!</v>
      </c>
      <c r="I1126" s="141" t="e">
        <f t="shared" si="88"/>
        <v>#REF!</v>
      </c>
      <c r="J1126" t="e">
        <f t="shared" si="89"/>
        <v>#REF!</v>
      </c>
      <c r="K1126" s="141" t="e">
        <f t="shared" si="90"/>
        <v>#REF!</v>
      </c>
    </row>
    <row r="1127" spans="1:11" hidden="1" x14ac:dyDescent="0.25">
      <c r="A1127" t="e">
        <f>#REF!</f>
        <v>#REF!</v>
      </c>
      <c r="B1127" t="e">
        <f>#REF!</f>
        <v>#REF!</v>
      </c>
      <c r="C1127" t="e">
        <f>#REF!</f>
        <v>#REF!</v>
      </c>
      <c r="D1127" t="e">
        <f>#REF!</f>
        <v>#REF!</v>
      </c>
      <c r="E1127" t="e">
        <f>#REF!</f>
        <v>#REF!</v>
      </c>
      <c r="G1127" t="e">
        <f t="shared" si="86"/>
        <v>#REF!</v>
      </c>
      <c r="H1127" t="e">
        <f t="shared" si="87"/>
        <v>#REF!</v>
      </c>
      <c r="I1127" s="141" t="e">
        <f t="shared" si="88"/>
        <v>#REF!</v>
      </c>
      <c r="J1127" t="e">
        <f t="shared" si="89"/>
        <v>#REF!</v>
      </c>
      <c r="K1127" s="141" t="e">
        <f t="shared" si="90"/>
        <v>#REF!</v>
      </c>
    </row>
    <row r="1128" spans="1:11" hidden="1" x14ac:dyDescent="0.25">
      <c r="A1128" t="e">
        <f>#REF!</f>
        <v>#REF!</v>
      </c>
      <c r="B1128" t="e">
        <f>#REF!</f>
        <v>#REF!</v>
      </c>
      <c r="C1128" t="e">
        <f>#REF!</f>
        <v>#REF!</v>
      </c>
      <c r="D1128" t="e">
        <f>#REF!</f>
        <v>#REF!</v>
      </c>
      <c r="E1128" t="e">
        <f>#REF!</f>
        <v>#REF!</v>
      </c>
      <c r="G1128" t="e">
        <f t="shared" si="86"/>
        <v>#REF!</v>
      </c>
      <c r="H1128" t="e">
        <f t="shared" si="87"/>
        <v>#REF!</v>
      </c>
      <c r="I1128" s="141" t="e">
        <f t="shared" si="88"/>
        <v>#REF!</v>
      </c>
      <c r="J1128" t="e">
        <f t="shared" si="89"/>
        <v>#REF!</v>
      </c>
      <c r="K1128" s="141" t="e">
        <f t="shared" si="90"/>
        <v>#REF!</v>
      </c>
    </row>
    <row r="1129" spans="1:11" hidden="1" x14ac:dyDescent="0.25">
      <c r="A1129" t="e">
        <f>#REF!</f>
        <v>#REF!</v>
      </c>
      <c r="B1129" t="e">
        <f>#REF!</f>
        <v>#REF!</v>
      </c>
      <c r="C1129" t="e">
        <f>#REF!</f>
        <v>#REF!</v>
      </c>
      <c r="D1129" t="e">
        <f>#REF!</f>
        <v>#REF!</v>
      </c>
      <c r="E1129" t="e">
        <f>#REF!</f>
        <v>#REF!</v>
      </c>
      <c r="G1129" t="e">
        <f t="shared" si="86"/>
        <v>#REF!</v>
      </c>
      <c r="H1129" t="e">
        <f t="shared" si="87"/>
        <v>#REF!</v>
      </c>
      <c r="I1129" s="141" t="e">
        <f t="shared" si="88"/>
        <v>#REF!</v>
      </c>
      <c r="J1129" t="e">
        <f t="shared" si="89"/>
        <v>#REF!</v>
      </c>
      <c r="K1129" s="141" t="e">
        <f t="shared" si="90"/>
        <v>#REF!</v>
      </c>
    </row>
    <row r="1130" spans="1:11" hidden="1" x14ac:dyDescent="0.25">
      <c r="A1130" t="e">
        <f>#REF!</f>
        <v>#REF!</v>
      </c>
      <c r="B1130" t="e">
        <f>#REF!</f>
        <v>#REF!</v>
      </c>
      <c r="C1130" t="e">
        <f>#REF!</f>
        <v>#REF!</v>
      </c>
      <c r="D1130" t="e">
        <f>#REF!</f>
        <v>#REF!</v>
      </c>
      <c r="E1130" t="e">
        <f>#REF!</f>
        <v>#REF!</v>
      </c>
      <c r="G1130" t="e">
        <f t="shared" si="86"/>
        <v>#REF!</v>
      </c>
      <c r="H1130" t="e">
        <f t="shared" si="87"/>
        <v>#REF!</v>
      </c>
      <c r="I1130" s="141" t="e">
        <f t="shared" si="88"/>
        <v>#REF!</v>
      </c>
      <c r="J1130" t="e">
        <f t="shared" si="89"/>
        <v>#REF!</v>
      </c>
      <c r="K1130" s="141" t="e">
        <f t="shared" si="90"/>
        <v>#REF!</v>
      </c>
    </row>
    <row r="1131" spans="1:11" hidden="1" x14ac:dyDescent="0.25">
      <c r="A1131" t="e">
        <f>#REF!</f>
        <v>#REF!</v>
      </c>
      <c r="B1131" t="e">
        <f>#REF!</f>
        <v>#REF!</v>
      </c>
      <c r="C1131" t="e">
        <f>#REF!</f>
        <v>#REF!</v>
      </c>
      <c r="D1131" t="e">
        <f>#REF!</f>
        <v>#REF!</v>
      </c>
      <c r="E1131" t="e">
        <f>#REF!</f>
        <v>#REF!</v>
      </c>
      <c r="G1131" t="e">
        <f t="shared" si="86"/>
        <v>#REF!</v>
      </c>
      <c r="H1131" t="e">
        <f t="shared" si="87"/>
        <v>#REF!</v>
      </c>
      <c r="I1131" s="141" t="e">
        <f t="shared" si="88"/>
        <v>#REF!</v>
      </c>
      <c r="J1131" t="e">
        <f t="shared" si="89"/>
        <v>#REF!</v>
      </c>
      <c r="K1131" s="141" t="e">
        <f t="shared" si="90"/>
        <v>#REF!</v>
      </c>
    </row>
    <row r="1132" spans="1:11" hidden="1" x14ac:dyDescent="0.25">
      <c r="A1132" t="e">
        <f>#REF!</f>
        <v>#REF!</v>
      </c>
      <c r="B1132" t="e">
        <f>#REF!</f>
        <v>#REF!</v>
      </c>
      <c r="C1132" t="e">
        <f>#REF!</f>
        <v>#REF!</v>
      </c>
      <c r="D1132" t="e">
        <f>#REF!</f>
        <v>#REF!</v>
      </c>
      <c r="E1132" t="e">
        <f>#REF!</f>
        <v>#REF!</v>
      </c>
      <c r="G1132" t="e">
        <f t="shared" si="86"/>
        <v>#REF!</v>
      </c>
      <c r="H1132" t="e">
        <f t="shared" si="87"/>
        <v>#REF!</v>
      </c>
      <c r="I1132" s="141" t="e">
        <f t="shared" si="88"/>
        <v>#REF!</v>
      </c>
      <c r="J1132" t="e">
        <f t="shared" si="89"/>
        <v>#REF!</v>
      </c>
      <c r="K1132" s="141" t="e">
        <f t="shared" si="90"/>
        <v>#REF!</v>
      </c>
    </row>
    <row r="1133" spans="1:11" hidden="1" x14ac:dyDescent="0.25">
      <c r="A1133" t="e">
        <f>#REF!</f>
        <v>#REF!</v>
      </c>
      <c r="B1133" t="e">
        <f>#REF!</f>
        <v>#REF!</v>
      </c>
      <c r="C1133" t="e">
        <f>#REF!</f>
        <v>#REF!</v>
      </c>
      <c r="D1133" t="e">
        <f>#REF!</f>
        <v>#REF!</v>
      </c>
      <c r="E1133" t="e">
        <f>#REF!</f>
        <v>#REF!</v>
      </c>
      <c r="G1133" t="e">
        <f t="shared" si="86"/>
        <v>#REF!</v>
      </c>
      <c r="H1133" t="e">
        <f t="shared" si="87"/>
        <v>#REF!</v>
      </c>
      <c r="I1133" s="141" t="e">
        <f t="shared" si="88"/>
        <v>#REF!</v>
      </c>
      <c r="J1133" t="e">
        <f t="shared" si="89"/>
        <v>#REF!</v>
      </c>
      <c r="K1133" s="141" t="e">
        <f t="shared" si="90"/>
        <v>#REF!</v>
      </c>
    </row>
    <row r="1134" spans="1:11" hidden="1" x14ac:dyDescent="0.25">
      <c r="A1134" t="e">
        <f>#REF!</f>
        <v>#REF!</v>
      </c>
      <c r="B1134" t="e">
        <f>#REF!</f>
        <v>#REF!</v>
      </c>
      <c r="C1134" t="e">
        <f>#REF!</f>
        <v>#REF!</v>
      </c>
      <c r="D1134" t="e">
        <f>#REF!</f>
        <v>#REF!</v>
      </c>
      <c r="E1134" t="e">
        <f>#REF!</f>
        <v>#REF!</v>
      </c>
      <c r="G1134" t="e">
        <f t="shared" si="86"/>
        <v>#REF!</v>
      </c>
      <c r="H1134" t="e">
        <f t="shared" si="87"/>
        <v>#REF!</v>
      </c>
      <c r="I1134" s="141" t="e">
        <f t="shared" si="88"/>
        <v>#REF!</v>
      </c>
      <c r="J1134" t="e">
        <f t="shared" si="89"/>
        <v>#REF!</v>
      </c>
      <c r="K1134" s="141" t="e">
        <f t="shared" si="90"/>
        <v>#REF!</v>
      </c>
    </row>
    <row r="1135" spans="1:11" hidden="1" x14ac:dyDescent="0.25">
      <c r="A1135" t="e">
        <f>#REF!</f>
        <v>#REF!</v>
      </c>
      <c r="B1135" t="e">
        <f>#REF!</f>
        <v>#REF!</v>
      </c>
      <c r="C1135" t="e">
        <f>#REF!</f>
        <v>#REF!</v>
      </c>
      <c r="D1135" t="e">
        <f>#REF!</f>
        <v>#REF!</v>
      </c>
      <c r="E1135" t="e">
        <f>#REF!</f>
        <v>#REF!</v>
      </c>
      <c r="G1135" t="e">
        <f t="shared" si="86"/>
        <v>#REF!</v>
      </c>
      <c r="H1135" t="e">
        <f t="shared" si="87"/>
        <v>#REF!</v>
      </c>
      <c r="I1135" s="141" t="e">
        <f t="shared" si="88"/>
        <v>#REF!</v>
      </c>
      <c r="J1135" t="e">
        <f t="shared" si="89"/>
        <v>#REF!</v>
      </c>
      <c r="K1135" s="141" t="e">
        <f t="shared" si="90"/>
        <v>#REF!</v>
      </c>
    </row>
    <row r="1136" spans="1:11" hidden="1" x14ac:dyDescent="0.25">
      <c r="A1136" t="e">
        <f>#REF!</f>
        <v>#REF!</v>
      </c>
      <c r="B1136" t="e">
        <f>#REF!</f>
        <v>#REF!</v>
      </c>
      <c r="C1136" t="e">
        <f>#REF!</f>
        <v>#REF!</v>
      </c>
      <c r="D1136" t="e">
        <f>#REF!</f>
        <v>#REF!</v>
      </c>
      <c r="E1136" t="e">
        <f>#REF!</f>
        <v>#REF!</v>
      </c>
      <c r="G1136" t="e">
        <f t="shared" si="86"/>
        <v>#REF!</v>
      </c>
      <c r="H1136" t="e">
        <f t="shared" si="87"/>
        <v>#REF!</v>
      </c>
      <c r="I1136" s="141" t="e">
        <f t="shared" si="88"/>
        <v>#REF!</v>
      </c>
      <c r="J1136" t="e">
        <f t="shared" si="89"/>
        <v>#REF!</v>
      </c>
      <c r="K1136" s="141" t="e">
        <f t="shared" si="90"/>
        <v>#REF!</v>
      </c>
    </row>
    <row r="1137" spans="1:11" hidden="1" x14ac:dyDescent="0.25">
      <c r="A1137" t="e">
        <f>#REF!</f>
        <v>#REF!</v>
      </c>
      <c r="B1137" t="e">
        <f>#REF!</f>
        <v>#REF!</v>
      </c>
      <c r="C1137" t="e">
        <f>#REF!</f>
        <v>#REF!</v>
      </c>
      <c r="D1137" t="e">
        <f>#REF!</f>
        <v>#REF!</v>
      </c>
      <c r="E1137" t="e">
        <f>#REF!</f>
        <v>#REF!</v>
      </c>
      <c r="G1137" t="e">
        <f t="shared" si="86"/>
        <v>#REF!</v>
      </c>
      <c r="H1137" t="e">
        <f t="shared" si="87"/>
        <v>#REF!</v>
      </c>
      <c r="I1137" s="141" t="e">
        <f t="shared" si="88"/>
        <v>#REF!</v>
      </c>
      <c r="J1137" t="e">
        <f t="shared" si="89"/>
        <v>#REF!</v>
      </c>
      <c r="K1137" s="141" t="e">
        <f t="shared" si="90"/>
        <v>#REF!</v>
      </c>
    </row>
    <row r="1138" spans="1:11" hidden="1" x14ac:dyDescent="0.25">
      <c r="A1138" t="e">
        <f>#REF!</f>
        <v>#REF!</v>
      </c>
      <c r="B1138" t="e">
        <f>#REF!</f>
        <v>#REF!</v>
      </c>
      <c r="C1138" t="e">
        <f>#REF!</f>
        <v>#REF!</v>
      </c>
      <c r="D1138" t="e">
        <f>#REF!</f>
        <v>#REF!</v>
      </c>
      <c r="E1138" t="e">
        <f>#REF!</f>
        <v>#REF!</v>
      </c>
      <c r="G1138" t="e">
        <f t="shared" si="86"/>
        <v>#REF!</v>
      </c>
      <c r="H1138" t="e">
        <f t="shared" si="87"/>
        <v>#REF!</v>
      </c>
      <c r="I1138" s="141" t="e">
        <f t="shared" si="88"/>
        <v>#REF!</v>
      </c>
      <c r="J1138" t="e">
        <f t="shared" si="89"/>
        <v>#REF!</v>
      </c>
      <c r="K1138" s="141" t="e">
        <f t="shared" si="90"/>
        <v>#REF!</v>
      </c>
    </row>
    <row r="1139" spans="1:11" hidden="1" x14ac:dyDescent="0.25">
      <c r="A1139" t="e">
        <f>#REF!</f>
        <v>#REF!</v>
      </c>
      <c r="B1139" t="e">
        <f>#REF!</f>
        <v>#REF!</v>
      </c>
      <c r="C1139" t="e">
        <f>#REF!</f>
        <v>#REF!</v>
      </c>
      <c r="D1139" t="e">
        <f>#REF!</f>
        <v>#REF!</v>
      </c>
      <c r="E1139" t="e">
        <f>#REF!</f>
        <v>#REF!</v>
      </c>
      <c r="G1139" t="e">
        <f t="shared" si="86"/>
        <v>#REF!</v>
      </c>
      <c r="H1139" t="e">
        <f t="shared" si="87"/>
        <v>#REF!</v>
      </c>
      <c r="I1139" s="141" t="e">
        <f t="shared" si="88"/>
        <v>#REF!</v>
      </c>
      <c r="J1139" t="e">
        <f t="shared" si="89"/>
        <v>#REF!</v>
      </c>
      <c r="K1139" s="141" t="e">
        <f t="shared" si="90"/>
        <v>#REF!</v>
      </c>
    </row>
    <row r="1140" spans="1:11" hidden="1" x14ac:dyDescent="0.25">
      <c r="A1140" t="e">
        <f>#REF!</f>
        <v>#REF!</v>
      </c>
      <c r="B1140" t="e">
        <f>#REF!</f>
        <v>#REF!</v>
      </c>
      <c r="C1140" t="e">
        <f>#REF!</f>
        <v>#REF!</v>
      </c>
      <c r="D1140" t="e">
        <f>#REF!</f>
        <v>#REF!</v>
      </c>
      <c r="E1140" t="e">
        <f>#REF!</f>
        <v>#REF!</v>
      </c>
      <c r="G1140" t="e">
        <f t="shared" si="86"/>
        <v>#REF!</v>
      </c>
      <c r="H1140" t="e">
        <f t="shared" si="87"/>
        <v>#REF!</v>
      </c>
      <c r="I1140" s="141" t="e">
        <f t="shared" si="88"/>
        <v>#REF!</v>
      </c>
      <c r="J1140" t="e">
        <f t="shared" si="89"/>
        <v>#REF!</v>
      </c>
      <c r="K1140" s="141" t="e">
        <f t="shared" si="90"/>
        <v>#REF!</v>
      </c>
    </row>
    <row r="1141" spans="1:11" hidden="1" x14ac:dyDescent="0.25">
      <c r="A1141" t="e">
        <f>#REF!</f>
        <v>#REF!</v>
      </c>
      <c r="B1141" t="e">
        <f>#REF!</f>
        <v>#REF!</v>
      </c>
      <c r="C1141" t="e">
        <f>#REF!</f>
        <v>#REF!</v>
      </c>
      <c r="D1141" t="e">
        <f>#REF!</f>
        <v>#REF!</v>
      </c>
      <c r="E1141" t="e">
        <f>#REF!</f>
        <v>#REF!</v>
      </c>
      <c r="G1141" t="e">
        <f t="shared" si="86"/>
        <v>#REF!</v>
      </c>
      <c r="H1141" t="e">
        <f t="shared" si="87"/>
        <v>#REF!</v>
      </c>
      <c r="I1141" s="141" t="e">
        <f t="shared" si="88"/>
        <v>#REF!</v>
      </c>
      <c r="J1141" t="e">
        <f t="shared" si="89"/>
        <v>#REF!</v>
      </c>
      <c r="K1141" s="141" t="e">
        <f t="shared" si="90"/>
        <v>#REF!</v>
      </c>
    </row>
    <row r="1142" spans="1:11" hidden="1" x14ac:dyDescent="0.25">
      <c r="A1142" t="e">
        <f>#REF!</f>
        <v>#REF!</v>
      </c>
      <c r="B1142" t="e">
        <f>#REF!</f>
        <v>#REF!</v>
      </c>
      <c r="C1142" t="e">
        <f>#REF!</f>
        <v>#REF!</v>
      </c>
      <c r="D1142" t="e">
        <f>#REF!</f>
        <v>#REF!</v>
      </c>
      <c r="E1142" t="e">
        <f>#REF!</f>
        <v>#REF!</v>
      </c>
      <c r="G1142" t="e">
        <f t="shared" si="86"/>
        <v>#REF!</v>
      </c>
      <c r="H1142" t="e">
        <f t="shared" si="87"/>
        <v>#REF!</v>
      </c>
      <c r="I1142" s="141" t="e">
        <f t="shared" si="88"/>
        <v>#REF!</v>
      </c>
      <c r="J1142" t="e">
        <f t="shared" si="89"/>
        <v>#REF!</v>
      </c>
      <c r="K1142" s="141" t="e">
        <f t="shared" si="90"/>
        <v>#REF!</v>
      </c>
    </row>
    <row r="1143" spans="1:11" hidden="1" x14ac:dyDescent="0.25">
      <c r="A1143" t="e">
        <f>#REF!</f>
        <v>#REF!</v>
      </c>
      <c r="B1143" t="e">
        <f>#REF!</f>
        <v>#REF!</v>
      </c>
      <c r="C1143" t="e">
        <f>#REF!</f>
        <v>#REF!</v>
      </c>
      <c r="D1143" t="e">
        <f>#REF!</f>
        <v>#REF!</v>
      </c>
      <c r="E1143" t="e">
        <f>#REF!</f>
        <v>#REF!</v>
      </c>
      <c r="G1143" t="e">
        <f t="shared" si="86"/>
        <v>#REF!</v>
      </c>
      <c r="H1143" t="e">
        <f t="shared" si="87"/>
        <v>#REF!</v>
      </c>
      <c r="I1143" s="141" t="e">
        <f t="shared" si="88"/>
        <v>#REF!</v>
      </c>
      <c r="J1143" t="e">
        <f t="shared" si="89"/>
        <v>#REF!</v>
      </c>
      <c r="K1143" s="141" t="e">
        <f t="shared" si="90"/>
        <v>#REF!</v>
      </c>
    </row>
    <row r="1144" spans="1:11" hidden="1" x14ac:dyDescent="0.25">
      <c r="A1144" t="e">
        <f>#REF!</f>
        <v>#REF!</v>
      </c>
      <c r="B1144" t="e">
        <f>#REF!</f>
        <v>#REF!</v>
      </c>
      <c r="C1144" t="e">
        <f>#REF!</f>
        <v>#REF!</v>
      </c>
      <c r="D1144" t="e">
        <f>#REF!</f>
        <v>#REF!</v>
      </c>
      <c r="E1144" t="e">
        <f>#REF!</f>
        <v>#REF!</v>
      </c>
      <c r="G1144" t="e">
        <f t="shared" si="86"/>
        <v>#REF!</v>
      </c>
      <c r="H1144" t="e">
        <f t="shared" si="87"/>
        <v>#REF!</v>
      </c>
      <c r="I1144" s="141" t="e">
        <f t="shared" si="88"/>
        <v>#REF!</v>
      </c>
      <c r="J1144" t="e">
        <f t="shared" si="89"/>
        <v>#REF!</v>
      </c>
      <c r="K1144" s="141" t="e">
        <f t="shared" si="90"/>
        <v>#REF!</v>
      </c>
    </row>
    <row r="1145" spans="1:11" hidden="1" x14ac:dyDescent="0.25">
      <c r="A1145" t="e">
        <f>#REF!</f>
        <v>#REF!</v>
      </c>
      <c r="B1145" t="e">
        <f>#REF!</f>
        <v>#REF!</v>
      </c>
      <c r="C1145" t="e">
        <f>#REF!</f>
        <v>#REF!</v>
      </c>
      <c r="D1145" t="e">
        <f>#REF!</f>
        <v>#REF!</v>
      </c>
      <c r="E1145" t="e">
        <f>#REF!</f>
        <v>#REF!</v>
      </c>
      <c r="G1145" t="e">
        <f t="shared" si="86"/>
        <v>#REF!</v>
      </c>
      <c r="H1145" t="e">
        <f t="shared" si="87"/>
        <v>#REF!</v>
      </c>
      <c r="I1145" s="141" t="e">
        <f t="shared" si="88"/>
        <v>#REF!</v>
      </c>
      <c r="J1145" t="e">
        <f t="shared" si="89"/>
        <v>#REF!</v>
      </c>
      <c r="K1145" s="141" t="e">
        <f t="shared" si="90"/>
        <v>#REF!</v>
      </c>
    </row>
    <row r="1146" spans="1:11" hidden="1" x14ac:dyDescent="0.25">
      <c r="A1146" t="e">
        <f>#REF!</f>
        <v>#REF!</v>
      </c>
      <c r="B1146" t="e">
        <f>#REF!</f>
        <v>#REF!</v>
      </c>
      <c r="C1146" t="e">
        <f>#REF!</f>
        <v>#REF!</v>
      </c>
      <c r="D1146" t="e">
        <f>#REF!</f>
        <v>#REF!</v>
      </c>
      <c r="E1146" t="e">
        <f>#REF!</f>
        <v>#REF!</v>
      </c>
      <c r="G1146" t="e">
        <f t="shared" si="86"/>
        <v>#REF!</v>
      </c>
      <c r="H1146" t="e">
        <f t="shared" si="87"/>
        <v>#REF!</v>
      </c>
      <c r="I1146" s="141" t="e">
        <f t="shared" si="88"/>
        <v>#REF!</v>
      </c>
      <c r="J1146" t="e">
        <f t="shared" si="89"/>
        <v>#REF!</v>
      </c>
      <c r="K1146" s="141" t="e">
        <f t="shared" si="90"/>
        <v>#REF!</v>
      </c>
    </row>
    <row r="1147" spans="1:11" hidden="1" x14ac:dyDescent="0.25">
      <c r="A1147" t="e">
        <f>#REF!</f>
        <v>#REF!</v>
      </c>
      <c r="B1147" t="e">
        <f>#REF!</f>
        <v>#REF!</v>
      </c>
      <c r="C1147" t="e">
        <f>#REF!</f>
        <v>#REF!</v>
      </c>
      <c r="D1147" t="e">
        <f>#REF!</f>
        <v>#REF!</v>
      </c>
      <c r="E1147" t="e">
        <f>#REF!</f>
        <v>#REF!</v>
      </c>
      <c r="G1147" t="e">
        <f t="shared" si="86"/>
        <v>#REF!</v>
      </c>
      <c r="H1147" t="e">
        <f t="shared" si="87"/>
        <v>#REF!</v>
      </c>
      <c r="I1147" s="141" t="e">
        <f t="shared" si="88"/>
        <v>#REF!</v>
      </c>
      <c r="J1147" t="e">
        <f t="shared" si="89"/>
        <v>#REF!</v>
      </c>
      <c r="K1147" s="141" t="e">
        <f t="shared" si="90"/>
        <v>#REF!</v>
      </c>
    </row>
    <row r="1148" spans="1:11" hidden="1" x14ac:dyDescent="0.25">
      <c r="A1148" t="e">
        <f>#REF!</f>
        <v>#REF!</v>
      </c>
      <c r="B1148" t="e">
        <f>#REF!</f>
        <v>#REF!</v>
      </c>
      <c r="C1148" t="e">
        <f>#REF!</f>
        <v>#REF!</v>
      </c>
      <c r="D1148" t="e">
        <f>#REF!</f>
        <v>#REF!</v>
      </c>
      <c r="E1148" t="e">
        <f>#REF!</f>
        <v>#REF!</v>
      </c>
      <c r="G1148" t="e">
        <f t="shared" si="86"/>
        <v>#REF!</v>
      </c>
      <c r="H1148" t="e">
        <f t="shared" si="87"/>
        <v>#REF!</v>
      </c>
      <c r="I1148" s="141" t="e">
        <f t="shared" si="88"/>
        <v>#REF!</v>
      </c>
      <c r="J1148" t="e">
        <f t="shared" si="89"/>
        <v>#REF!</v>
      </c>
      <c r="K1148" s="141" t="e">
        <f t="shared" si="90"/>
        <v>#REF!</v>
      </c>
    </row>
    <row r="1149" spans="1:11" hidden="1" x14ac:dyDescent="0.25">
      <c r="A1149" t="e">
        <f>#REF!</f>
        <v>#REF!</v>
      </c>
      <c r="B1149" t="e">
        <f>#REF!</f>
        <v>#REF!</v>
      </c>
      <c r="C1149" t="e">
        <f>#REF!</f>
        <v>#REF!</v>
      </c>
      <c r="D1149" t="e">
        <f>#REF!</f>
        <v>#REF!</v>
      </c>
      <c r="E1149" t="e">
        <f>#REF!</f>
        <v>#REF!</v>
      </c>
      <c r="G1149" t="e">
        <f t="shared" si="86"/>
        <v>#REF!</v>
      </c>
      <c r="H1149" t="e">
        <f t="shared" si="87"/>
        <v>#REF!</v>
      </c>
      <c r="I1149" s="141" t="e">
        <f t="shared" si="88"/>
        <v>#REF!</v>
      </c>
      <c r="J1149" t="e">
        <f t="shared" si="89"/>
        <v>#REF!</v>
      </c>
      <c r="K1149" s="141" t="e">
        <f t="shared" si="90"/>
        <v>#REF!</v>
      </c>
    </row>
    <row r="1150" spans="1:11" hidden="1" x14ac:dyDescent="0.25">
      <c r="A1150" t="e">
        <f>#REF!</f>
        <v>#REF!</v>
      </c>
      <c r="B1150" t="e">
        <f>#REF!</f>
        <v>#REF!</v>
      </c>
      <c r="C1150" t="e">
        <f>#REF!</f>
        <v>#REF!</v>
      </c>
      <c r="D1150" t="e">
        <f>#REF!</f>
        <v>#REF!</v>
      </c>
      <c r="E1150" t="e">
        <f>#REF!</f>
        <v>#REF!</v>
      </c>
      <c r="G1150" t="e">
        <f t="shared" si="86"/>
        <v>#REF!</v>
      </c>
      <c r="H1150" t="e">
        <f t="shared" si="87"/>
        <v>#REF!</v>
      </c>
      <c r="I1150" s="141" t="e">
        <f t="shared" si="88"/>
        <v>#REF!</v>
      </c>
      <c r="J1150" t="e">
        <f t="shared" si="89"/>
        <v>#REF!</v>
      </c>
      <c r="K1150" s="141" t="e">
        <f t="shared" si="90"/>
        <v>#REF!</v>
      </c>
    </row>
    <row r="1151" spans="1:11" hidden="1" x14ac:dyDescent="0.25">
      <c r="A1151" t="e">
        <f>#REF!</f>
        <v>#REF!</v>
      </c>
      <c r="B1151" t="e">
        <f>#REF!</f>
        <v>#REF!</v>
      </c>
      <c r="C1151" t="e">
        <f>#REF!</f>
        <v>#REF!</v>
      </c>
      <c r="D1151" t="e">
        <f>#REF!</f>
        <v>#REF!</v>
      </c>
      <c r="E1151" t="e">
        <f>#REF!</f>
        <v>#REF!</v>
      </c>
      <c r="G1151" t="e">
        <f t="shared" si="86"/>
        <v>#REF!</v>
      </c>
      <c r="H1151" t="e">
        <f t="shared" si="87"/>
        <v>#REF!</v>
      </c>
      <c r="I1151" s="141" t="e">
        <f t="shared" si="88"/>
        <v>#REF!</v>
      </c>
      <c r="J1151" t="e">
        <f t="shared" si="89"/>
        <v>#REF!</v>
      </c>
      <c r="K1151" s="141" t="e">
        <f t="shared" si="90"/>
        <v>#REF!</v>
      </c>
    </row>
    <row r="1152" spans="1:11" hidden="1" x14ac:dyDescent="0.25">
      <c r="A1152" t="e">
        <f>#REF!</f>
        <v>#REF!</v>
      </c>
      <c r="B1152" t="e">
        <f>#REF!</f>
        <v>#REF!</v>
      </c>
      <c r="C1152" t="e">
        <f>#REF!</f>
        <v>#REF!</v>
      </c>
      <c r="D1152" t="e">
        <f>#REF!</f>
        <v>#REF!</v>
      </c>
      <c r="E1152" t="e">
        <f>#REF!</f>
        <v>#REF!</v>
      </c>
      <c r="G1152" t="e">
        <f t="shared" si="86"/>
        <v>#REF!</v>
      </c>
      <c r="H1152" t="e">
        <f t="shared" si="87"/>
        <v>#REF!</v>
      </c>
      <c r="I1152" s="141" t="e">
        <f t="shared" si="88"/>
        <v>#REF!</v>
      </c>
      <c r="J1152" t="e">
        <f t="shared" si="89"/>
        <v>#REF!</v>
      </c>
      <c r="K1152" s="141" t="e">
        <f t="shared" si="90"/>
        <v>#REF!</v>
      </c>
    </row>
    <row r="1153" spans="1:11" hidden="1" x14ac:dyDescent="0.25">
      <c r="A1153" t="e">
        <f>#REF!</f>
        <v>#REF!</v>
      </c>
      <c r="B1153" t="e">
        <f>#REF!</f>
        <v>#REF!</v>
      </c>
      <c r="C1153" t="e">
        <f>#REF!</f>
        <v>#REF!</v>
      </c>
      <c r="D1153" t="e">
        <f>#REF!</f>
        <v>#REF!</v>
      </c>
      <c r="E1153" t="e">
        <f>#REF!</f>
        <v>#REF!</v>
      </c>
      <c r="G1153" t="e">
        <f t="shared" si="86"/>
        <v>#REF!</v>
      </c>
      <c r="H1153" t="e">
        <f t="shared" si="87"/>
        <v>#REF!</v>
      </c>
      <c r="I1153" s="141" t="e">
        <f t="shared" si="88"/>
        <v>#REF!</v>
      </c>
      <c r="J1153" t="e">
        <f t="shared" si="89"/>
        <v>#REF!</v>
      </c>
      <c r="K1153" s="141" t="e">
        <f t="shared" si="90"/>
        <v>#REF!</v>
      </c>
    </row>
    <row r="1154" spans="1:11" hidden="1" x14ac:dyDescent="0.25">
      <c r="A1154" t="e">
        <f>#REF!</f>
        <v>#REF!</v>
      </c>
      <c r="B1154" t="e">
        <f>#REF!</f>
        <v>#REF!</v>
      </c>
      <c r="C1154" t="e">
        <f>#REF!</f>
        <v>#REF!</v>
      </c>
      <c r="D1154" t="e">
        <f>#REF!</f>
        <v>#REF!</v>
      </c>
      <c r="E1154" t="e">
        <f>#REF!</f>
        <v>#REF!</v>
      </c>
      <c r="G1154" t="e">
        <f t="shared" ref="G1154:G1217" si="91">A1154</f>
        <v>#REF!</v>
      </c>
      <c r="H1154" t="e">
        <f t="shared" ref="H1154:H1217" si="92">B1154</f>
        <v>#REF!</v>
      </c>
      <c r="I1154" s="141" t="e">
        <f t="shared" ref="I1154:I1217" si="93">C1154</f>
        <v>#REF!</v>
      </c>
      <c r="J1154" t="e">
        <f t="shared" ref="J1154:J1217" si="94">D1154</f>
        <v>#REF!</v>
      </c>
      <c r="K1154" s="141" t="e">
        <f t="shared" ref="K1154:K1217" si="95">E1154</f>
        <v>#REF!</v>
      </c>
    </row>
    <row r="1155" spans="1:11" hidden="1" x14ac:dyDescent="0.25">
      <c r="A1155" t="e">
        <f>#REF!</f>
        <v>#REF!</v>
      </c>
      <c r="B1155" t="e">
        <f>#REF!</f>
        <v>#REF!</v>
      </c>
      <c r="C1155" t="e">
        <f>#REF!</f>
        <v>#REF!</v>
      </c>
      <c r="D1155" t="e">
        <f>#REF!</f>
        <v>#REF!</v>
      </c>
      <c r="E1155" t="e">
        <f>#REF!</f>
        <v>#REF!</v>
      </c>
      <c r="G1155" t="e">
        <f t="shared" si="91"/>
        <v>#REF!</v>
      </c>
      <c r="H1155" t="e">
        <f t="shared" si="92"/>
        <v>#REF!</v>
      </c>
      <c r="I1155" s="141" t="e">
        <f t="shared" si="93"/>
        <v>#REF!</v>
      </c>
      <c r="J1155" t="e">
        <f t="shared" si="94"/>
        <v>#REF!</v>
      </c>
      <c r="K1155" s="141" t="e">
        <f t="shared" si="95"/>
        <v>#REF!</v>
      </c>
    </row>
    <row r="1156" spans="1:11" hidden="1" x14ac:dyDescent="0.25">
      <c r="A1156" t="e">
        <f>#REF!</f>
        <v>#REF!</v>
      </c>
      <c r="B1156" t="e">
        <f>#REF!</f>
        <v>#REF!</v>
      </c>
      <c r="C1156" t="e">
        <f>#REF!</f>
        <v>#REF!</v>
      </c>
      <c r="D1156" t="e">
        <f>#REF!</f>
        <v>#REF!</v>
      </c>
      <c r="E1156" t="e">
        <f>#REF!</f>
        <v>#REF!</v>
      </c>
      <c r="G1156" t="e">
        <f t="shared" si="91"/>
        <v>#REF!</v>
      </c>
      <c r="H1156" t="e">
        <f t="shared" si="92"/>
        <v>#REF!</v>
      </c>
      <c r="I1156" s="141" t="e">
        <f t="shared" si="93"/>
        <v>#REF!</v>
      </c>
      <c r="J1156" t="e">
        <f t="shared" si="94"/>
        <v>#REF!</v>
      </c>
      <c r="K1156" s="141" t="e">
        <f t="shared" si="95"/>
        <v>#REF!</v>
      </c>
    </row>
    <row r="1157" spans="1:11" hidden="1" x14ac:dyDescent="0.25">
      <c r="A1157" t="e">
        <f>#REF!</f>
        <v>#REF!</v>
      </c>
      <c r="B1157" t="e">
        <f>#REF!</f>
        <v>#REF!</v>
      </c>
      <c r="C1157" t="e">
        <f>#REF!</f>
        <v>#REF!</v>
      </c>
      <c r="D1157" t="e">
        <f>#REF!</f>
        <v>#REF!</v>
      </c>
      <c r="E1157" t="e">
        <f>#REF!</f>
        <v>#REF!</v>
      </c>
      <c r="G1157" t="e">
        <f t="shared" si="91"/>
        <v>#REF!</v>
      </c>
      <c r="H1157" t="e">
        <f t="shared" si="92"/>
        <v>#REF!</v>
      </c>
      <c r="I1157" s="141" t="e">
        <f t="shared" si="93"/>
        <v>#REF!</v>
      </c>
      <c r="J1157" t="e">
        <f t="shared" si="94"/>
        <v>#REF!</v>
      </c>
      <c r="K1157" s="141" t="e">
        <f t="shared" si="95"/>
        <v>#REF!</v>
      </c>
    </row>
    <row r="1158" spans="1:11" hidden="1" x14ac:dyDescent="0.25">
      <c r="A1158" t="e">
        <f>#REF!</f>
        <v>#REF!</v>
      </c>
      <c r="B1158" t="e">
        <f>#REF!</f>
        <v>#REF!</v>
      </c>
      <c r="C1158" t="e">
        <f>#REF!</f>
        <v>#REF!</v>
      </c>
      <c r="D1158" t="e">
        <f>#REF!</f>
        <v>#REF!</v>
      </c>
      <c r="E1158" t="e">
        <f>#REF!</f>
        <v>#REF!</v>
      </c>
      <c r="G1158" t="e">
        <f t="shared" si="91"/>
        <v>#REF!</v>
      </c>
      <c r="H1158" t="e">
        <f t="shared" si="92"/>
        <v>#REF!</v>
      </c>
      <c r="I1158" s="141" t="e">
        <f t="shared" si="93"/>
        <v>#REF!</v>
      </c>
      <c r="J1158" t="e">
        <f t="shared" si="94"/>
        <v>#REF!</v>
      </c>
      <c r="K1158" s="141" t="e">
        <f t="shared" si="95"/>
        <v>#REF!</v>
      </c>
    </row>
    <row r="1159" spans="1:11" hidden="1" x14ac:dyDescent="0.25">
      <c r="A1159" t="e">
        <f>#REF!</f>
        <v>#REF!</v>
      </c>
      <c r="B1159" t="e">
        <f>#REF!</f>
        <v>#REF!</v>
      </c>
      <c r="C1159" t="e">
        <f>#REF!</f>
        <v>#REF!</v>
      </c>
      <c r="D1159" t="e">
        <f>#REF!</f>
        <v>#REF!</v>
      </c>
      <c r="E1159" t="e">
        <f>#REF!</f>
        <v>#REF!</v>
      </c>
      <c r="G1159" t="e">
        <f t="shared" si="91"/>
        <v>#REF!</v>
      </c>
      <c r="H1159" t="e">
        <f t="shared" si="92"/>
        <v>#REF!</v>
      </c>
      <c r="I1159" s="141" t="e">
        <f t="shared" si="93"/>
        <v>#REF!</v>
      </c>
      <c r="J1159" t="e">
        <f t="shared" si="94"/>
        <v>#REF!</v>
      </c>
      <c r="K1159" s="141" t="e">
        <f t="shared" si="95"/>
        <v>#REF!</v>
      </c>
    </row>
    <row r="1160" spans="1:11" hidden="1" x14ac:dyDescent="0.25">
      <c r="A1160" t="e">
        <f>#REF!</f>
        <v>#REF!</v>
      </c>
      <c r="B1160" t="e">
        <f>#REF!</f>
        <v>#REF!</v>
      </c>
      <c r="C1160" t="e">
        <f>#REF!</f>
        <v>#REF!</v>
      </c>
      <c r="D1160" t="e">
        <f>#REF!</f>
        <v>#REF!</v>
      </c>
      <c r="E1160" t="e">
        <f>#REF!</f>
        <v>#REF!</v>
      </c>
      <c r="G1160" t="e">
        <f t="shared" si="91"/>
        <v>#REF!</v>
      </c>
      <c r="H1160" t="e">
        <f t="shared" si="92"/>
        <v>#REF!</v>
      </c>
      <c r="I1160" s="141" t="e">
        <f t="shared" si="93"/>
        <v>#REF!</v>
      </c>
      <c r="J1160" t="e">
        <f t="shared" si="94"/>
        <v>#REF!</v>
      </c>
      <c r="K1160" s="141" t="e">
        <f t="shared" si="95"/>
        <v>#REF!</v>
      </c>
    </row>
    <row r="1161" spans="1:11" hidden="1" x14ac:dyDescent="0.25">
      <c r="A1161" t="e">
        <f>#REF!</f>
        <v>#REF!</v>
      </c>
      <c r="B1161" t="e">
        <f>#REF!</f>
        <v>#REF!</v>
      </c>
      <c r="C1161" t="e">
        <f>#REF!</f>
        <v>#REF!</v>
      </c>
      <c r="D1161" t="e">
        <f>#REF!</f>
        <v>#REF!</v>
      </c>
      <c r="E1161" t="e">
        <f>#REF!</f>
        <v>#REF!</v>
      </c>
      <c r="G1161" t="e">
        <f t="shared" si="91"/>
        <v>#REF!</v>
      </c>
      <c r="H1161" t="e">
        <f t="shared" si="92"/>
        <v>#REF!</v>
      </c>
      <c r="I1161" s="141" t="e">
        <f t="shared" si="93"/>
        <v>#REF!</v>
      </c>
      <c r="J1161" t="e">
        <f t="shared" si="94"/>
        <v>#REF!</v>
      </c>
      <c r="K1161" s="141" t="e">
        <f t="shared" si="95"/>
        <v>#REF!</v>
      </c>
    </row>
    <row r="1162" spans="1:11" hidden="1" x14ac:dyDescent="0.25">
      <c r="A1162" t="e">
        <f>#REF!</f>
        <v>#REF!</v>
      </c>
      <c r="B1162" t="e">
        <f>#REF!</f>
        <v>#REF!</v>
      </c>
      <c r="C1162" t="e">
        <f>#REF!</f>
        <v>#REF!</v>
      </c>
      <c r="D1162" t="e">
        <f>#REF!</f>
        <v>#REF!</v>
      </c>
      <c r="E1162" t="e">
        <f>#REF!</f>
        <v>#REF!</v>
      </c>
      <c r="G1162" t="e">
        <f t="shared" si="91"/>
        <v>#REF!</v>
      </c>
      <c r="H1162" t="e">
        <f t="shared" si="92"/>
        <v>#REF!</v>
      </c>
      <c r="I1162" s="141" t="e">
        <f t="shared" si="93"/>
        <v>#REF!</v>
      </c>
      <c r="J1162" t="e">
        <f t="shared" si="94"/>
        <v>#REF!</v>
      </c>
      <c r="K1162" s="141" t="e">
        <f t="shared" si="95"/>
        <v>#REF!</v>
      </c>
    </row>
    <row r="1163" spans="1:11" hidden="1" x14ac:dyDescent="0.25">
      <c r="A1163" t="e">
        <f>#REF!</f>
        <v>#REF!</v>
      </c>
      <c r="B1163" t="e">
        <f>#REF!</f>
        <v>#REF!</v>
      </c>
      <c r="C1163" t="e">
        <f>#REF!</f>
        <v>#REF!</v>
      </c>
      <c r="D1163" t="e">
        <f>#REF!</f>
        <v>#REF!</v>
      </c>
      <c r="E1163" t="e">
        <f>#REF!</f>
        <v>#REF!</v>
      </c>
      <c r="G1163" t="e">
        <f t="shared" si="91"/>
        <v>#REF!</v>
      </c>
      <c r="H1163" t="e">
        <f t="shared" si="92"/>
        <v>#REF!</v>
      </c>
      <c r="I1163" s="141" t="e">
        <f t="shared" si="93"/>
        <v>#REF!</v>
      </c>
      <c r="J1163" t="e">
        <f t="shared" si="94"/>
        <v>#REF!</v>
      </c>
      <c r="K1163" s="141" t="e">
        <f t="shared" si="95"/>
        <v>#REF!</v>
      </c>
    </row>
    <row r="1164" spans="1:11" hidden="1" x14ac:dyDescent="0.25">
      <c r="A1164" t="e">
        <f>#REF!</f>
        <v>#REF!</v>
      </c>
      <c r="B1164" t="e">
        <f>#REF!</f>
        <v>#REF!</v>
      </c>
      <c r="C1164" t="e">
        <f>#REF!</f>
        <v>#REF!</v>
      </c>
      <c r="D1164" t="e">
        <f>#REF!</f>
        <v>#REF!</v>
      </c>
      <c r="E1164" t="e">
        <f>#REF!</f>
        <v>#REF!</v>
      </c>
      <c r="G1164" t="e">
        <f t="shared" si="91"/>
        <v>#REF!</v>
      </c>
      <c r="H1164" t="e">
        <f t="shared" si="92"/>
        <v>#REF!</v>
      </c>
      <c r="I1164" s="141" t="e">
        <f t="shared" si="93"/>
        <v>#REF!</v>
      </c>
      <c r="J1164" t="e">
        <f t="shared" si="94"/>
        <v>#REF!</v>
      </c>
      <c r="K1164" s="141" t="e">
        <f t="shared" si="95"/>
        <v>#REF!</v>
      </c>
    </row>
    <row r="1165" spans="1:11" hidden="1" x14ac:dyDescent="0.25">
      <c r="A1165" t="e">
        <f>#REF!</f>
        <v>#REF!</v>
      </c>
      <c r="B1165" t="e">
        <f>#REF!</f>
        <v>#REF!</v>
      </c>
      <c r="C1165" t="e">
        <f>#REF!</f>
        <v>#REF!</v>
      </c>
      <c r="D1165" t="e">
        <f>#REF!</f>
        <v>#REF!</v>
      </c>
      <c r="E1165" t="e">
        <f>#REF!</f>
        <v>#REF!</v>
      </c>
      <c r="G1165" t="e">
        <f t="shared" si="91"/>
        <v>#REF!</v>
      </c>
      <c r="H1165" t="e">
        <f t="shared" si="92"/>
        <v>#REF!</v>
      </c>
      <c r="I1165" s="141" t="e">
        <f t="shared" si="93"/>
        <v>#REF!</v>
      </c>
      <c r="J1165" t="e">
        <f t="shared" si="94"/>
        <v>#REF!</v>
      </c>
      <c r="K1165" s="141" t="e">
        <f t="shared" si="95"/>
        <v>#REF!</v>
      </c>
    </row>
    <row r="1166" spans="1:11" hidden="1" x14ac:dyDescent="0.25">
      <c r="A1166" t="e">
        <f>#REF!</f>
        <v>#REF!</v>
      </c>
      <c r="B1166" t="e">
        <f>#REF!</f>
        <v>#REF!</v>
      </c>
      <c r="C1166" t="e">
        <f>#REF!</f>
        <v>#REF!</v>
      </c>
      <c r="D1166" t="e">
        <f>#REF!</f>
        <v>#REF!</v>
      </c>
      <c r="E1166" t="e">
        <f>#REF!</f>
        <v>#REF!</v>
      </c>
      <c r="G1166" t="e">
        <f t="shared" si="91"/>
        <v>#REF!</v>
      </c>
      <c r="H1166" t="e">
        <f t="shared" si="92"/>
        <v>#REF!</v>
      </c>
      <c r="I1166" s="141" t="e">
        <f t="shared" si="93"/>
        <v>#REF!</v>
      </c>
      <c r="J1166" t="e">
        <f t="shared" si="94"/>
        <v>#REF!</v>
      </c>
      <c r="K1166" s="141" t="e">
        <f t="shared" si="95"/>
        <v>#REF!</v>
      </c>
    </row>
    <row r="1167" spans="1:11" hidden="1" x14ac:dyDescent="0.25">
      <c r="A1167" t="e">
        <f>#REF!</f>
        <v>#REF!</v>
      </c>
      <c r="B1167" t="e">
        <f>#REF!</f>
        <v>#REF!</v>
      </c>
      <c r="C1167" t="e">
        <f>#REF!</f>
        <v>#REF!</v>
      </c>
      <c r="D1167" t="e">
        <f>#REF!</f>
        <v>#REF!</v>
      </c>
      <c r="E1167" t="e">
        <f>#REF!</f>
        <v>#REF!</v>
      </c>
      <c r="G1167" t="e">
        <f t="shared" si="91"/>
        <v>#REF!</v>
      </c>
      <c r="H1167" t="e">
        <f t="shared" si="92"/>
        <v>#REF!</v>
      </c>
      <c r="I1167" s="141" t="e">
        <f t="shared" si="93"/>
        <v>#REF!</v>
      </c>
      <c r="J1167" t="e">
        <f t="shared" si="94"/>
        <v>#REF!</v>
      </c>
      <c r="K1167" s="141" t="e">
        <f t="shared" si="95"/>
        <v>#REF!</v>
      </c>
    </row>
    <row r="1168" spans="1:11" hidden="1" x14ac:dyDescent="0.25">
      <c r="A1168" t="e">
        <f>#REF!</f>
        <v>#REF!</v>
      </c>
      <c r="B1168" t="e">
        <f>#REF!</f>
        <v>#REF!</v>
      </c>
      <c r="C1168" t="e">
        <f>#REF!</f>
        <v>#REF!</v>
      </c>
      <c r="D1168" t="e">
        <f>#REF!</f>
        <v>#REF!</v>
      </c>
      <c r="E1168" t="e">
        <f>#REF!</f>
        <v>#REF!</v>
      </c>
      <c r="G1168" t="e">
        <f t="shared" si="91"/>
        <v>#REF!</v>
      </c>
      <c r="H1168" t="e">
        <f t="shared" si="92"/>
        <v>#REF!</v>
      </c>
      <c r="I1168" s="141" t="e">
        <f t="shared" si="93"/>
        <v>#REF!</v>
      </c>
      <c r="J1168" t="e">
        <f t="shared" si="94"/>
        <v>#REF!</v>
      </c>
      <c r="K1168" s="141" t="e">
        <f t="shared" si="95"/>
        <v>#REF!</v>
      </c>
    </row>
    <row r="1169" spans="1:11" hidden="1" x14ac:dyDescent="0.25">
      <c r="A1169" t="e">
        <f>#REF!</f>
        <v>#REF!</v>
      </c>
      <c r="B1169" t="e">
        <f>#REF!</f>
        <v>#REF!</v>
      </c>
      <c r="C1169" t="e">
        <f>#REF!</f>
        <v>#REF!</v>
      </c>
      <c r="D1169" t="e">
        <f>#REF!</f>
        <v>#REF!</v>
      </c>
      <c r="E1169" t="e">
        <f>#REF!</f>
        <v>#REF!</v>
      </c>
      <c r="G1169" t="e">
        <f t="shared" si="91"/>
        <v>#REF!</v>
      </c>
      <c r="H1169" t="e">
        <f t="shared" si="92"/>
        <v>#REF!</v>
      </c>
      <c r="I1169" s="141" t="e">
        <f t="shared" si="93"/>
        <v>#REF!</v>
      </c>
      <c r="J1169" t="e">
        <f t="shared" si="94"/>
        <v>#REF!</v>
      </c>
      <c r="K1169" s="141" t="e">
        <f t="shared" si="95"/>
        <v>#REF!</v>
      </c>
    </row>
    <row r="1170" spans="1:11" hidden="1" x14ac:dyDescent="0.25">
      <c r="A1170" t="e">
        <f>#REF!</f>
        <v>#REF!</v>
      </c>
      <c r="B1170" t="e">
        <f>#REF!</f>
        <v>#REF!</v>
      </c>
      <c r="C1170" t="e">
        <f>#REF!</f>
        <v>#REF!</v>
      </c>
      <c r="D1170" t="e">
        <f>#REF!</f>
        <v>#REF!</v>
      </c>
      <c r="E1170" t="e">
        <f>#REF!</f>
        <v>#REF!</v>
      </c>
      <c r="G1170" t="e">
        <f t="shared" si="91"/>
        <v>#REF!</v>
      </c>
      <c r="H1170" t="e">
        <f t="shared" si="92"/>
        <v>#REF!</v>
      </c>
      <c r="I1170" s="141" t="e">
        <f t="shared" si="93"/>
        <v>#REF!</v>
      </c>
      <c r="J1170" t="e">
        <f t="shared" si="94"/>
        <v>#REF!</v>
      </c>
      <c r="K1170" s="141" t="e">
        <f t="shared" si="95"/>
        <v>#REF!</v>
      </c>
    </row>
    <row r="1171" spans="1:11" hidden="1" x14ac:dyDescent="0.25">
      <c r="A1171" t="e">
        <f>#REF!</f>
        <v>#REF!</v>
      </c>
      <c r="B1171" t="e">
        <f>#REF!</f>
        <v>#REF!</v>
      </c>
      <c r="C1171" t="e">
        <f>#REF!</f>
        <v>#REF!</v>
      </c>
      <c r="D1171" t="e">
        <f>#REF!</f>
        <v>#REF!</v>
      </c>
      <c r="E1171" t="e">
        <f>#REF!</f>
        <v>#REF!</v>
      </c>
      <c r="G1171" t="e">
        <f t="shared" si="91"/>
        <v>#REF!</v>
      </c>
      <c r="H1171" t="e">
        <f t="shared" si="92"/>
        <v>#REF!</v>
      </c>
      <c r="I1171" s="141" t="e">
        <f t="shared" si="93"/>
        <v>#REF!</v>
      </c>
      <c r="J1171" t="e">
        <f t="shared" si="94"/>
        <v>#REF!</v>
      </c>
      <c r="K1171" s="141" t="e">
        <f t="shared" si="95"/>
        <v>#REF!</v>
      </c>
    </row>
    <row r="1172" spans="1:11" hidden="1" x14ac:dyDescent="0.25">
      <c r="A1172" t="e">
        <f>#REF!</f>
        <v>#REF!</v>
      </c>
      <c r="B1172" t="e">
        <f>#REF!</f>
        <v>#REF!</v>
      </c>
      <c r="C1172" t="e">
        <f>#REF!</f>
        <v>#REF!</v>
      </c>
      <c r="D1172" t="e">
        <f>#REF!</f>
        <v>#REF!</v>
      </c>
      <c r="E1172" t="e">
        <f>#REF!</f>
        <v>#REF!</v>
      </c>
      <c r="G1172" t="e">
        <f t="shared" si="91"/>
        <v>#REF!</v>
      </c>
      <c r="H1172" t="e">
        <f t="shared" si="92"/>
        <v>#REF!</v>
      </c>
      <c r="I1172" s="141" t="e">
        <f t="shared" si="93"/>
        <v>#REF!</v>
      </c>
      <c r="J1172" t="e">
        <f t="shared" si="94"/>
        <v>#REF!</v>
      </c>
      <c r="K1172" s="141" t="e">
        <f t="shared" si="95"/>
        <v>#REF!</v>
      </c>
    </row>
    <row r="1173" spans="1:11" hidden="1" x14ac:dyDescent="0.25">
      <c r="A1173" t="e">
        <f>#REF!</f>
        <v>#REF!</v>
      </c>
      <c r="B1173" t="e">
        <f>#REF!</f>
        <v>#REF!</v>
      </c>
      <c r="C1173" t="e">
        <f>#REF!</f>
        <v>#REF!</v>
      </c>
      <c r="D1173" t="e">
        <f>#REF!</f>
        <v>#REF!</v>
      </c>
      <c r="E1173" t="e">
        <f>#REF!</f>
        <v>#REF!</v>
      </c>
      <c r="G1173" t="e">
        <f t="shared" si="91"/>
        <v>#REF!</v>
      </c>
      <c r="H1173" t="e">
        <f t="shared" si="92"/>
        <v>#REF!</v>
      </c>
      <c r="I1173" s="141" t="e">
        <f t="shared" si="93"/>
        <v>#REF!</v>
      </c>
      <c r="J1173" t="e">
        <f t="shared" si="94"/>
        <v>#REF!</v>
      </c>
      <c r="K1173" s="141" t="e">
        <f t="shared" si="95"/>
        <v>#REF!</v>
      </c>
    </row>
    <row r="1174" spans="1:11" hidden="1" x14ac:dyDescent="0.25">
      <c r="A1174" t="e">
        <f>#REF!</f>
        <v>#REF!</v>
      </c>
      <c r="B1174" t="e">
        <f>#REF!</f>
        <v>#REF!</v>
      </c>
      <c r="C1174" t="e">
        <f>#REF!</f>
        <v>#REF!</v>
      </c>
      <c r="D1174" t="e">
        <f>#REF!</f>
        <v>#REF!</v>
      </c>
      <c r="E1174" t="e">
        <f>#REF!</f>
        <v>#REF!</v>
      </c>
      <c r="G1174" t="e">
        <f t="shared" si="91"/>
        <v>#REF!</v>
      </c>
      <c r="H1174" t="e">
        <f t="shared" si="92"/>
        <v>#REF!</v>
      </c>
      <c r="I1174" s="141" t="e">
        <f t="shared" si="93"/>
        <v>#REF!</v>
      </c>
      <c r="J1174" t="e">
        <f t="shared" si="94"/>
        <v>#REF!</v>
      </c>
      <c r="K1174" s="141" t="e">
        <f t="shared" si="95"/>
        <v>#REF!</v>
      </c>
    </row>
    <row r="1175" spans="1:11" hidden="1" x14ac:dyDescent="0.25">
      <c r="A1175" t="e">
        <f>#REF!</f>
        <v>#REF!</v>
      </c>
      <c r="B1175" t="e">
        <f>#REF!</f>
        <v>#REF!</v>
      </c>
      <c r="C1175" t="e">
        <f>#REF!</f>
        <v>#REF!</v>
      </c>
      <c r="D1175" t="e">
        <f>#REF!</f>
        <v>#REF!</v>
      </c>
      <c r="E1175" t="e">
        <f>#REF!</f>
        <v>#REF!</v>
      </c>
      <c r="G1175" t="e">
        <f t="shared" si="91"/>
        <v>#REF!</v>
      </c>
      <c r="H1175" t="e">
        <f t="shared" si="92"/>
        <v>#REF!</v>
      </c>
      <c r="I1175" s="141" t="e">
        <f t="shared" si="93"/>
        <v>#REF!</v>
      </c>
      <c r="J1175" t="e">
        <f t="shared" si="94"/>
        <v>#REF!</v>
      </c>
      <c r="K1175" s="141" t="e">
        <f t="shared" si="95"/>
        <v>#REF!</v>
      </c>
    </row>
    <row r="1176" spans="1:11" hidden="1" x14ac:dyDescent="0.25">
      <c r="A1176" t="e">
        <f>#REF!</f>
        <v>#REF!</v>
      </c>
      <c r="B1176" t="e">
        <f>#REF!</f>
        <v>#REF!</v>
      </c>
      <c r="C1176" t="e">
        <f>#REF!</f>
        <v>#REF!</v>
      </c>
      <c r="D1176" t="e">
        <f>#REF!</f>
        <v>#REF!</v>
      </c>
      <c r="E1176" t="e">
        <f>#REF!</f>
        <v>#REF!</v>
      </c>
      <c r="G1176" t="e">
        <f t="shared" si="91"/>
        <v>#REF!</v>
      </c>
      <c r="H1176" t="e">
        <f t="shared" si="92"/>
        <v>#REF!</v>
      </c>
      <c r="I1176" s="141" t="e">
        <f t="shared" si="93"/>
        <v>#REF!</v>
      </c>
      <c r="J1176" t="e">
        <f t="shared" si="94"/>
        <v>#REF!</v>
      </c>
      <c r="K1176" s="141" t="e">
        <f t="shared" si="95"/>
        <v>#REF!</v>
      </c>
    </row>
    <row r="1177" spans="1:11" hidden="1" x14ac:dyDescent="0.25">
      <c r="A1177" t="e">
        <f>#REF!</f>
        <v>#REF!</v>
      </c>
      <c r="B1177" t="e">
        <f>#REF!</f>
        <v>#REF!</v>
      </c>
      <c r="C1177" t="e">
        <f>#REF!</f>
        <v>#REF!</v>
      </c>
      <c r="D1177" t="e">
        <f>#REF!</f>
        <v>#REF!</v>
      </c>
      <c r="E1177" t="e">
        <f>#REF!</f>
        <v>#REF!</v>
      </c>
      <c r="G1177" t="e">
        <f t="shared" si="91"/>
        <v>#REF!</v>
      </c>
      <c r="H1177" t="e">
        <f t="shared" si="92"/>
        <v>#REF!</v>
      </c>
      <c r="I1177" s="141" t="e">
        <f t="shared" si="93"/>
        <v>#REF!</v>
      </c>
      <c r="J1177" t="e">
        <f t="shared" si="94"/>
        <v>#REF!</v>
      </c>
      <c r="K1177" s="141" t="e">
        <f t="shared" si="95"/>
        <v>#REF!</v>
      </c>
    </row>
    <row r="1178" spans="1:11" hidden="1" x14ac:dyDescent="0.25">
      <c r="A1178" t="e">
        <f>#REF!</f>
        <v>#REF!</v>
      </c>
      <c r="B1178" t="e">
        <f>#REF!</f>
        <v>#REF!</v>
      </c>
      <c r="C1178" t="e">
        <f>#REF!</f>
        <v>#REF!</v>
      </c>
      <c r="D1178" t="e">
        <f>#REF!</f>
        <v>#REF!</v>
      </c>
      <c r="E1178" t="e">
        <f>#REF!</f>
        <v>#REF!</v>
      </c>
      <c r="G1178" t="e">
        <f t="shared" si="91"/>
        <v>#REF!</v>
      </c>
      <c r="H1178" t="e">
        <f t="shared" si="92"/>
        <v>#REF!</v>
      </c>
      <c r="I1178" s="141" t="e">
        <f t="shared" si="93"/>
        <v>#REF!</v>
      </c>
      <c r="J1178" t="e">
        <f t="shared" si="94"/>
        <v>#REF!</v>
      </c>
      <c r="K1178" s="141" t="e">
        <f t="shared" si="95"/>
        <v>#REF!</v>
      </c>
    </row>
    <row r="1179" spans="1:11" hidden="1" x14ac:dyDescent="0.25">
      <c r="A1179" t="e">
        <f>#REF!</f>
        <v>#REF!</v>
      </c>
      <c r="B1179" t="e">
        <f>#REF!</f>
        <v>#REF!</v>
      </c>
      <c r="C1179" t="e">
        <f>#REF!</f>
        <v>#REF!</v>
      </c>
      <c r="D1179" t="e">
        <f>#REF!</f>
        <v>#REF!</v>
      </c>
      <c r="E1179" t="e">
        <f>#REF!</f>
        <v>#REF!</v>
      </c>
      <c r="G1179" t="e">
        <f t="shared" si="91"/>
        <v>#REF!</v>
      </c>
      <c r="H1179" t="e">
        <f t="shared" si="92"/>
        <v>#REF!</v>
      </c>
      <c r="I1179" s="141" t="e">
        <f t="shared" si="93"/>
        <v>#REF!</v>
      </c>
      <c r="J1179" t="e">
        <f t="shared" si="94"/>
        <v>#REF!</v>
      </c>
      <c r="K1179" s="141" t="e">
        <f t="shared" si="95"/>
        <v>#REF!</v>
      </c>
    </row>
    <row r="1180" spans="1:11" hidden="1" x14ac:dyDescent="0.25">
      <c r="A1180" t="e">
        <f>#REF!</f>
        <v>#REF!</v>
      </c>
      <c r="B1180" t="e">
        <f>#REF!</f>
        <v>#REF!</v>
      </c>
      <c r="C1180" t="e">
        <f>#REF!</f>
        <v>#REF!</v>
      </c>
      <c r="D1180" t="e">
        <f>#REF!</f>
        <v>#REF!</v>
      </c>
      <c r="E1180" t="e">
        <f>#REF!</f>
        <v>#REF!</v>
      </c>
      <c r="G1180" t="e">
        <f t="shared" si="91"/>
        <v>#REF!</v>
      </c>
      <c r="H1180" t="e">
        <f t="shared" si="92"/>
        <v>#REF!</v>
      </c>
      <c r="I1180" s="141" t="e">
        <f t="shared" si="93"/>
        <v>#REF!</v>
      </c>
      <c r="J1180" t="e">
        <f t="shared" si="94"/>
        <v>#REF!</v>
      </c>
      <c r="K1180" s="141" t="e">
        <f t="shared" si="95"/>
        <v>#REF!</v>
      </c>
    </row>
    <row r="1181" spans="1:11" hidden="1" x14ac:dyDescent="0.25">
      <c r="A1181" t="e">
        <f>#REF!</f>
        <v>#REF!</v>
      </c>
      <c r="B1181" t="e">
        <f>#REF!</f>
        <v>#REF!</v>
      </c>
      <c r="C1181" t="e">
        <f>#REF!</f>
        <v>#REF!</v>
      </c>
      <c r="D1181" t="e">
        <f>#REF!</f>
        <v>#REF!</v>
      </c>
      <c r="E1181" t="e">
        <f>#REF!</f>
        <v>#REF!</v>
      </c>
      <c r="G1181" t="e">
        <f t="shared" si="91"/>
        <v>#REF!</v>
      </c>
      <c r="H1181" t="e">
        <f t="shared" si="92"/>
        <v>#REF!</v>
      </c>
      <c r="I1181" s="141" t="e">
        <f t="shared" si="93"/>
        <v>#REF!</v>
      </c>
      <c r="J1181" t="e">
        <f t="shared" si="94"/>
        <v>#REF!</v>
      </c>
      <c r="K1181" s="141" t="e">
        <f t="shared" si="95"/>
        <v>#REF!</v>
      </c>
    </row>
    <row r="1182" spans="1:11" hidden="1" x14ac:dyDescent="0.25">
      <c r="A1182" t="e">
        <f>#REF!</f>
        <v>#REF!</v>
      </c>
      <c r="B1182" t="e">
        <f>#REF!</f>
        <v>#REF!</v>
      </c>
      <c r="C1182" t="e">
        <f>#REF!</f>
        <v>#REF!</v>
      </c>
      <c r="D1182" t="e">
        <f>#REF!</f>
        <v>#REF!</v>
      </c>
      <c r="E1182" t="e">
        <f>#REF!</f>
        <v>#REF!</v>
      </c>
      <c r="G1182" t="e">
        <f t="shared" si="91"/>
        <v>#REF!</v>
      </c>
      <c r="H1182" t="e">
        <f t="shared" si="92"/>
        <v>#REF!</v>
      </c>
      <c r="I1182" s="141" t="e">
        <f t="shared" si="93"/>
        <v>#REF!</v>
      </c>
      <c r="J1182" t="e">
        <f t="shared" si="94"/>
        <v>#REF!</v>
      </c>
      <c r="K1182" s="141" t="e">
        <f t="shared" si="95"/>
        <v>#REF!</v>
      </c>
    </row>
    <row r="1183" spans="1:11" hidden="1" x14ac:dyDescent="0.25">
      <c r="A1183" t="e">
        <f>#REF!</f>
        <v>#REF!</v>
      </c>
      <c r="B1183" t="e">
        <f>#REF!</f>
        <v>#REF!</v>
      </c>
      <c r="C1183" t="e">
        <f>#REF!</f>
        <v>#REF!</v>
      </c>
      <c r="D1183" t="e">
        <f>#REF!</f>
        <v>#REF!</v>
      </c>
      <c r="E1183" t="e">
        <f>#REF!</f>
        <v>#REF!</v>
      </c>
      <c r="G1183" t="e">
        <f t="shared" si="91"/>
        <v>#REF!</v>
      </c>
      <c r="H1183" t="e">
        <f t="shared" si="92"/>
        <v>#REF!</v>
      </c>
      <c r="I1183" s="141" t="e">
        <f t="shared" si="93"/>
        <v>#REF!</v>
      </c>
      <c r="J1183" t="e">
        <f t="shared" si="94"/>
        <v>#REF!</v>
      </c>
      <c r="K1183" s="141" t="e">
        <f t="shared" si="95"/>
        <v>#REF!</v>
      </c>
    </row>
    <row r="1184" spans="1:11" hidden="1" x14ac:dyDescent="0.25">
      <c r="A1184" t="e">
        <f>#REF!</f>
        <v>#REF!</v>
      </c>
      <c r="B1184" t="e">
        <f>#REF!</f>
        <v>#REF!</v>
      </c>
      <c r="C1184" t="e">
        <f>#REF!</f>
        <v>#REF!</v>
      </c>
      <c r="D1184" t="e">
        <f>#REF!</f>
        <v>#REF!</v>
      </c>
      <c r="E1184" t="e">
        <f>#REF!</f>
        <v>#REF!</v>
      </c>
      <c r="G1184" t="e">
        <f t="shared" si="91"/>
        <v>#REF!</v>
      </c>
      <c r="H1184" t="e">
        <f t="shared" si="92"/>
        <v>#REF!</v>
      </c>
      <c r="I1184" s="141" t="e">
        <f t="shared" si="93"/>
        <v>#REF!</v>
      </c>
      <c r="J1184" t="e">
        <f t="shared" si="94"/>
        <v>#REF!</v>
      </c>
      <c r="K1184" s="141" t="e">
        <f t="shared" si="95"/>
        <v>#REF!</v>
      </c>
    </row>
    <row r="1185" spans="1:11" hidden="1" x14ac:dyDescent="0.25">
      <c r="A1185" t="e">
        <f>#REF!</f>
        <v>#REF!</v>
      </c>
      <c r="B1185" t="e">
        <f>#REF!</f>
        <v>#REF!</v>
      </c>
      <c r="C1185" t="e">
        <f>#REF!</f>
        <v>#REF!</v>
      </c>
      <c r="D1185" t="e">
        <f>#REF!</f>
        <v>#REF!</v>
      </c>
      <c r="E1185" t="e">
        <f>#REF!</f>
        <v>#REF!</v>
      </c>
      <c r="G1185" t="e">
        <f t="shared" si="91"/>
        <v>#REF!</v>
      </c>
      <c r="H1185" t="e">
        <f t="shared" si="92"/>
        <v>#REF!</v>
      </c>
      <c r="I1185" s="141" t="e">
        <f t="shared" si="93"/>
        <v>#REF!</v>
      </c>
      <c r="J1185" t="e">
        <f t="shared" si="94"/>
        <v>#REF!</v>
      </c>
      <c r="K1185" s="141" t="e">
        <f t="shared" si="95"/>
        <v>#REF!</v>
      </c>
    </row>
    <row r="1186" spans="1:11" hidden="1" x14ac:dyDescent="0.25">
      <c r="A1186" t="e">
        <f>#REF!</f>
        <v>#REF!</v>
      </c>
      <c r="B1186" t="e">
        <f>#REF!</f>
        <v>#REF!</v>
      </c>
      <c r="C1186" t="e">
        <f>#REF!</f>
        <v>#REF!</v>
      </c>
      <c r="D1186" t="e">
        <f>#REF!</f>
        <v>#REF!</v>
      </c>
      <c r="E1186" t="e">
        <f>#REF!</f>
        <v>#REF!</v>
      </c>
      <c r="G1186" t="e">
        <f t="shared" si="91"/>
        <v>#REF!</v>
      </c>
      <c r="H1186" t="e">
        <f t="shared" si="92"/>
        <v>#REF!</v>
      </c>
      <c r="I1186" s="141" t="e">
        <f t="shared" si="93"/>
        <v>#REF!</v>
      </c>
      <c r="J1186" t="e">
        <f t="shared" si="94"/>
        <v>#REF!</v>
      </c>
      <c r="K1186" s="141" t="e">
        <f t="shared" si="95"/>
        <v>#REF!</v>
      </c>
    </row>
    <row r="1187" spans="1:11" hidden="1" x14ac:dyDescent="0.25">
      <c r="A1187" t="e">
        <f>#REF!</f>
        <v>#REF!</v>
      </c>
      <c r="B1187" t="e">
        <f>#REF!</f>
        <v>#REF!</v>
      </c>
      <c r="C1187" t="e">
        <f>#REF!</f>
        <v>#REF!</v>
      </c>
      <c r="D1187" t="e">
        <f>#REF!</f>
        <v>#REF!</v>
      </c>
      <c r="E1187" t="e">
        <f>#REF!</f>
        <v>#REF!</v>
      </c>
      <c r="G1187" t="e">
        <f t="shared" si="91"/>
        <v>#REF!</v>
      </c>
      <c r="H1187" t="e">
        <f t="shared" si="92"/>
        <v>#REF!</v>
      </c>
      <c r="I1187" s="141" t="e">
        <f t="shared" si="93"/>
        <v>#REF!</v>
      </c>
      <c r="J1187" t="e">
        <f t="shared" si="94"/>
        <v>#REF!</v>
      </c>
      <c r="K1187" s="141" t="e">
        <f t="shared" si="95"/>
        <v>#REF!</v>
      </c>
    </row>
    <row r="1188" spans="1:11" hidden="1" x14ac:dyDescent="0.25">
      <c r="A1188" t="e">
        <f>#REF!</f>
        <v>#REF!</v>
      </c>
      <c r="B1188" t="e">
        <f>#REF!</f>
        <v>#REF!</v>
      </c>
      <c r="C1188" t="e">
        <f>#REF!</f>
        <v>#REF!</v>
      </c>
      <c r="D1188" t="e">
        <f>#REF!</f>
        <v>#REF!</v>
      </c>
      <c r="E1188" t="e">
        <f>#REF!</f>
        <v>#REF!</v>
      </c>
      <c r="G1188" t="e">
        <f t="shared" si="91"/>
        <v>#REF!</v>
      </c>
      <c r="H1188" t="e">
        <f t="shared" si="92"/>
        <v>#REF!</v>
      </c>
      <c r="I1188" s="141" t="e">
        <f t="shared" si="93"/>
        <v>#REF!</v>
      </c>
      <c r="J1188" t="e">
        <f t="shared" si="94"/>
        <v>#REF!</v>
      </c>
      <c r="K1188" s="141" t="e">
        <f t="shared" si="95"/>
        <v>#REF!</v>
      </c>
    </row>
    <row r="1189" spans="1:11" hidden="1" x14ac:dyDescent="0.25">
      <c r="A1189" t="e">
        <f>#REF!</f>
        <v>#REF!</v>
      </c>
      <c r="B1189" t="e">
        <f>#REF!</f>
        <v>#REF!</v>
      </c>
      <c r="C1189" t="e">
        <f>#REF!</f>
        <v>#REF!</v>
      </c>
      <c r="D1189" t="e">
        <f>#REF!</f>
        <v>#REF!</v>
      </c>
      <c r="E1189" t="e">
        <f>#REF!</f>
        <v>#REF!</v>
      </c>
      <c r="G1189" t="e">
        <f t="shared" si="91"/>
        <v>#REF!</v>
      </c>
      <c r="H1189" t="e">
        <f t="shared" si="92"/>
        <v>#REF!</v>
      </c>
      <c r="I1189" s="141" t="e">
        <f t="shared" si="93"/>
        <v>#REF!</v>
      </c>
      <c r="J1189" t="e">
        <f t="shared" si="94"/>
        <v>#REF!</v>
      </c>
      <c r="K1189" s="141" t="e">
        <f t="shared" si="95"/>
        <v>#REF!</v>
      </c>
    </row>
    <row r="1190" spans="1:11" hidden="1" x14ac:dyDescent="0.25">
      <c r="A1190" t="e">
        <f>#REF!</f>
        <v>#REF!</v>
      </c>
      <c r="B1190" t="e">
        <f>#REF!</f>
        <v>#REF!</v>
      </c>
      <c r="C1190" t="e">
        <f>#REF!</f>
        <v>#REF!</v>
      </c>
      <c r="D1190" t="e">
        <f>#REF!</f>
        <v>#REF!</v>
      </c>
      <c r="E1190" t="e">
        <f>#REF!</f>
        <v>#REF!</v>
      </c>
      <c r="G1190" t="e">
        <f t="shared" si="91"/>
        <v>#REF!</v>
      </c>
      <c r="H1190" t="e">
        <f t="shared" si="92"/>
        <v>#REF!</v>
      </c>
      <c r="I1190" s="141" t="e">
        <f t="shared" si="93"/>
        <v>#REF!</v>
      </c>
      <c r="J1190" t="e">
        <f t="shared" si="94"/>
        <v>#REF!</v>
      </c>
      <c r="K1190" s="141" t="e">
        <f t="shared" si="95"/>
        <v>#REF!</v>
      </c>
    </row>
    <row r="1191" spans="1:11" hidden="1" x14ac:dyDescent="0.25">
      <c r="A1191" t="e">
        <f>#REF!</f>
        <v>#REF!</v>
      </c>
      <c r="B1191" t="e">
        <f>#REF!</f>
        <v>#REF!</v>
      </c>
      <c r="C1191" t="e">
        <f>#REF!</f>
        <v>#REF!</v>
      </c>
      <c r="D1191" t="e">
        <f>#REF!</f>
        <v>#REF!</v>
      </c>
      <c r="E1191" t="e">
        <f>#REF!</f>
        <v>#REF!</v>
      </c>
      <c r="G1191" t="e">
        <f t="shared" si="91"/>
        <v>#REF!</v>
      </c>
      <c r="H1191" t="e">
        <f t="shared" si="92"/>
        <v>#REF!</v>
      </c>
      <c r="I1191" s="141" t="e">
        <f t="shared" si="93"/>
        <v>#REF!</v>
      </c>
      <c r="J1191" t="e">
        <f t="shared" si="94"/>
        <v>#REF!</v>
      </c>
      <c r="K1191" s="141" t="e">
        <f t="shared" si="95"/>
        <v>#REF!</v>
      </c>
    </row>
    <row r="1192" spans="1:11" hidden="1" x14ac:dyDescent="0.25">
      <c r="A1192" t="e">
        <f>#REF!</f>
        <v>#REF!</v>
      </c>
      <c r="B1192" t="e">
        <f>#REF!</f>
        <v>#REF!</v>
      </c>
      <c r="C1192" t="e">
        <f>#REF!</f>
        <v>#REF!</v>
      </c>
      <c r="D1192" t="e">
        <f>#REF!</f>
        <v>#REF!</v>
      </c>
      <c r="E1192" t="e">
        <f>#REF!</f>
        <v>#REF!</v>
      </c>
      <c r="G1192" t="e">
        <f t="shared" si="91"/>
        <v>#REF!</v>
      </c>
      <c r="H1192" t="e">
        <f t="shared" si="92"/>
        <v>#REF!</v>
      </c>
      <c r="I1192" s="141" t="e">
        <f t="shared" si="93"/>
        <v>#REF!</v>
      </c>
      <c r="J1192" t="e">
        <f t="shared" si="94"/>
        <v>#REF!</v>
      </c>
      <c r="K1192" s="141" t="e">
        <f t="shared" si="95"/>
        <v>#REF!</v>
      </c>
    </row>
    <row r="1193" spans="1:11" hidden="1" x14ac:dyDescent="0.25">
      <c r="A1193" t="e">
        <f>#REF!</f>
        <v>#REF!</v>
      </c>
      <c r="B1193" t="e">
        <f>#REF!</f>
        <v>#REF!</v>
      </c>
      <c r="C1193" t="e">
        <f>#REF!</f>
        <v>#REF!</v>
      </c>
      <c r="D1193" t="e">
        <f>#REF!</f>
        <v>#REF!</v>
      </c>
      <c r="E1193" t="e">
        <f>#REF!</f>
        <v>#REF!</v>
      </c>
      <c r="G1193" t="e">
        <f t="shared" si="91"/>
        <v>#REF!</v>
      </c>
      <c r="H1193" t="e">
        <f t="shared" si="92"/>
        <v>#REF!</v>
      </c>
      <c r="I1193" s="141" t="e">
        <f t="shared" si="93"/>
        <v>#REF!</v>
      </c>
      <c r="J1193" t="e">
        <f t="shared" si="94"/>
        <v>#REF!</v>
      </c>
      <c r="K1193" s="141" t="e">
        <f t="shared" si="95"/>
        <v>#REF!</v>
      </c>
    </row>
    <row r="1194" spans="1:11" hidden="1" x14ac:dyDescent="0.25">
      <c r="A1194" t="e">
        <f>#REF!</f>
        <v>#REF!</v>
      </c>
      <c r="B1194" t="e">
        <f>#REF!</f>
        <v>#REF!</v>
      </c>
      <c r="C1194" t="e">
        <f>#REF!</f>
        <v>#REF!</v>
      </c>
      <c r="D1194" t="e">
        <f>#REF!</f>
        <v>#REF!</v>
      </c>
      <c r="E1194" t="e">
        <f>#REF!</f>
        <v>#REF!</v>
      </c>
      <c r="G1194" t="e">
        <f t="shared" si="91"/>
        <v>#REF!</v>
      </c>
      <c r="H1194" t="e">
        <f t="shared" si="92"/>
        <v>#REF!</v>
      </c>
      <c r="I1194" s="141" t="e">
        <f t="shared" si="93"/>
        <v>#REF!</v>
      </c>
      <c r="J1194" t="e">
        <f t="shared" si="94"/>
        <v>#REF!</v>
      </c>
      <c r="K1194" s="141" t="e">
        <f t="shared" si="95"/>
        <v>#REF!</v>
      </c>
    </row>
    <row r="1195" spans="1:11" hidden="1" x14ac:dyDescent="0.25">
      <c r="A1195" t="e">
        <f>#REF!</f>
        <v>#REF!</v>
      </c>
      <c r="B1195" t="e">
        <f>#REF!</f>
        <v>#REF!</v>
      </c>
      <c r="C1195" t="e">
        <f>#REF!</f>
        <v>#REF!</v>
      </c>
      <c r="D1195" t="e">
        <f>#REF!</f>
        <v>#REF!</v>
      </c>
      <c r="E1195" t="e">
        <f>#REF!</f>
        <v>#REF!</v>
      </c>
      <c r="G1195" t="e">
        <f t="shared" si="91"/>
        <v>#REF!</v>
      </c>
      <c r="H1195" t="e">
        <f t="shared" si="92"/>
        <v>#REF!</v>
      </c>
      <c r="I1195" s="141" t="e">
        <f t="shared" si="93"/>
        <v>#REF!</v>
      </c>
      <c r="J1195" t="e">
        <f t="shared" si="94"/>
        <v>#REF!</v>
      </c>
      <c r="K1195" s="141" t="e">
        <f t="shared" si="95"/>
        <v>#REF!</v>
      </c>
    </row>
    <row r="1196" spans="1:11" hidden="1" x14ac:dyDescent="0.25">
      <c r="A1196" t="e">
        <f>#REF!</f>
        <v>#REF!</v>
      </c>
      <c r="B1196" t="e">
        <f>#REF!</f>
        <v>#REF!</v>
      </c>
      <c r="C1196" t="e">
        <f>#REF!</f>
        <v>#REF!</v>
      </c>
      <c r="D1196" t="e">
        <f>#REF!</f>
        <v>#REF!</v>
      </c>
      <c r="E1196" t="e">
        <f>#REF!</f>
        <v>#REF!</v>
      </c>
      <c r="G1196" t="e">
        <f t="shared" si="91"/>
        <v>#REF!</v>
      </c>
      <c r="H1196" t="e">
        <f t="shared" si="92"/>
        <v>#REF!</v>
      </c>
      <c r="I1196" s="141" t="e">
        <f t="shared" si="93"/>
        <v>#REF!</v>
      </c>
      <c r="J1196" t="e">
        <f t="shared" si="94"/>
        <v>#REF!</v>
      </c>
      <c r="K1196" s="141" t="e">
        <f t="shared" si="95"/>
        <v>#REF!</v>
      </c>
    </row>
    <row r="1197" spans="1:11" hidden="1" x14ac:dyDescent="0.25">
      <c r="A1197" t="e">
        <f>#REF!</f>
        <v>#REF!</v>
      </c>
      <c r="B1197" t="e">
        <f>#REF!</f>
        <v>#REF!</v>
      </c>
      <c r="C1197" t="e">
        <f>#REF!</f>
        <v>#REF!</v>
      </c>
      <c r="D1197" t="e">
        <f>#REF!</f>
        <v>#REF!</v>
      </c>
      <c r="E1197" t="e">
        <f>#REF!</f>
        <v>#REF!</v>
      </c>
      <c r="G1197" t="e">
        <f t="shared" si="91"/>
        <v>#REF!</v>
      </c>
      <c r="H1197" t="e">
        <f t="shared" si="92"/>
        <v>#REF!</v>
      </c>
      <c r="I1197" s="141" t="e">
        <f t="shared" si="93"/>
        <v>#REF!</v>
      </c>
      <c r="J1197" t="e">
        <f t="shared" si="94"/>
        <v>#REF!</v>
      </c>
      <c r="K1197" s="141" t="e">
        <f t="shared" si="95"/>
        <v>#REF!</v>
      </c>
    </row>
    <row r="1198" spans="1:11" hidden="1" x14ac:dyDescent="0.25">
      <c r="A1198" t="e">
        <f>#REF!</f>
        <v>#REF!</v>
      </c>
      <c r="B1198" t="e">
        <f>#REF!</f>
        <v>#REF!</v>
      </c>
      <c r="C1198" t="e">
        <f>#REF!</f>
        <v>#REF!</v>
      </c>
      <c r="D1198" t="e">
        <f>#REF!</f>
        <v>#REF!</v>
      </c>
      <c r="E1198" t="e">
        <f>#REF!</f>
        <v>#REF!</v>
      </c>
      <c r="G1198" t="e">
        <f t="shared" si="91"/>
        <v>#REF!</v>
      </c>
      <c r="H1198" t="e">
        <f t="shared" si="92"/>
        <v>#REF!</v>
      </c>
      <c r="I1198" s="141" t="e">
        <f t="shared" si="93"/>
        <v>#REF!</v>
      </c>
      <c r="J1198" t="e">
        <f t="shared" si="94"/>
        <v>#REF!</v>
      </c>
      <c r="K1198" s="141" t="e">
        <f t="shared" si="95"/>
        <v>#REF!</v>
      </c>
    </row>
    <row r="1199" spans="1:11" hidden="1" x14ac:dyDescent="0.25">
      <c r="A1199" t="e">
        <f>#REF!</f>
        <v>#REF!</v>
      </c>
      <c r="B1199" t="e">
        <f>#REF!</f>
        <v>#REF!</v>
      </c>
      <c r="C1199" t="e">
        <f>#REF!</f>
        <v>#REF!</v>
      </c>
      <c r="D1199" t="e">
        <f>#REF!</f>
        <v>#REF!</v>
      </c>
      <c r="E1199" t="e">
        <f>#REF!</f>
        <v>#REF!</v>
      </c>
      <c r="G1199" t="e">
        <f t="shared" si="91"/>
        <v>#REF!</v>
      </c>
      <c r="H1199" t="e">
        <f t="shared" si="92"/>
        <v>#REF!</v>
      </c>
      <c r="I1199" s="141" t="e">
        <f t="shared" si="93"/>
        <v>#REF!</v>
      </c>
      <c r="J1199" t="e">
        <f t="shared" si="94"/>
        <v>#REF!</v>
      </c>
      <c r="K1199" s="141" t="e">
        <f t="shared" si="95"/>
        <v>#REF!</v>
      </c>
    </row>
    <row r="1200" spans="1:11" hidden="1" x14ac:dyDescent="0.25">
      <c r="A1200" t="e">
        <f>#REF!</f>
        <v>#REF!</v>
      </c>
      <c r="B1200" t="e">
        <f>#REF!</f>
        <v>#REF!</v>
      </c>
      <c r="C1200" t="e">
        <f>#REF!</f>
        <v>#REF!</v>
      </c>
      <c r="D1200" t="e">
        <f>#REF!</f>
        <v>#REF!</v>
      </c>
      <c r="E1200" t="e">
        <f>#REF!</f>
        <v>#REF!</v>
      </c>
      <c r="G1200" t="e">
        <f t="shared" si="91"/>
        <v>#REF!</v>
      </c>
      <c r="H1200" t="e">
        <f t="shared" si="92"/>
        <v>#REF!</v>
      </c>
      <c r="I1200" s="141" t="e">
        <f t="shared" si="93"/>
        <v>#REF!</v>
      </c>
      <c r="J1200" t="e">
        <f t="shared" si="94"/>
        <v>#REF!</v>
      </c>
      <c r="K1200" s="141" t="e">
        <f t="shared" si="95"/>
        <v>#REF!</v>
      </c>
    </row>
    <row r="1201" spans="1:11" hidden="1" x14ac:dyDescent="0.25">
      <c r="A1201" t="e">
        <f>#REF!</f>
        <v>#REF!</v>
      </c>
      <c r="B1201" t="e">
        <f>#REF!</f>
        <v>#REF!</v>
      </c>
      <c r="C1201" t="e">
        <f>#REF!</f>
        <v>#REF!</v>
      </c>
      <c r="D1201" t="e">
        <f>#REF!</f>
        <v>#REF!</v>
      </c>
      <c r="E1201" t="e">
        <f>#REF!</f>
        <v>#REF!</v>
      </c>
      <c r="G1201" t="e">
        <f t="shared" si="91"/>
        <v>#REF!</v>
      </c>
      <c r="H1201" t="e">
        <f t="shared" si="92"/>
        <v>#REF!</v>
      </c>
      <c r="I1201" s="141" t="e">
        <f t="shared" si="93"/>
        <v>#REF!</v>
      </c>
      <c r="J1201" t="e">
        <f t="shared" si="94"/>
        <v>#REF!</v>
      </c>
      <c r="K1201" s="141" t="e">
        <f t="shared" si="95"/>
        <v>#REF!</v>
      </c>
    </row>
    <row r="1202" spans="1:11" hidden="1" x14ac:dyDescent="0.25">
      <c r="A1202" t="e">
        <f>#REF!</f>
        <v>#REF!</v>
      </c>
      <c r="B1202" t="e">
        <f>#REF!</f>
        <v>#REF!</v>
      </c>
      <c r="C1202" t="e">
        <f>#REF!</f>
        <v>#REF!</v>
      </c>
      <c r="D1202" t="e">
        <f>#REF!</f>
        <v>#REF!</v>
      </c>
      <c r="E1202" t="e">
        <f>#REF!</f>
        <v>#REF!</v>
      </c>
      <c r="G1202" t="e">
        <f t="shared" si="91"/>
        <v>#REF!</v>
      </c>
      <c r="H1202" t="e">
        <f t="shared" si="92"/>
        <v>#REF!</v>
      </c>
      <c r="I1202" s="141" t="e">
        <f t="shared" si="93"/>
        <v>#REF!</v>
      </c>
      <c r="J1202" t="e">
        <f t="shared" si="94"/>
        <v>#REF!</v>
      </c>
      <c r="K1202" s="141" t="e">
        <f t="shared" si="95"/>
        <v>#REF!</v>
      </c>
    </row>
    <row r="1203" spans="1:11" hidden="1" x14ac:dyDescent="0.25">
      <c r="A1203" t="e">
        <f>#REF!</f>
        <v>#REF!</v>
      </c>
      <c r="B1203" t="e">
        <f>#REF!</f>
        <v>#REF!</v>
      </c>
      <c r="C1203" t="e">
        <f>#REF!</f>
        <v>#REF!</v>
      </c>
      <c r="D1203" t="e">
        <f>#REF!</f>
        <v>#REF!</v>
      </c>
      <c r="E1203" t="e">
        <f>#REF!</f>
        <v>#REF!</v>
      </c>
      <c r="G1203" t="e">
        <f t="shared" si="91"/>
        <v>#REF!</v>
      </c>
      <c r="H1203" t="e">
        <f t="shared" si="92"/>
        <v>#REF!</v>
      </c>
      <c r="I1203" s="141" t="e">
        <f t="shared" si="93"/>
        <v>#REF!</v>
      </c>
      <c r="J1203" t="e">
        <f t="shared" si="94"/>
        <v>#REF!</v>
      </c>
      <c r="K1203" s="141" t="e">
        <f t="shared" si="95"/>
        <v>#REF!</v>
      </c>
    </row>
    <row r="1204" spans="1:11" hidden="1" x14ac:dyDescent="0.25">
      <c r="A1204" t="e">
        <f>#REF!</f>
        <v>#REF!</v>
      </c>
      <c r="B1204" t="e">
        <f>#REF!</f>
        <v>#REF!</v>
      </c>
      <c r="C1204" t="e">
        <f>#REF!</f>
        <v>#REF!</v>
      </c>
      <c r="D1204" t="e">
        <f>#REF!</f>
        <v>#REF!</v>
      </c>
      <c r="E1204" t="e">
        <f>#REF!</f>
        <v>#REF!</v>
      </c>
      <c r="G1204" t="e">
        <f t="shared" si="91"/>
        <v>#REF!</v>
      </c>
      <c r="H1204" t="e">
        <f t="shared" si="92"/>
        <v>#REF!</v>
      </c>
      <c r="I1204" s="141" t="e">
        <f t="shared" si="93"/>
        <v>#REF!</v>
      </c>
      <c r="J1204" t="e">
        <f t="shared" si="94"/>
        <v>#REF!</v>
      </c>
      <c r="K1204" s="141" t="e">
        <f t="shared" si="95"/>
        <v>#REF!</v>
      </c>
    </row>
    <row r="1205" spans="1:11" hidden="1" x14ac:dyDescent="0.25">
      <c r="A1205" t="e">
        <f>#REF!</f>
        <v>#REF!</v>
      </c>
      <c r="B1205" t="e">
        <f>#REF!</f>
        <v>#REF!</v>
      </c>
      <c r="C1205" t="e">
        <f>#REF!</f>
        <v>#REF!</v>
      </c>
      <c r="D1205" t="e">
        <f>#REF!</f>
        <v>#REF!</v>
      </c>
      <c r="E1205" t="e">
        <f>#REF!</f>
        <v>#REF!</v>
      </c>
      <c r="G1205" t="e">
        <f t="shared" si="91"/>
        <v>#REF!</v>
      </c>
      <c r="H1205" t="e">
        <f t="shared" si="92"/>
        <v>#REF!</v>
      </c>
      <c r="I1205" s="141" t="e">
        <f t="shared" si="93"/>
        <v>#REF!</v>
      </c>
      <c r="J1205" t="e">
        <f t="shared" si="94"/>
        <v>#REF!</v>
      </c>
      <c r="K1205" s="141" t="e">
        <f t="shared" si="95"/>
        <v>#REF!</v>
      </c>
    </row>
    <row r="1206" spans="1:11" hidden="1" x14ac:dyDescent="0.25">
      <c r="A1206" t="e">
        <f>#REF!</f>
        <v>#REF!</v>
      </c>
      <c r="B1206" t="e">
        <f>#REF!</f>
        <v>#REF!</v>
      </c>
      <c r="C1206" t="e">
        <f>#REF!</f>
        <v>#REF!</v>
      </c>
      <c r="D1206" t="e">
        <f>#REF!</f>
        <v>#REF!</v>
      </c>
      <c r="E1206" t="e">
        <f>#REF!</f>
        <v>#REF!</v>
      </c>
      <c r="G1206" t="e">
        <f t="shared" si="91"/>
        <v>#REF!</v>
      </c>
      <c r="H1206" t="e">
        <f t="shared" si="92"/>
        <v>#REF!</v>
      </c>
      <c r="I1206" s="141" t="e">
        <f t="shared" si="93"/>
        <v>#REF!</v>
      </c>
      <c r="J1206" t="e">
        <f t="shared" si="94"/>
        <v>#REF!</v>
      </c>
      <c r="K1206" s="141" t="e">
        <f t="shared" si="95"/>
        <v>#REF!</v>
      </c>
    </row>
    <row r="1207" spans="1:11" hidden="1" x14ac:dyDescent="0.25">
      <c r="A1207" t="e">
        <f>#REF!</f>
        <v>#REF!</v>
      </c>
      <c r="B1207" t="e">
        <f>#REF!</f>
        <v>#REF!</v>
      </c>
      <c r="C1207" t="e">
        <f>#REF!</f>
        <v>#REF!</v>
      </c>
      <c r="D1207" t="e">
        <f>#REF!</f>
        <v>#REF!</v>
      </c>
      <c r="E1207" t="e">
        <f>#REF!</f>
        <v>#REF!</v>
      </c>
      <c r="G1207" t="e">
        <f t="shared" si="91"/>
        <v>#REF!</v>
      </c>
      <c r="H1207" t="e">
        <f t="shared" si="92"/>
        <v>#REF!</v>
      </c>
      <c r="I1207" s="141" t="e">
        <f t="shared" si="93"/>
        <v>#REF!</v>
      </c>
      <c r="J1207" t="e">
        <f t="shared" si="94"/>
        <v>#REF!</v>
      </c>
      <c r="K1207" s="141" t="e">
        <f t="shared" si="95"/>
        <v>#REF!</v>
      </c>
    </row>
    <row r="1208" spans="1:11" hidden="1" x14ac:dyDescent="0.25">
      <c r="A1208" t="e">
        <f>#REF!</f>
        <v>#REF!</v>
      </c>
      <c r="B1208" t="e">
        <f>#REF!</f>
        <v>#REF!</v>
      </c>
      <c r="C1208" t="e">
        <f>#REF!</f>
        <v>#REF!</v>
      </c>
      <c r="D1208" t="e">
        <f>#REF!</f>
        <v>#REF!</v>
      </c>
      <c r="E1208" t="e">
        <f>#REF!</f>
        <v>#REF!</v>
      </c>
      <c r="G1208" t="e">
        <f t="shared" si="91"/>
        <v>#REF!</v>
      </c>
      <c r="H1208" t="e">
        <f t="shared" si="92"/>
        <v>#REF!</v>
      </c>
      <c r="I1208" s="141" t="e">
        <f t="shared" si="93"/>
        <v>#REF!</v>
      </c>
      <c r="J1208" t="e">
        <f t="shared" si="94"/>
        <v>#REF!</v>
      </c>
      <c r="K1208" s="141" t="e">
        <f t="shared" si="95"/>
        <v>#REF!</v>
      </c>
    </row>
    <row r="1209" spans="1:11" hidden="1" x14ac:dyDescent="0.25">
      <c r="A1209" t="e">
        <f>#REF!</f>
        <v>#REF!</v>
      </c>
      <c r="B1209" t="e">
        <f>#REF!</f>
        <v>#REF!</v>
      </c>
      <c r="C1209" t="e">
        <f>#REF!</f>
        <v>#REF!</v>
      </c>
      <c r="D1209" t="e">
        <f>#REF!</f>
        <v>#REF!</v>
      </c>
      <c r="E1209" t="e">
        <f>#REF!</f>
        <v>#REF!</v>
      </c>
      <c r="G1209" t="e">
        <f t="shared" si="91"/>
        <v>#REF!</v>
      </c>
      <c r="H1209" t="e">
        <f t="shared" si="92"/>
        <v>#REF!</v>
      </c>
      <c r="I1209" s="141" t="e">
        <f t="shared" si="93"/>
        <v>#REF!</v>
      </c>
      <c r="J1209" t="e">
        <f t="shared" si="94"/>
        <v>#REF!</v>
      </c>
      <c r="K1209" s="141" t="e">
        <f t="shared" si="95"/>
        <v>#REF!</v>
      </c>
    </row>
    <row r="1210" spans="1:11" hidden="1" x14ac:dyDescent="0.25">
      <c r="A1210" t="e">
        <f>#REF!</f>
        <v>#REF!</v>
      </c>
      <c r="B1210" t="e">
        <f>#REF!</f>
        <v>#REF!</v>
      </c>
      <c r="C1210" t="e">
        <f>#REF!</f>
        <v>#REF!</v>
      </c>
      <c r="D1210" t="e">
        <f>#REF!</f>
        <v>#REF!</v>
      </c>
      <c r="E1210" t="e">
        <f>#REF!</f>
        <v>#REF!</v>
      </c>
      <c r="G1210" t="e">
        <f t="shared" si="91"/>
        <v>#REF!</v>
      </c>
      <c r="H1210" t="e">
        <f t="shared" si="92"/>
        <v>#REF!</v>
      </c>
      <c r="I1210" s="141" t="e">
        <f t="shared" si="93"/>
        <v>#REF!</v>
      </c>
      <c r="J1210" t="e">
        <f t="shared" si="94"/>
        <v>#REF!</v>
      </c>
      <c r="K1210" s="141" t="e">
        <f t="shared" si="95"/>
        <v>#REF!</v>
      </c>
    </row>
    <row r="1211" spans="1:11" hidden="1" x14ac:dyDescent="0.25">
      <c r="A1211" t="e">
        <f>#REF!</f>
        <v>#REF!</v>
      </c>
      <c r="B1211" t="e">
        <f>#REF!</f>
        <v>#REF!</v>
      </c>
      <c r="C1211" t="e">
        <f>#REF!</f>
        <v>#REF!</v>
      </c>
      <c r="D1211" t="e">
        <f>#REF!</f>
        <v>#REF!</v>
      </c>
      <c r="E1211" t="e">
        <f>#REF!</f>
        <v>#REF!</v>
      </c>
      <c r="G1211" t="e">
        <f t="shared" si="91"/>
        <v>#REF!</v>
      </c>
      <c r="H1211" t="e">
        <f t="shared" si="92"/>
        <v>#REF!</v>
      </c>
      <c r="I1211" s="141" t="e">
        <f t="shared" si="93"/>
        <v>#REF!</v>
      </c>
      <c r="J1211" t="e">
        <f t="shared" si="94"/>
        <v>#REF!</v>
      </c>
      <c r="K1211" s="141" t="e">
        <f t="shared" si="95"/>
        <v>#REF!</v>
      </c>
    </row>
    <row r="1212" spans="1:11" hidden="1" x14ac:dyDescent="0.25">
      <c r="A1212" t="e">
        <f>#REF!</f>
        <v>#REF!</v>
      </c>
      <c r="B1212" t="e">
        <f>#REF!</f>
        <v>#REF!</v>
      </c>
      <c r="C1212" t="e">
        <f>#REF!</f>
        <v>#REF!</v>
      </c>
      <c r="D1212" t="e">
        <f>#REF!</f>
        <v>#REF!</v>
      </c>
      <c r="E1212" t="e">
        <f>#REF!</f>
        <v>#REF!</v>
      </c>
      <c r="G1212" t="e">
        <f t="shared" si="91"/>
        <v>#REF!</v>
      </c>
      <c r="H1212" t="e">
        <f t="shared" si="92"/>
        <v>#REF!</v>
      </c>
      <c r="I1212" s="141" t="e">
        <f t="shared" si="93"/>
        <v>#REF!</v>
      </c>
      <c r="J1212" t="e">
        <f t="shared" si="94"/>
        <v>#REF!</v>
      </c>
      <c r="K1212" s="141" t="e">
        <f t="shared" si="95"/>
        <v>#REF!</v>
      </c>
    </row>
    <row r="1213" spans="1:11" hidden="1" x14ac:dyDescent="0.25">
      <c r="A1213" t="e">
        <f>#REF!</f>
        <v>#REF!</v>
      </c>
      <c r="B1213" t="e">
        <f>#REF!</f>
        <v>#REF!</v>
      </c>
      <c r="C1213" t="e">
        <f>#REF!</f>
        <v>#REF!</v>
      </c>
      <c r="D1213" t="e">
        <f>#REF!</f>
        <v>#REF!</v>
      </c>
      <c r="E1213" t="e">
        <f>#REF!</f>
        <v>#REF!</v>
      </c>
      <c r="G1213" t="e">
        <f t="shared" si="91"/>
        <v>#REF!</v>
      </c>
      <c r="H1213" t="e">
        <f t="shared" si="92"/>
        <v>#REF!</v>
      </c>
      <c r="I1213" s="141" t="e">
        <f t="shared" si="93"/>
        <v>#REF!</v>
      </c>
      <c r="J1213" t="e">
        <f t="shared" si="94"/>
        <v>#REF!</v>
      </c>
      <c r="K1213" s="141" t="e">
        <f t="shared" si="95"/>
        <v>#REF!</v>
      </c>
    </row>
    <row r="1214" spans="1:11" hidden="1" x14ac:dyDescent="0.25">
      <c r="A1214" t="e">
        <f>#REF!</f>
        <v>#REF!</v>
      </c>
      <c r="B1214" t="e">
        <f>#REF!</f>
        <v>#REF!</v>
      </c>
      <c r="C1214" t="e">
        <f>#REF!</f>
        <v>#REF!</v>
      </c>
      <c r="D1214" t="e">
        <f>#REF!</f>
        <v>#REF!</v>
      </c>
      <c r="E1214" t="e">
        <f>#REF!</f>
        <v>#REF!</v>
      </c>
      <c r="G1214" t="e">
        <f t="shared" si="91"/>
        <v>#REF!</v>
      </c>
      <c r="H1214" t="e">
        <f t="shared" si="92"/>
        <v>#REF!</v>
      </c>
      <c r="I1214" s="141" t="e">
        <f t="shared" si="93"/>
        <v>#REF!</v>
      </c>
      <c r="J1214" t="e">
        <f t="shared" si="94"/>
        <v>#REF!</v>
      </c>
      <c r="K1214" s="141" t="e">
        <f t="shared" si="95"/>
        <v>#REF!</v>
      </c>
    </row>
    <row r="1215" spans="1:11" hidden="1" x14ac:dyDescent="0.25">
      <c r="A1215" t="e">
        <f>#REF!</f>
        <v>#REF!</v>
      </c>
      <c r="B1215" t="e">
        <f>#REF!</f>
        <v>#REF!</v>
      </c>
      <c r="C1215" t="e">
        <f>#REF!</f>
        <v>#REF!</v>
      </c>
      <c r="D1215" t="e">
        <f>#REF!</f>
        <v>#REF!</v>
      </c>
      <c r="E1215" t="e">
        <f>#REF!</f>
        <v>#REF!</v>
      </c>
      <c r="G1215" t="e">
        <f t="shared" si="91"/>
        <v>#REF!</v>
      </c>
      <c r="H1215" t="e">
        <f t="shared" si="92"/>
        <v>#REF!</v>
      </c>
      <c r="I1215" s="141" t="e">
        <f t="shared" si="93"/>
        <v>#REF!</v>
      </c>
      <c r="J1215" t="e">
        <f t="shared" si="94"/>
        <v>#REF!</v>
      </c>
      <c r="K1215" s="141" t="e">
        <f t="shared" si="95"/>
        <v>#REF!</v>
      </c>
    </row>
    <row r="1216" spans="1:11" hidden="1" x14ac:dyDescent="0.25">
      <c r="A1216" t="e">
        <f>#REF!</f>
        <v>#REF!</v>
      </c>
      <c r="B1216" t="e">
        <f>#REF!</f>
        <v>#REF!</v>
      </c>
      <c r="C1216" t="e">
        <f>#REF!</f>
        <v>#REF!</v>
      </c>
      <c r="D1216" t="e">
        <f>#REF!</f>
        <v>#REF!</v>
      </c>
      <c r="E1216" t="e">
        <f>#REF!</f>
        <v>#REF!</v>
      </c>
      <c r="G1216" t="e">
        <f t="shared" si="91"/>
        <v>#REF!</v>
      </c>
      <c r="H1216" t="e">
        <f t="shared" si="92"/>
        <v>#REF!</v>
      </c>
      <c r="I1216" s="141" t="e">
        <f t="shared" si="93"/>
        <v>#REF!</v>
      </c>
      <c r="J1216" t="e">
        <f t="shared" si="94"/>
        <v>#REF!</v>
      </c>
      <c r="K1216" s="141" t="e">
        <f t="shared" si="95"/>
        <v>#REF!</v>
      </c>
    </row>
    <row r="1217" spans="1:11" hidden="1" x14ac:dyDescent="0.25">
      <c r="A1217" t="e">
        <f>#REF!</f>
        <v>#REF!</v>
      </c>
      <c r="B1217" t="e">
        <f>#REF!</f>
        <v>#REF!</v>
      </c>
      <c r="C1217" t="e">
        <f>#REF!</f>
        <v>#REF!</v>
      </c>
      <c r="D1217" t="e">
        <f>#REF!</f>
        <v>#REF!</v>
      </c>
      <c r="E1217" t="e">
        <f>#REF!</f>
        <v>#REF!</v>
      </c>
      <c r="G1217" t="e">
        <f t="shared" si="91"/>
        <v>#REF!</v>
      </c>
      <c r="H1217" t="e">
        <f t="shared" si="92"/>
        <v>#REF!</v>
      </c>
      <c r="I1217" s="141" t="e">
        <f t="shared" si="93"/>
        <v>#REF!</v>
      </c>
      <c r="J1217" t="e">
        <f t="shared" si="94"/>
        <v>#REF!</v>
      </c>
      <c r="K1217" s="141" t="e">
        <f t="shared" si="95"/>
        <v>#REF!</v>
      </c>
    </row>
    <row r="1218" spans="1:11" hidden="1" x14ac:dyDescent="0.25">
      <c r="A1218" t="e">
        <f>#REF!</f>
        <v>#REF!</v>
      </c>
      <c r="B1218" t="e">
        <f>#REF!</f>
        <v>#REF!</v>
      </c>
      <c r="C1218" t="e">
        <f>#REF!</f>
        <v>#REF!</v>
      </c>
      <c r="D1218" t="e">
        <f>#REF!</f>
        <v>#REF!</v>
      </c>
      <c r="E1218" t="e">
        <f>#REF!</f>
        <v>#REF!</v>
      </c>
      <c r="G1218" t="e">
        <f t="shared" ref="G1218:G1281" si="96">A1218</f>
        <v>#REF!</v>
      </c>
      <c r="H1218" t="e">
        <f t="shared" ref="H1218:H1281" si="97">B1218</f>
        <v>#REF!</v>
      </c>
      <c r="I1218" s="141" t="e">
        <f t="shared" ref="I1218:I1281" si="98">C1218</f>
        <v>#REF!</v>
      </c>
      <c r="J1218" t="e">
        <f t="shared" ref="J1218:J1281" si="99">D1218</f>
        <v>#REF!</v>
      </c>
      <c r="K1218" s="141" t="e">
        <f t="shared" ref="K1218:K1281" si="100">E1218</f>
        <v>#REF!</v>
      </c>
    </row>
    <row r="1219" spans="1:11" hidden="1" x14ac:dyDescent="0.25">
      <c r="A1219" t="e">
        <f>#REF!</f>
        <v>#REF!</v>
      </c>
      <c r="B1219" t="e">
        <f>#REF!</f>
        <v>#REF!</v>
      </c>
      <c r="C1219" t="e">
        <f>#REF!</f>
        <v>#REF!</v>
      </c>
      <c r="D1219" t="e">
        <f>#REF!</f>
        <v>#REF!</v>
      </c>
      <c r="E1219" t="e">
        <f>#REF!</f>
        <v>#REF!</v>
      </c>
      <c r="G1219" t="e">
        <f t="shared" si="96"/>
        <v>#REF!</v>
      </c>
      <c r="H1219" t="e">
        <f t="shared" si="97"/>
        <v>#REF!</v>
      </c>
      <c r="I1219" s="141" t="e">
        <f t="shared" si="98"/>
        <v>#REF!</v>
      </c>
      <c r="J1219" t="e">
        <f t="shared" si="99"/>
        <v>#REF!</v>
      </c>
      <c r="K1219" s="141" t="e">
        <f t="shared" si="100"/>
        <v>#REF!</v>
      </c>
    </row>
    <row r="1220" spans="1:11" hidden="1" x14ac:dyDescent="0.25">
      <c r="A1220" t="e">
        <f>#REF!</f>
        <v>#REF!</v>
      </c>
      <c r="B1220" t="e">
        <f>#REF!</f>
        <v>#REF!</v>
      </c>
      <c r="C1220" t="e">
        <f>#REF!</f>
        <v>#REF!</v>
      </c>
      <c r="D1220" t="e">
        <f>#REF!</f>
        <v>#REF!</v>
      </c>
      <c r="E1220" t="e">
        <f>#REF!</f>
        <v>#REF!</v>
      </c>
      <c r="G1220" t="e">
        <f t="shared" si="96"/>
        <v>#REF!</v>
      </c>
      <c r="H1220" t="e">
        <f t="shared" si="97"/>
        <v>#REF!</v>
      </c>
      <c r="I1220" s="141" t="e">
        <f t="shared" si="98"/>
        <v>#REF!</v>
      </c>
      <c r="J1220" t="e">
        <f t="shared" si="99"/>
        <v>#REF!</v>
      </c>
      <c r="K1220" s="141" t="e">
        <f t="shared" si="100"/>
        <v>#REF!</v>
      </c>
    </row>
    <row r="1221" spans="1:11" hidden="1" x14ac:dyDescent="0.25">
      <c r="A1221" t="e">
        <f>#REF!</f>
        <v>#REF!</v>
      </c>
      <c r="B1221" t="e">
        <f>#REF!</f>
        <v>#REF!</v>
      </c>
      <c r="C1221" t="e">
        <f>#REF!</f>
        <v>#REF!</v>
      </c>
      <c r="D1221" t="e">
        <f>#REF!</f>
        <v>#REF!</v>
      </c>
      <c r="E1221" t="e">
        <f>#REF!</f>
        <v>#REF!</v>
      </c>
      <c r="G1221" t="e">
        <f t="shared" si="96"/>
        <v>#REF!</v>
      </c>
      <c r="H1221" t="e">
        <f t="shared" si="97"/>
        <v>#REF!</v>
      </c>
      <c r="I1221" s="141" t="e">
        <f t="shared" si="98"/>
        <v>#REF!</v>
      </c>
      <c r="J1221" t="e">
        <f t="shared" si="99"/>
        <v>#REF!</v>
      </c>
      <c r="K1221" s="141" t="e">
        <f t="shared" si="100"/>
        <v>#REF!</v>
      </c>
    </row>
    <row r="1222" spans="1:11" hidden="1" x14ac:dyDescent="0.25">
      <c r="A1222" t="e">
        <f>#REF!</f>
        <v>#REF!</v>
      </c>
      <c r="B1222" t="e">
        <f>#REF!</f>
        <v>#REF!</v>
      </c>
      <c r="C1222" t="e">
        <f>#REF!</f>
        <v>#REF!</v>
      </c>
      <c r="D1222" t="e">
        <f>#REF!</f>
        <v>#REF!</v>
      </c>
      <c r="E1222" t="e">
        <f>#REF!</f>
        <v>#REF!</v>
      </c>
      <c r="G1222" t="e">
        <f t="shared" si="96"/>
        <v>#REF!</v>
      </c>
      <c r="H1222" t="e">
        <f t="shared" si="97"/>
        <v>#REF!</v>
      </c>
      <c r="I1222" s="141" t="e">
        <f t="shared" si="98"/>
        <v>#REF!</v>
      </c>
      <c r="J1222" t="e">
        <f t="shared" si="99"/>
        <v>#REF!</v>
      </c>
      <c r="K1222" s="141" t="e">
        <f t="shared" si="100"/>
        <v>#REF!</v>
      </c>
    </row>
    <row r="1223" spans="1:11" hidden="1" x14ac:dyDescent="0.25">
      <c r="A1223" t="e">
        <f>#REF!</f>
        <v>#REF!</v>
      </c>
      <c r="B1223" t="e">
        <f>#REF!</f>
        <v>#REF!</v>
      </c>
      <c r="C1223" t="e">
        <f>#REF!</f>
        <v>#REF!</v>
      </c>
      <c r="D1223" t="e">
        <f>#REF!</f>
        <v>#REF!</v>
      </c>
      <c r="E1223" t="e">
        <f>#REF!</f>
        <v>#REF!</v>
      </c>
      <c r="G1223" t="e">
        <f t="shared" si="96"/>
        <v>#REF!</v>
      </c>
      <c r="H1223" t="e">
        <f t="shared" si="97"/>
        <v>#REF!</v>
      </c>
      <c r="I1223" s="141" t="e">
        <f t="shared" si="98"/>
        <v>#REF!</v>
      </c>
      <c r="J1223" t="e">
        <f t="shared" si="99"/>
        <v>#REF!</v>
      </c>
      <c r="K1223" s="141" t="e">
        <f t="shared" si="100"/>
        <v>#REF!</v>
      </c>
    </row>
    <row r="1224" spans="1:11" hidden="1" x14ac:dyDescent="0.25">
      <c r="A1224" t="e">
        <f>#REF!</f>
        <v>#REF!</v>
      </c>
      <c r="B1224" t="e">
        <f>#REF!</f>
        <v>#REF!</v>
      </c>
      <c r="C1224" t="e">
        <f>#REF!</f>
        <v>#REF!</v>
      </c>
      <c r="D1224" t="e">
        <f>#REF!</f>
        <v>#REF!</v>
      </c>
      <c r="E1224" t="e">
        <f>#REF!</f>
        <v>#REF!</v>
      </c>
      <c r="G1224" t="e">
        <f t="shared" si="96"/>
        <v>#REF!</v>
      </c>
      <c r="H1224" t="e">
        <f t="shared" si="97"/>
        <v>#REF!</v>
      </c>
      <c r="I1224" s="141" t="e">
        <f t="shared" si="98"/>
        <v>#REF!</v>
      </c>
      <c r="J1224" t="e">
        <f t="shared" si="99"/>
        <v>#REF!</v>
      </c>
      <c r="K1224" s="141" t="e">
        <f t="shared" si="100"/>
        <v>#REF!</v>
      </c>
    </row>
    <row r="1225" spans="1:11" hidden="1" x14ac:dyDescent="0.25">
      <c r="A1225" t="e">
        <f>#REF!</f>
        <v>#REF!</v>
      </c>
      <c r="B1225" t="e">
        <f>#REF!</f>
        <v>#REF!</v>
      </c>
      <c r="C1225" t="e">
        <f>#REF!</f>
        <v>#REF!</v>
      </c>
      <c r="D1225" t="e">
        <f>#REF!</f>
        <v>#REF!</v>
      </c>
      <c r="E1225" t="e">
        <f>#REF!</f>
        <v>#REF!</v>
      </c>
      <c r="G1225" t="e">
        <f t="shared" si="96"/>
        <v>#REF!</v>
      </c>
      <c r="H1225" t="e">
        <f t="shared" si="97"/>
        <v>#REF!</v>
      </c>
      <c r="I1225" s="141" t="e">
        <f t="shared" si="98"/>
        <v>#REF!</v>
      </c>
      <c r="J1225" t="e">
        <f t="shared" si="99"/>
        <v>#REF!</v>
      </c>
      <c r="K1225" s="141" t="e">
        <f t="shared" si="100"/>
        <v>#REF!</v>
      </c>
    </row>
    <row r="1226" spans="1:11" hidden="1" x14ac:dyDescent="0.25">
      <c r="A1226" t="e">
        <f>#REF!</f>
        <v>#REF!</v>
      </c>
      <c r="B1226" t="e">
        <f>#REF!</f>
        <v>#REF!</v>
      </c>
      <c r="C1226" t="e">
        <f>#REF!</f>
        <v>#REF!</v>
      </c>
      <c r="D1226" t="e">
        <f>#REF!</f>
        <v>#REF!</v>
      </c>
      <c r="E1226" t="e">
        <f>#REF!</f>
        <v>#REF!</v>
      </c>
      <c r="G1226" t="e">
        <f t="shared" si="96"/>
        <v>#REF!</v>
      </c>
      <c r="H1226" t="e">
        <f t="shared" si="97"/>
        <v>#REF!</v>
      </c>
      <c r="I1226" s="141" t="e">
        <f t="shared" si="98"/>
        <v>#REF!</v>
      </c>
      <c r="J1226" t="e">
        <f t="shared" si="99"/>
        <v>#REF!</v>
      </c>
      <c r="K1226" s="141" t="e">
        <f t="shared" si="100"/>
        <v>#REF!</v>
      </c>
    </row>
    <row r="1227" spans="1:11" hidden="1" x14ac:dyDescent="0.25">
      <c r="A1227" t="e">
        <f>#REF!</f>
        <v>#REF!</v>
      </c>
      <c r="B1227" t="e">
        <f>#REF!</f>
        <v>#REF!</v>
      </c>
      <c r="C1227" t="e">
        <f>#REF!</f>
        <v>#REF!</v>
      </c>
      <c r="D1227" t="e">
        <f>#REF!</f>
        <v>#REF!</v>
      </c>
      <c r="E1227" t="e">
        <f>#REF!</f>
        <v>#REF!</v>
      </c>
      <c r="G1227" t="e">
        <f t="shared" si="96"/>
        <v>#REF!</v>
      </c>
      <c r="H1227" t="e">
        <f t="shared" si="97"/>
        <v>#REF!</v>
      </c>
      <c r="I1227" s="141" t="e">
        <f t="shared" si="98"/>
        <v>#REF!</v>
      </c>
      <c r="J1227" t="e">
        <f t="shared" si="99"/>
        <v>#REF!</v>
      </c>
      <c r="K1227" s="141" t="e">
        <f t="shared" si="100"/>
        <v>#REF!</v>
      </c>
    </row>
    <row r="1228" spans="1:11" hidden="1" x14ac:dyDescent="0.25">
      <c r="A1228" t="e">
        <f>#REF!</f>
        <v>#REF!</v>
      </c>
      <c r="B1228" t="e">
        <f>#REF!</f>
        <v>#REF!</v>
      </c>
      <c r="C1228" t="e">
        <f>#REF!</f>
        <v>#REF!</v>
      </c>
      <c r="D1228" t="e">
        <f>#REF!</f>
        <v>#REF!</v>
      </c>
      <c r="E1228" t="e">
        <f>#REF!</f>
        <v>#REF!</v>
      </c>
      <c r="G1228" t="e">
        <f t="shared" si="96"/>
        <v>#REF!</v>
      </c>
      <c r="H1228" t="e">
        <f t="shared" si="97"/>
        <v>#REF!</v>
      </c>
      <c r="I1228" s="141" t="e">
        <f t="shared" si="98"/>
        <v>#REF!</v>
      </c>
      <c r="J1228" t="e">
        <f t="shared" si="99"/>
        <v>#REF!</v>
      </c>
      <c r="K1228" s="141" t="e">
        <f t="shared" si="100"/>
        <v>#REF!</v>
      </c>
    </row>
    <row r="1229" spans="1:11" hidden="1" x14ac:dyDescent="0.25">
      <c r="A1229" t="e">
        <f>#REF!</f>
        <v>#REF!</v>
      </c>
      <c r="B1229" t="e">
        <f>#REF!</f>
        <v>#REF!</v>
      </c>
      <c r="C1229" t="e">
        <f>#REF!</f>
        <v>#REF!</v>
      </c>
      <c r="D1229" t="e">
        <f>#REF!</f>
        <v>#REF!</v>
      </c>
      <c r="E1229" t="e">
        <f>#REF!</f>
        <v>#REF!</v>
      </c>
      <c r="G1229" t="e">
        <f t="shared" si="96"/>
        <v>#REF!</v>
      </c>
      <c r="H1229" t="e">
        <f t="shared" si="97"/>
        <v>#REF!</v>
      </c>
      <c r="I1229" s="141" t="e">
        <f t="shared" si="98"/>
        <v>#REF!</v>
      </c>
      <c r="J1229" t="e">
        <f t="shared" si="99"/>
        <v>#REF!</v>
      </c>
      <c r="K1229" s="141" t="e">
        <f t="shared" si="100"/>
        <v>#REF!</v>
      </c>
    </row>
    <row r="1230" spans="1:11" hidden="1" x14ac:dyDescent="0.25">
      <c r="A1230" t="e">
        <f>#REF!</f>
        <v>#REF!</v>
      </c>
      <c r="B1230" t="e">
        <f>#REF!</f>
        <v>#REF!</v>
      </c>
      <c r="C1230" t="e">
        <f>#REF!</f>
        <v>#REF!</v>
      </c>
      <c r="D1230" t="e">
        <f>#REF!</f>
        <v>#REF!</v>
      </c>
      <c r="E1230" t="e">
        <f>#REF!</f>
        <v>#REF!</v>
      </c>
      <c r="G1230" t="e">
        <f t="shared" si="96"/>
        <v>#REF!</v>
      </c>
      <c r="H1230" t="e">
        <f t="shared" si="97"/>
        <v>#REF!</v>
      </c>
      <c r="I1230" s="141" t="e">
        <f t="shared" si="98"/>
        <v>#REF!</v>
      </c>
      <c r="J1230" t="e">
        <f t="shared" si="99"/>
        <v>#REF!</v>
      </c>
      <c r="K1230" s="141" t="e">
        <f t="shared" si="100"/>
        <v>#REF!</v>
      </c>
    </row>
    <row r="1231" spans="1:11" hidden="1" x14ac:dyDescent="0.25">
      <c r="A1231" t="e">
        <f>#REF!</f>
        <v>#REF!</v>
      </c>
      <c r="B1231" t="e">
        <f>#REF!</f>
        <v>#REF!</v>
      </c>
      <c r="C1231" t="e">
        <f>#REF!</f>
        <v>#REF!</v>
      </c>
      <c r="D1231" t="e">
        <f>#REF!</f>
        <v>#REF!</v>
      </c>
      <c r="E1231" t="e">
        <f>#REF!</f>
        <v>#REF!</v>
      </c>
      <c r="G1231" t="e">
        <f t="shared" si="96"/>
        <v>#REF!</v>
      </c>
      <c r="H1231" t="e">
        <f t="shared" si="97"/>
        <v>#REF!</v>
      </c>
      <c r="I1231" s="141" t="e">
        <f t="shared" si="98"/>
        <v>#REF!</v>
      </c>
      <c r="J1231" t="e">
        <f t="shared" si="99"/>
        <v>#REF!</v>
      </c>
      <c r="K1231" s="141" t="e">
        <f t="shared" si="100"/>
        <v>#REF!</v>
      </c>
    </row>
    <row r="1232" spans="1:11" hidden="1" x14ac:dyDescent="0.25">
      <c r="A1232" t="e">
        <f>#REF!</f>
        <v>#REF!</v>
      </c>
      <c r="B1232" t="e">
        <f>#REF!</f>
        <v>#REF!</v>
      </c>
      <c r="C1232" t="e">
        <f>#REF!</f>
        <v>#REF!</v>
      </c>
      <c r="D1232" t="e">
        <f>#REF!</f>
        <v>#REF!</v>
      </c>
      <c r="E1232" t="e">
        <f>#REF!</f>
        <v>#REF!</v>
      </c>
      <c r="G1232" t="e">
        <f t="shared" si="96"/>
        <v>#REF!</v>
      </c>
      <c r="H1232" t="e">
        <f t="shared" si="97"/>
        <v>#REF!</v>
      </c>
      <c r="I1232" s="141" t="e">
        <f t="shared" si="98"/>
        <v>#REF!</v>
      </c>
      <c r="J1232" t="e">
        <f t="shared" si="99"/>
        <v>#REF!</v>
      </c>
      <c r="K1232" s="141" t="e">
        <f t="shared" si="100"/>
        <v>#REF!</v>
      </c>
    </row>
    <row r="1233" spans="1:11" hidden="1" x14ac:dyDescent="0.25">
      <c r="A1233" t="e">
        <f>#REF!</f>
        <v>#REF!</v>
      </c>
      <c r="B1233" t="e">
        <f>#REF!</f>
        <v>#REF!</v>
      </c>
      <c r="C1233" t="e">
        <f>#REF!</f>
        <v>#REF!</v>
      </c>
      <c r="D1233" t="e">
        <f>#REF!</f>
        <v>#REF!</v>
      </c>
      <c r="E1233" t="e">
        <f>#REF!</f>
        <v>#REF!</v>
      </c>
      <c r="G1233" t="e">
        <f t="shared" si="96"/>
        <v>#REF!</v>
      </c>
      <c r="H1233" t="e">
        <f t="shared" si="97"/>
        <v>#REF!</v>
      </c>
      <c r="I1233" s="141" t="e">
        <f t="shared" si="98"/>
        <v>#REF!</v>
      </c>
      <c r="J1233" t="e">
        <f t="shared" si="99"/>
        <v>#REF!</v>
      </c>
      <c r="K1233" s="141" t="e">
        <f t="shared" si="100"/>
        <v>#REF!</v>
      </c>
    </row>
    <row r="1234" spans="1:11" hidden="1" x14ac:dyDescent="0.25">
      <c r="A1234" t="e">
        <f>#REF!</f>
        <v>#REF!</v>
      </c>
      <c r="B1234" t="e">
        <f>#REF!</f>
        <v>#REF!</v>
      </c>
      <c r="C1234" t="e">
        <f>#REF!</f>
        <v>#REF!</v>
      </c>
      <c r="D1234" t="e">
        <f>#REF!</f>
        <v>#REF!</v>
      </c>
      <c r="E1234" t="e">
        <f>#REF!</f>
        <v>#REF!</v>
      </c>
      <c r="G1234" t="e">
        <f t="shared" si="96"/>
        <v>#REF!</v>
      </c>
      <c r="H1234" t="e">
        <f t="shared" si="97"/>
        <v>#REF!</v>
      </c>
      <c r="I1234" s="141" t="e">
        <f t="shared" si="98"/>
        <v>#REF!</v>
      </c>
      <c r="J1234" t="e">
        <f t="shared" si="99"/>
        <v>#REF!</v>
      </c>
      <c r="K1234" s="141" t="e">
        <f t="shared" si="100"/>
        <v>#REF!</v>
      </c>
    </row>
    <row r="1235" spans="1:11" hidden="1" x14ac:dyDescent="0.25">
      <c r="A1235" t="e">
        <f>#REF!</f>
        <v>#REF!</v>
      </c>
      <c r="B1235" t="e">
        <f>#REF!</f>
        <v>#REF!</v>
      </c>
      <c r="C1235" t="e">
        <f>#REF!</f>
        <v>#REF!</v>
      </c>
      <c r="D1235" t="e">
        <f>#REF!</f>
        <v>#REF!</v>
      </c>
      <c r="E1235" t="e">
        <f>#REF!</f>
        <v>#REF!</v>
      </c>
      <c r="G1235" t="e">
        <f t="shared" si="96"/>
        <v>#REF!</v>
      </c>
      <c r="H1235" t="e">
        <f t="shared" si="97"/>
        <v>#REF!</v>
      </c>
      <c r="I1235" s="141" t="e">
        <f t="shared" si="98"/>
        <v>#REF!</v>
      </c>
      <c r="J1235" t="e">
        <f t="shared" si="99"/>
        <v>#REF!</v>
      </c>
      <c r="K1235" s="141" t="e">
        <f t="shared" si="100"/>
        <v>#REF!</v>
      </c>
    </row>
    <row r="1236" spans="1:11" hidden="1" x14ac:dyDescent="0.25">
      <c r="A1236" t="e">
        <f>#REF!</f>
        <v>#REF!</v>
      </c>
      <c r="B1236" t="e">
        <f>#REF!</f>
        <v>#REF!</v>
      </c>
      <c r="C1236" t="e">
        <f>#REF!</f>
        <v>#REF!</v>
      </c>
      <c r="D1236" t="e">
        <f>#REF!</f>
        <v>#REF!</v>
      </c>
      <c r="E1236" t="e">
        <f>#REF!</f>
        <v>#REF!</v>
      </c>
      <c r="G1236" t="e">
        <f t="shared" si="96"/>
        <v>#REF!</v>
      </c>
      <c r="H1236" t="e">
        <f t="shared" si="97"/>
        <v>#REF!</v>
      </c>
      <c r="I1236" s="141" t="e">
        <f t="shared" si="98"/>
        <v>#REF!</v>
      </c>
      <c r="J1236" t="e">
        <f t="shared" si="99"/>
        <v>#REF!</v>
      </c>
      <c r="K1236" s="141" t="e">
        <f t="shared" si="100"/>
        <v>#REF!</v>
      </c>
    </row>
    <row r="1237" spans="1:11" hidden="1" x14ac:dyDescent="0.25">
      <c r="A1237" t="e">
        <f>#REF!</f>
        <v>#REF!</v>
      </c>
      <c r="B1237" t="e">
        <f>#REF!</f>
        <v>#REF!</v>
      </c>
      <c r="C1237" t="e">
        <f>#REF!</f>
        <v>#REF!</v>
      </c>
      <c r="D1237" t="e">
        <f>#REF!</f>
        <v>#REF!</v>
      </c>
      <c r="E1237" t="e">
        <f>#REF!</f>
        <v>#REF!</v>
      </c>
      <c r="G1237" t="e">
        <f t="shared" si="96"/>
        <v>#REF!</v>
      </c>
      <c r="H1237" t="e">
        <f t="shared" si="97"/>
        <v>#REF!</v>
      </c>
      <c r="I1237" s="141" t="e">
        <f t="shared" si="98"/>
        <v>#REF!</v>
      </c>
      <c r="J1237" t="e">
        <f t="shared" si="99"/>
        <v>#REF!</v>
      </c>
      <c r="K1237" s="141" t="e">
        <f t="shared" si="100"/>
        <v>#REF!</v>
      </c>
    </row>
    <row r="1238" spans="1:11" hidden="1" x14ac:dyDescent="0.25">
      <c r="A1238" t="e">
        <f>#REF!</f>
        <v>#REF!</v>
      </c>
      <c r="B1238" t="e">
        <f>#REF!</f>
        <v>#REF!</v>
      </c>
      <c r="C1238" t="e">
        <f>#REF!</f>
        <v>#REF!</v>
      </c>
      <c r="D1238" t="e">
        <f>#REF!</f>
        <v>#REF!</v>
      </c>
      <c r="E1238" t="e">
        <f>#REF!</f>
        <v>#REF!</v>
      </c>
      <c r="G1238" t="e">
        <f t="shared" si="96"/>
        <v>#REF!</v>
      </c>
      <c r="H1238" t="e">
        <f t="shared" si="97"/>
        <v>#REF!</v>
      </c>
      <c r="I1238" s="141" t="e">
        <f t="shared" si="98"/>
        <v>#REF!</v>
      </c>
      <c r="J1238" t="e">
        <f t="shared" si="99"/>
        <v>#REF!</v>
      </c>
      <c r="K1238" s="141" t="e">
        <f t="shared" si="100"/>
        <v>#REF!</v>
      </c>
    </row>
    <row r="1239" spans="1:11" hidden="1" x14ac:dyDescent="0.25">
      <c r="A1239" t="e">
        <f>#REF!</f>
        <v>#REF!</v>
      </c>
      <c r="B1239" t="e">
        <f>#REF!</f>
        <v>#REF!</v>
      </c>
      <c r="C1239" t="e">
        <f>#REF!</f>
        <v>#REF!</v>
      </c>
      <c r="D1239" t="e">
        <f>#REF!</f>
        <v>#REF!</v>
      </c>
      <c r="E1239" t="e">
        <f>#REF!</f>
        <v>#REF!</v>
      </c>
      <c r="G1239" t="e">
        <f t="shared" si="96"/>
        <v>#REF!</v>
      </c>
      <c r="H1239" t="e">
        <f t="shared" si="97"/>
        <v>#REF!</v>
      </c>
      <c r="I1239" s="141" t="e">
        <f t="shared" si="98"/>
        <v>#REF!</v>
      </c>
      <c r="J1239" t="e">
        <f t="shared" si="99"/>
        <v>#REF!</v>
      </c>
      <c r="K1239" s="141" t="e">
        <f t="shared" si="100"/>
        <v>#REF!</v>
      </c>
    </row>
    <row r="1240" spans="1:11" hidden="1" x14ac:dyDescent="0.25">
      <c r="A1240" t="e">
        <f>#REF!</f>
        <v>#REF!</v>
      </c>
      <c r="B1240" t="e">
        <f>#REF!</f>
        <v>#REF!</v>
      </c>
      <c r="C1240" t="e">
        <f>#REF!</f>
        <v>#REF!</v>
      </c>
      <c r="D1240" t="e">
        <f>#REF!</f>
        <v>#REF!</v>
      </c>
      <c r="E1240" t="e">
        <f>#REF!</f>
        <v>#REF!</v>
      </c>
      <c r="G1240" t="e">
        <f t="shared" si="96"/>
        <v>#REF!</v>
      </c>
      <c r="H1240" t="e">
        <f t="shared" si="97"/>
        <v>#REF!</v>
      </c>
      <c r="I1240" s="141" t="e">
        <f t="shared" si="98"/>
        <v>#REF!</v>
      </c>
      <c r="J1240" t="e">
        <f t="shared" si="99"/>
        <v>#REF!</v>
      </c>
      <c r="K1240" s="141" t="e">
        <f t="shared" si="100"/>
        <v>#REF!</v>
      </c>
    </row>
    <row r="1241" spans="1:11" hidden="1" x14ac:dyDescent="0.25">
      <c r="A1241" t="e">
        <f>#REF!</f>
        <v>#REF!</v>
      </c>
      <c r="B1241" t="e">
        <f>#REF!</f>
        <v>#REF!</v>
      </c>
      <c r="C1241" t="e">
        <f>#REF!</f>
        <v>#REF!</v>
      </c>
      <c r="D1241" t="e">
        <f>#REF!</f>
        <v>#REF!</v>
      </c>
      <c r="E1241" t="e">
        <f>#REF!</f>
        <v>#REF!</v>
      </c>
      <c r="G1241" t="e">
        <f t="shared" si="96"/>
        <v>#REF!</v>
      </c>
      <c r="H1241" t="e">
        <f t="shared" si="97"/>
        <v>#REF!</v>
      </c>
      <c r="I1241" s="141" t="e">
        <f t="shared" si="98"/>
        <v>#REF!</v>
      </c>
      <c r="J1241" t="e">
        <f t="shared" si="99"/>
        <v>#REF!</v>
      </c>
      <c r="K1241" s="141" t="e">
        <f t="shared" si="100"/>
        <v>#REF!</v>
      </c>
    </row>
    <row r="1242" spans="1:11" hidden="1" x14ac:dyDescent="0.25">
      <c r="A1242" t="e">
        <f>#REF!</f>
        <v>#REF!</v>
      </c>
      <c r="B1242" t="e">
        <f>#REF!</f>
        <v>#REF!</v>
      </c>
      <c r="C1242" t="e">
        <f>#REF!</f>
        <v>#REF!</v>
      </c>
      <c r="D1242" t="e">
        <f>#REF!</f>
        <v>#REF!</v>
      </c>
      <c r="E1242" t="e">
        <f>#REF!</f>
        <v>#REF!</v>
      </c>
      <c r="G1242" t="e">
        <f t="shared" si="96"/>
        <v>#REF!</v>
      </c>
      <c r="H1242" t="e">
        <f t="shared" si="97"/>
        <v>#REF!</v>
      </c>
      <c r="I1242" s="141" t="e">
        <f t="shared" si="98"/>
        <v>#REF!</v>
      </c>
      <c r="J1242" t="e">
        <f t="shared" si="99"/>
        <v>#REF!</v>
      </c>
      <c r="K1242" s="141" t="e">
        <f t="shared" si="100"/>
        <v>#REF!</v>
      </c>
    </row>
    <row r="1243" spans="1:11" hidden="1" x14ac:dyDescent="0.25">
      <c r="A1243" t="e">
        <f>#REF!</f>
        <v>#REF!</v>
      </c>
      <c r="B1243" t="e">
        <f>#REF!</f>
        <v>#REF!</v>
      </c>
      <c r="C1243" t="e">
        <f>#REF!</f>
        <v>#REF!</v>
      </c>
      <c r="D1243" t="e">
        <f>#REF!</f>
        <v>#REF!</v>
      </c>
      <c r="E1243" t="e">
        <f>#REF!</f>
        <v>#REF!</v>
      </c>
      <c r="G1243" t="e">
        <f t="shared" si="96"/>
        <v>#REF!</v>
      </c>
      <c r="H1243" t="e">
        <f t="shared" si="97"/>
        <v>#REF!</v>
      </c>
      <c r="I1243" s="141" t="e">
        <f t="shared" si="98"/>
        <v>#REF!</v>
      </c>
      <c r="J1243" t="e">
        <f t="shared" si="99"/>
        <v>#REF!</v>
      </c>
      <c r="K1243" s="141" t="e">
        <f t="shared" si="100"/>
        <v>#REF!</v>
      </c>
    </row>
    <row r="1244" spans="1:11" hidden="1" x14ac:dyDescent="0.25">
      <c r="A1244" t="e">
        <f>#REF!</f>
        <v>#REF!</v>
      </c>
      <c r="B1244" t="e">
        <f>#REF!</f>
        <v>#REF!</v>
      </c>
      <c r="C1244" t="e">
        <f>#REF!</f>
        <v>#REF!</v>
      </c>
      <c r="D1244" t="e">
        <f>#REF!</f>
        <v>#REF!</v>
      </c>
      <c r="E1244" t="e">
        <f>#REF!</f>
        <v>#REF!</v>
      </c>
      <c r="G1244" t="e">
        <f t="shared" si="96"/>
        <v>#REF!</v>
      </c>
      <c r="H1244" t="e">
        <f t="shared" si="97"/>
        <v>#REF!</v>
      </c>
      <c r="I1244" s="141" t="e">
        <f t="shared" si="98"/>
        <v>#REF!</v>
      </c>
      <c r="J1244" t="e">
        <f t="shared" si="99"/>
        <v>#REF!</v>
      </c>
      <c r="K1244" s="141" t="e">
        <f t="shared" si="100"/>
        <v>#REF!</v>
      </c>
    </row>
    <row r="1245" spans="1:11" hidden="1" x14ac:dyDescent="0.25">
      <c r="A1245" t="e">
        <f>#REF!</f>
        <v>#REF!</v>
      </c>
      <c r="B1245" t="e">
        <f>#REF!</f>
        <v>#REF!</v>
      </c>
      <c r="C1245" t="e">
        <f>#REF!</f>
        <v>#REF!</v>
      </c>
      <c r="D1245" t="e">
        <f>#REF!</f>
        <v>#REF!</v>
      </c>
      <c r="E1245" t="e">
        <f>#REF!</f>
        <v>#REF!</v>
      </c>
      <c r="G1245" t="e">
        <f t="shared" si="96"/>
        <v>#REF!</v>
      </c>
      <c r="H1245" t="e">
        <f t="shared" si="97"/>
        <v>#REF!</v>
      </c>
      <c r="I1245" s="141" t="e">
        <f t="shared" si="98"/>
        <v>#REF!</v>
      </c>
      <c r="J1245" t="e">
        <f t="shared" si="99"/>
        <v>#REF!</v>
      </c>
      <c r="K1245" s="141" t="e">
        <f t="shared" si="100"/>
        <v>#REF!</v>
      </c>
    </row>
    <row r="1246" spans="1:11" hidden="1" x14ac:dyDescent="0.25">
      <c r="A1246" t="e">
        <f>#REF!</f>
        <v>#REF!</v>
      </c>
      <c r="B1246" t="e">
        <f>#REF!</f>
        <v>#REF!</v>
      </c>
      <c r="C1246" t="e">
        <f>#REF!</f>
        <v>#REF!</v>
      </c>
      <c r="D1246" t="e">
        <f>#REF!</f>
        <v>#REF!</v>
      </c>
      <c r="E1246" t="e">
        <f>#REF!</f>
        <v>#REF!</v>
      </c>
      <c r="G1246" t="e">
        <f t="shared" si="96"/>
        <v>#REF!</v>
      </c>
      <c r="H1246" t="e">
        <f t="shared" si="97"/>
        <v>#REF!</v>
      </c>
      <c r="I1246" s="141" t="e">
        <f t="shared" si="98"/>
        <v>#REF!</v>
      </c>
      <c r="J1246" t="e">
        <f t="shared" si="99"/>
        <v>#REF!</v>
      </c>
      <c r="K1246" s="141" t="e">
        <f t="shared" si="100"/>
        <v>#REF!</v>
      </c>
    </row>
    <row r="1247" spans="1:11" hidden="1" x14ac:dyDescent="0.25">
      <c r="A1247" t="e">
        <f>#REF!</f>
        <v>#REF!</v>
      </c>
      <c r="B1247" t="e">
        <f>#REF!</f>
        <v>#REF!</v>
      </c>
      <c r="C1247" t="e">
        <f>#REF!</f>
        <v>#REF!</v>
      </c>
      <c r="D1247" t="e">
        <f>#REF!</f>
        <v>#REF!</v>
      </c>
      <c r="E1247" t="e">
        <f>#REF!</f>
        <v>#REF!</v>
      </c>
      <c r="G1247" t="e">
        <f t="shared" si="96"/>
        <v>#REF!</v>
      </c>
      <c r="H1247" t="e">
        <f t="shared" si="97"/>
        <v>#REF!</v>
      </c>
      <c r="I1247" s="141" t="e">
        <f t="shared" si="98"/>
        <v>#REF!</v>
      </c>
      <c r="J1247" t="e">
        <f t="shared" si="99"/>
        <v>#REF!</v>
      </c>
      <c r="K1247" s="141" t="e">
        <f t="shared" si="100"/>
        <v>#REF!</v>
      </c>
    </row>
    <row r="1248" spans="1:11" hidden="1" x14ac:dyDescent="0.25">
      <c r="A1248" t="e">
        <f>#REF!</f>
        <v>#REF!</v>
      </c>
      <c r="B1248" t="e">
        <f>#REF!</f>
        <v>#REF!</v>
      </c>
      <c r="C1248" t="e">
        <f>#REF!</f>
        <v>#REF!</v>
      </c>
      <c r="D1248" t="e">
        <f>#REF!</f>
        <v>#REF!</v>
      </c>
      <c r="E1248" t="e">
        <f>#REF!</f>
        <v>#REF!</v>
      </c>
      <c r="G1248" t="e">
        <f t="shared" si="96"/>
        <v>#REF!</v>
      </c>
      <c r="H1248" t="e">
        <f t="shared" si="97"/>
        <v>#REF!</v>
      </c>
      <c r="I1248" s="141" t="e">
        <f t="shared" si="98"/>
        <v>#REF!</v>
      </c>
      <c r="J1248" t="e">
        <f t="shared" si="99"/>
        <v>#REF!</v>
      </c>
      <c r="K1248" s="141" t="e">
        <f t="shared" si="100"/>
        <v>#REF!</v>
      </c>
    </row>
    <row r="1249" spans="1:11" hidden="1" x14ac:dyDescent="0.25">
      <c r="A1249" t="e">
        <f>#REF!</f>
        <v>#REF!</v>
      </c>
      <c r="B1249" t="e">
        <f>#REF!</f>
        <v>#REF!</v>
      </c>
      <c r="C1249" t="e">
        <f>#REF!</f>
        <v>#REF!</v>
      </c>
      <c r="D1249" t="e">
        <f>#REF!</f>
        <v>#REF!</v>
      </c>
      <c r="E1249" t="e">
        <f>#REF!</f>
        <v>#REF!</v>
      </c>
      <c r="G1249" t="e">
        <f t="shared" si="96"/>
        <v>#REF!</v>
      </c>
      <c r="H1249" t="e">
        <f t="shared" si="97"/>
        <v>#REF!</v>
      </c>
      <c r="I1249" s="141" t="e">
        <f t="shared" si="98"/>
        <v>#REF!</v>
      </c>
      <c r="J1249" t="e">
        <f t="shared" si="99"/>
        <v>#REF!</v>
      </c>
      <c r="K1249" s="141" t="e">
        <f t="shared" si="100"/>
        <v>#REF!</v>
      </c>
    </row>
    <row r="1250" spans="1:11" hidden="1" x14ac:dyDescent="0.25">
      <c r="A1250" t="e">
        <f>#REF!</f>
        <v>#REF!</v>
      </c>
      <c r="B1250" t="e">
        <f>#REF!</f>
        <v>#REF!</v>
      </c>
      <c r="C1250" t="e">
        <f>#REF!</f>
        <v>#REF!</v>
      </c>
      <c r="D1250" t="e">
        <f>#REF!</f>
        <v>#REF!</v>
      </c>
      <c r="E1250" t="e">
        <f>#REF!</f>
        <v>#REF!</v>
      </c>
      <c r="G1250" t="e">
        <f t="shared" si="96"/>
        <v>#REF!</v>
      </c>
      <c r="H1250" t="e">
        <f t="shared" si="97"/>
        <v>#REF!</v>
      </c>
      <c r="I1250" s="141" t="e">
        <f t="shared" si="98"/>
        <v>#REF!</v>
      </c>
      <c r="J1250" t="e">
        <f t="shared" si="99"/>
        <v>#REF!</v>
      </c>
      <c r="K1250" s="141" t="e">
        <f t="shared" si="100"/>
        <v>#REF!</v>
      </c>
    </row>
    <row r="1251" spans="1:11" hidden="1" x14ac:dyDescent="0.25">
      <c r="A1251" t="e">
        <f>#REF!</f>
        <v>#REF!</v>
      </c>
      <c r="B1251" t="e">
        <f>#REF!</f>
        <v>#REF!</v>
      </c>
      <c r="C1251" t="e">
        <f>#REF!</f>
        <v>#REF!</v>
      </c>
      <c r="D1251" t="e">
        <f>#REF!</f>
        <v>#REF!</v>
      </c>
      <c r="E1251" t="e">
        <f>#REF!</f>
        <v>#REF!</v>
      </c>
      <c r="G1251" t="e">
        <f t="shared" si="96"/>
        <v>#REF!</v>
      </c>
      <c r="H1251" t="e">
        <f t="shared" si="97"/>
        <v>#REF!</v>
      </c>
      <c r="I1251" s="141" t="e">
        <f t="shared" si="98"/>
        <v>#REF!</v>
      </c>
      <c r="J1251" t="e">
        <f t="shared" si="99"/>
        <v>#REF!</v>
      </c>
      <c r="K1251" s="141" t="e">
        <f t="shared" si="100"/>
        <v>#REF!</v>
      </c>
    </row>
    <row r="1252" spans="1:11" hidden="1" x14ac:dyDescent="0.25">
      <c r="A1252" t="e">
        <f>#REF!</f>
        <v>#REF!</v>
      </c>
      <c r="B1252" t="e">
        <f>#REF!</f>
        <v>#REF!</v>
      </c>
      <c r="C1252" t="e">
        <f>#REF!</f>
        <v>#REF!</v>
      </c>
      <c r="D1252" t="e">
        <f>#REF!</f>
        <v>#REF!</v>
      </c>
      <c r="E1252" t="e">
        <f>#REF!</f>
        <v>#REF!</v>
      </c>
      <c r="G1252" t="e">
        <f t="shared" si="96"/>
        <v>#REF!</v>
      </c>
      <c r="H1252" t="e">
        <f t="shared" si="97"/>
        <v>#REF!</v>
      </c>
      <c r="I1252" s="141" t="e">
        <f t="shared" si="98"/>
        <v>#REF!</v>
      </c>
      <c r="J1252" t="e">
        <f t="shared" si="99"/>
        <v>#REF!</v>
      </c>
      <c r="K1252" s="141" t="e">
        <f t="shared" si="100"/>
        <v>#REF!</v>
      </c>
    </row>
    <row r="1253" spans="1:11" hidden="1" x14ac:dyDescent="0.25">
      <c r="A1253" t="e">
        <f>#REF!</f>
        <v>#REF!</v>
      </c>
      <c r="B1253" t="e">
        <f>#REF!</f>
        <v>#REF!</v>
      </c>
      <c r="C1253" t="e">
        <f>#REF!</f>
        <v>#REF!</v>
      </c>
      <c r="D1253" t="e">
        <f>#REF!</f>
        <v>#REF!</v>
      </c>
      <c r="E1253" t="e">
        <f>#REF!</f>
        <v>#REF!</v>
      </c>
      <c r="G1253" t="e">
        <f t="shared" si="96"/>
        <v>#REF!</v>
      </c>
      <c r="H1253" t="e">
        <f t="shared" si="97"/>
        <v>#REF!</v>
      </c>
      <c r="I1253" s="141" t="e">
        <f t="shared" si="98"/>
        <v>#REF!</v>
      </c>
      <c r="J1253" t="e">
        <f t="shared" si="99"/>
        <v>#REF!</v>
      </c>
      <c r="K1253" s="141" t="e">
        <f t="shared" si="100"/>
        <v>#REF!</v>
      </c>
    </row>
    <row r="1254" spans="1:11" hidden="1" x14ac:dyDescent="0.25">
      <c r="A1254" t="e">
        <f>#REF!</f>
        <v>#REF!</v>
      </c>
      <c r="B1254" t="e">
        <f>#REF!</f>
        <v>#REF!</v>
      </c>
      <c r="C1254" t="e">
        <f>#REF!</f>
        <v>#REF!</v>
      </c>
      <c r="D1254" t="e">
        <f>#REF!</f>
        <v>#REF!</v>
      </c>
      <c r="E1254" t="e">
        <f>#REF!</f>
        <v>#REF!</v>
      </c>
      <c r="G1254" t="e">
        <f t="shared" si="96"/>
        <v>#REF!</v>
      </c>
      <c r="H1254" t="e">
        <f t="shared" si="97"/>
        <v>#REF!</v>
      </c>
      <c r="I1254" s="141" t="e">
        <f t="shared" si="98"/>
        <v>#REF!</v>
      </c>
      <c r="J1254" t="e">
        <f t="shared" si="99"/>
        <v>#REF!</v>
      </c>
      <c r="K1254" s="141" t="e">
        <f t="shared" si="100"/>
        <v>#REF!</v>
      </c>
    </row>
    <row r="1255" spans="1:11" hidden="1" x14ac:dyDescent="0.25">
      <c r="A1255" t="e">
        <f>#REF!</f>
        <v>#REF!</v>
      </c>
      <c r="B1255" t="e">
        <f>#REF!</f>
        <v>#REF!</v>
      </c>
      <c r="C1255" t="e">
        <f>#REF!</f>
        <v>#REF!</v>
      </c>
      <c r="D1255" t="e">
        <f>#REF!</f>
        <v>#REF!</v>
      </c>
      <c r="E1255" t="e">
        <f>#REF!</f>
        <v>#REF!</v>
      </c>
      <c r="G1255" t="e">
        <f t="shared" si="96"/>
        <v>#REF!</v>
      </c>
      <c r="H1255" t="e">
        <f t="shared" si="97"/>
        <v>#REF!</v>
      </c>
      <c r="I1255" s="141" t="e">
        <f t="shared" si="98"/>
        <v>#REF!</v>
      </c>
      <c r="J1255" t="e">
        <f t="shared" si="99"/>
        <v>#REF!</v>
      </c>
      <c r="K1255" s="141" t="e">
        <f t="shared" si="100"/>
        <v>#REF!</v>
      </c>
    </row>
    <row r="1256" spans="1:11" hidden="1" x14ac:dyDescent="0.25">
      <c r="A1256" t="e">
        <f>#REF!</f>
        <v>#REF!</v>
      </c>
      <c r="B1256" t="e">
        <f>#REF!</f>
        <v>#REF!</v>
      </c>
      <c r="C1256" t="e">
        <f>#REF!</f>
        <v>#REF!</v>
      </c>
      <c r="D1256" t="e">
        <f>#REF!</f>
        <v>#REF!</v>
      </c>
      <c r="E1256" t="e">
        <f>#REF!</f>
        <v>#REF!</v>
      </c>
      <c r="G1256" t="e">
        <f t="shared" si="96"/>
        <v>#REF!</v>
      </c>
      <c r="H1256" t="e">
        <f t="shared" si="97"/>
        <v>#REF!</v>
      </c>
      <c r="I1256" s="141" t="e">
        <f t="shared" si="98"/>
        <v>#REF!</v>
      </c>
      <c r="J1256" t="e">
        <f t="shared" si="99"/>
        <v>#REF!</v>
      </c>
      <c r="K1256" s="141" t="e">
        <f t="shared" si="100"/>
        <v>#REF!</v>
      </c>
    </row>
    <row r="1257" spans="1:11" hidden="1" x14ac:dyDescent="0.25">
      <c r="A1257" t="e">
        <f>#REF!</f>
        <v>#REF!</v>
      </c>
      <c r="B1257" t="e">
        <f>#REF!</f>
        <v>#REF!</v>
      </c>
      <c r="C1257" t="e">
        <f>#REF!</f>
        <v>#REF!</v>
      </c>
      <c r="D1257" t="e">
        <f>#REF!</f>
        <v>#REF!</v>
      </c>
      <c r="E1257" t="e">
        <f>#REF!</f>
        <v>#REF!</v>
      </c>
      <c r="G1257" t="e">
        <f t="shared" si="96"/>
        <v>#REF!</v>
      </c>
      <c r="H1257" t="e">
        <f t="shared" si="97"/>
        <v>#REF!</v>
      </c>
      <c r="I1257" s="141" t="e">
        <f t="shared" si="98"/>
        <v>#REF!</v>
      </c>
      <c r="J1257" t="e">
        <f t="shared" si="99"/>
        <v>#REF!</v>
      </c>
      <c r="K1257" s="141" t="e">
        <f t="shared" si="100"/>
        <v>#REF!</v>
      </c>
    </row>
    <row r="1258" spans="1:11" hidden="1" x14ac:dyDescent="0.25">
      <c r="A1258" t="e">
        <f>#REF!</f>
        <v>#REF!</v>
      </c>
      <c r="B1258" t="e">
        <f>#REF!</f>
        <v>#REF!</v>
      </c>
      <c r="C1258" t="e">
        <f>#REF!</f>
        <v>#REF!</v>
      </c>
      <c r="D1258" t="e">
        <f>#REF!</f>
        <v>#REF!</v>
      </c>
      <c r="E1258" t="e">
        <f>#REF!</f>
        <v>#REF!</v>
      </c>
      <c r="G1258" t="e">
        <f t="shared" si="96"/>
        <v>#REF!</v>
      </c>
      <c r="H1258" t="e">
        <f t="shared" si="97"/>
        <v>#REF!</v>
      </c>
      <c r="I1258" s="141" t="e">
        <f t="shared" si="98"/>
        <v>#REF!</v>
      </c>
      <c r="J1258" t="e">
        <f t="shared" si="99"/>
        <v>#REF!</v>
      </c>
      <c r="K1258" s="141" t="e">
        <f t="shared" si="100"/>
        <v>#REF!</v>
      </c>
    </row>
    <row r="1259" spans="1:11" hidden="1" x14ac:dyDescent="0.25">
      <c r="A1259" t="e">
        <f>#REF!</f>
        <v>#REF!</v>
      </c>
      <c r="B1259" t="e">
        <f>#REF!</f>
        <v>#REF!</v>
      </c>
      <c r="C1259" t="e">
        <f>#REF!</f>
        <v>#REF!</v>
      </c>
      <c r="D1259" t="e">
        <f>#REF!</f>
        <v>#REF!</v>
      </c>
      <c r="E1259" t="e">
        <f>#REF!</f>
        <v>#REF!</v>
      </c>
      <c r="G1259" t="e">
        <f t="shared" si="96"/>
        <v>#REF!</v>
      </c>
      <c r="H1259" t="e">
        <f t="shared" si="97"/>
        <v>#REF!</v>
      </c>
      <c r="I1259" s="141" t="e">
        <f t="shared" si="98"/>
        <v>#REF!</v>
      </c>
      <c r="J1259" t="e">
        <f t="shared" si="99"/>
        <v>#REF!</v>
      </c>
      <c r="K1259" s="141" t="e">
        <f t="shared" si="100"/>
        <v>#REF!</v>
      </c>
    </row>
    <row r="1260" spans="1:11" hidden="1" x14ac:dyDescent="0.25">
      <c r="A1260" t="e">
        <f>#REF!</f>
        <v>#REF!</v>
      </c>
      <c r="B1260" t="e">
        <f>#REF!</f>
        <v>#REF!</v>
      </c>
      <c r="C1260" t="e">
        <f>#REF!</f>
        <v>#REF!</v>
      </c>
      <c r="D1260" t="e">
        <f>#REF!</f>
        <v>#REF!</v>
      </c>
      <c r="E1260" t="e">
        <f>#REF!</f>
        <v>#REF!</v>
      </c>
      <c r="G1260" t="e">
        <f t="shared" si="96"/>
        <v>#REF!</v>
      </c>
      <c r="H1260" t="e">
        <f t="shared" si="97"/>
        <v>#REF!</v>
      </c>
      <c r="I1260" s="141" t="e">
        <f t="shared" si="98"/>
        <v>#REF!</v>
      </c>
      <c r="J1260" t="e">
        <f t="shared" si="99"/>
        <v>#REF!</v>
      </c>
      <c r="K1260" s="141" t="e">
        <f t="shared" si="100"/>
        <v>#REF!</v>
      </c>
    </row>
    <row r="1261" spans="1:11" hidden="1" x14ac:dyDescent="0.25">
      <c r="A1261" t="e">
        <f>#REF!</f>
        <v>#REF!</v>
      </c>
      <c r="B1261" t="e">
        <f>#REF!</f>
        <v>#REF!</v>
      </c>
      <c r="C1261" t="e">
        <f>#REF!</f>
        <v>#REF!</v>
      </c>
      <c r="D1261" t="e">
        <f>#REF!</f>
        <v>#REF!</v>
      </c>
      <c r="E1261" t="e">
        <f>#REF!</f>
        <v>#REF!</v>
      </c>
      <c r="G1261" t="e">
        <f t="shared" si="96"/>
        <v>#REF!</v>
      </c>
      <c r="H1261" t="e">
        <f t="shared" si="97"/>
        <v>#REF!</v>
      </c>
      <c r="I1261" s="141" t="e">
        <f t="shared" si="98"/>
        <v>#REF!</v>
      </c>
      <c r="J1261" t="e">
        <f t="shared" si="99"/>
        <v>#REF!</v>
      </c>
      <c r="K1261" s="141" t="e">
        <f t="shared" si="100"/>
        <v>#REF!</v>
      </c>
    </row>
    <row r="1262" spans="1:11" hidden="1" x14ac:dyDescent="0.25">
      <c r="A1262" t="e">
        <f>#REF!</f>
        <v>#REF!</v>
      </c>
      <c r="B1262" t="e">
        <f>#REF!</f>
        <v>#REF!</v>
      </c>
      <c r="C1262" t="e">
        <f>#REF!</f>
        <v>#REF!</v>
      </c>
      <c r="D1262" t="e">
        <f>#REF!</f>
        <v>#REF!</v>
      </c>
      <c r="E1262" t="e">
        <f>#REF!</f>
        <v>#REF!</v>
      </c>
      <c r="G1262" t="e">
        <f t="shared" si="96"/>
        <v>#REF!</v>
      </c>
      <c r="H1262" t="e">
        <f t="shared" si="97"/>
        <v>#REF!</v>
      </c>
      <c r="I1262" s="141" t="e">
        <f t="shared" si="98"/>
        <v>#REF!</v>
      </c>
      <c r="J1262" t="e">
        <f t="shared" si="99"/>
        <v>#REF!</v>
      </c>
      <c r="K1262" s="141" t="e">
        <f t="shared" si="100"/>
        <v>#REF!</v>
      </c>
    </row>
    <row r="1263" spans="1:11" hidden="1" x14ac:dyDescent="0.25">
      <c r="A1263" t="e">
        <f>#REF!</f>
        <v>#REF!</v>
      </c>
      <c r="B1263" t="e">
        <f>#REF!</f>
        <v>#REF!</v>
      </c>
      <c r="C1263" t="e">
        <f>#REF!</f>
        <v>#REF!</v>
      </c>
      <c r="D1263" t="e">
        <f>#REF!</f>
        <v>#REF!</v>
      </c>
      <c r="E1263" t="e">
        <f>#REF!</f>
        <v>#REF!</v>
      </c>
      <c r="G1263" t="e">
        <f t="shared" si="96"/>
        <v>#REF!</v>
      </c>
      <c r="H1263" t="e">
        <f t="shared" si="97"/>
        <v>#REF!</v>
      </c>
      <c r="I1263" s="141" t="e">
        <f t="shared" si="98"/>
        <v>#REF!</v>
      </c>
      <c r="J1263" t="e">
        <f t="shared" si="99"/>
        <v>#REF!</v>
      </c>
      <c r="K1263" s="141" t="e">
        <f t="shared" si="100"/>
        <v>#REF!</v>
      </c>
    </row>
    <row r="1264" spans="1:11" hidden="1" x14ac:dyDescent="0.25">
      <c r="A1264" t="e">
        <f>#REF!</f>
        <v>#REF!</v>
      </c>
      <c r="B1264" t="e">
        <f>#REF!</f>
        <v>#REF!</v>
      </c>
      <c r="C1264" t="e">
        <f>#REF!</f>
        <v>#REF!</v>
      </c>
      <c r="D1264" t="e">
        <f>#REF!</f>
        <v>#REF!</v>
      </c>
      <c r="E1264" t="e">
        <f>#REF!</f>
        <v>#REF!</v>
      </c>
      <c r="G1264" t="e">
        <f t="shared" si="96"/>
        <v>#REF!</v>
      </c>
      <c r="H1264" t="e">
        <f t="shared" si="97"/>
        <v>#REF!</v>
      </c>
      <c r="I1264" s="141" t="e">
        <f t="shared" si="98"/>
        <v>#REF!</v>
      </c>
      <c r="J1264" t="e">
        <f t="shared" si="99"/>
        <v>#REF!</v>
      </c>
      <c r="K1264" s="141" t="e">
        <f t="shared" si="100"/>
        <v>#REF!</v>
      </c>
    </row>
    <row r="1265" spans="1:11" hidden="1" x14ac:dyDescent="0.25">
      <c r="A1265" t="e">
        <f>#REF!</f>
        <v>#REF!</v>
      </c>
      <c r="B1265" t="e">
        <f>#REF!</f>
        <v>#REF!</v>
      </c>
      <c r="C1265" t="e">
        <f>#REF!</f>
        <v>#REF!</v>
      </c>
      <c r="D1265" t="e">
        <f>#REF!</f>
        <v>#REF!</v>
      </c>
      <c r="E1265" t="e">
        <f>#REF!</f>
        <v>#REF!</v>
      </c>
      <c r="G1265" t="e">
        <f t="shared" si="96"/>
        <v>#REF!</v>
      </c>
      <c r="H1265" t="e">
        <f t="shared" si="97"/>
        <v>#REF!</v>
      </c>
      <c r="I1265" s="141" t="e">
        <f t="shared" si="98"/>
        <v>#REF!</v>
      </c>
      <c r="J1265" t="e">
        <f t="shared" si="99"/>
        <v>#REF!</v>
      </c>
      <c r="K1265" s="141" t="e">
        <f t="shared" si="100"/>
        <v>#REF!</v>
      </c>
    </row>
    <row r="1266" spans="1:11" hidden="1" x14ac:dyDescent="0.25">
      <c r="A1266" t="e">
        <f>#REF!</f>
        <v>#REF!</v>
      </c>
      <c r="B1266" t="e">
        <f>#REF!</f>
        <v>#REF!</v>
      </c>
      <c r="C1266" t="e">
        <f>#REF!</f>
        <v>#REF!</v>
      </c>
      <c r="D1266" t="e">
        <f>#REF!</f>
        <v>#REF!</v>
      </c>
      <c r="E1266" t="e">
        <f>#REF!</f>
        <v>#REF!</v>
      </c>
      <c r="G1266" t="e">
        <f t="shared" si="96"/>
        <v>#REF!</v>
      </c>
      <c r="H1266" t="e">
        <f t="shared" si="97"/>
        <v>#REF!</v>
      </c>
      <c r="I1266" s="141" t="e">
        <f t="shared" si="98"/>
        <v>#REF!</v>
      </c>
      <c r="J1266" t="e">
        <f t="shared" si="99"/>
        <v>#REF!</v>
      </c>
      <c r="K1266" s="141" t="e">
        <f t="shared" si="100"/>
        <v>#REF!</v>
      </c>
    </row>
    <row r="1267" spans="1:11" hidden="1" x14ac:dyDescent="0.25">
      <c r="A1267" t="e">
        <f>#REF!</f>
        <v>#REF!</v>
      </c>
      <c r="B1267" t="e">
        <f>#REF!</f>
        <v>#REF!</v>
      </c>
      <c r="C1267" t="e">
        <f>#REF!</f>
        <v>#REF!</v>
      </c>
      <c r="D1267" t="e">
        <f>#REF!</f>
        <v>#REF!</v>
      </c>
      <c r="E1267" t="e">
        <f>#REF!</f>
        <v>#REF!</v>
      </c>
      <c r="G1267" t="e">
        <f t="shared" si="96"/>
        <v>#REF!</v>
      </c>
      <c r="H1267" t="e">
        <f t="shared" si="97"/>
        <v>#REF!</v>
      </c>
      <c r="I1267" s="141" t="e">
        <f t="shared" si="98"/>
        <v>#REF!</v>
      </c>
      <c r="J1267" t="e">
        <f t="shared" si="99"/>
        <v>#REF!</v>
      </c>
      <c r="K1267" s="141" t="e">
        <f t="shared" si="100"/>
        <v>#REF!</v>
      </c>
    </row>
    <row r="1268" spans="1:11" hidden="1" x14ac:dyDescent="0.25">
      <c r="A1268" t="e">
        <f>#REF!</f>
        <v>#REF!</v>
      </c>
      <c r="B1268" t="e">
        <f>#REF!</f>
        <v>#REF!</v>
      </c>
      <c r="C1268" t="e">
        <f>#REF!</f>
        <v>#REF!</v>
      </c>
      <c r="D1268" t="e">
        <f>#REF!</f>
        <v>#REF!</v>
      </c>
      <c r="E1268" t="e">
        <f>#REF!</f>
        <v>#REF!</v>
      </c>
      <c r="G1268" t="e">
        <f t="shared" si="96"/>
        <v>#REF!</v>
      </c>
      <c r="H1268" t="e">
        <f t="shared" si="97"/>
        <v>#REF!</v>
      </c>
      <c r="I1268" s="141" t="e">
        <f t="shared" si="98"/>
        <v>#REF!</v>
      </c>
      <c r="J1268" t="e">
        <f t="shared" si="99"/>
        <v>#REF!</v>
      </c>
      <c r="K1268" s="141" t="e">
        <f t="shared" si="100"/>
        <v>#REF!</v>
      </c>
    </row>
    <row r="1269" spans="1:11" hidden="1" x14ac:dyDescent="0.25">
      <c r="A1269" t="e">
        <f>#REF!</f>
        <v>#REF!</v>
      </c>
      <c r="B1269" t="e">
        <f>#REF!</f>
        <v>#REF!</v>
      </c>
      <c r="C1269" t="e">
        <f>#REF!</f>
        <v>#REF!</v>
      </c>
      <c r="D1269" t="e">
        <f>#REF!</f>
        <v>#REF!</v>
      </c>
      <c r="E1269" t="e">
        <f>#REF!</f>
        <v>#REF!</v>
      </c>
      <c r="G1269" t="e">
        <f t="shared" si="96"/>
        <v>#REF!</v>
      </c>
      <c r="H1269" t="e">
        <f t="shared" si="97"/>
        <v>#REF!</v>
      </c>
      <c r="I1269" s="141" t="e">
        <f t="shared" si="98"/>
        <v>#REF!</v>
      </c>
      <c r="J1269" t="e">
        <f t="shared" si="99"/>
        <v>#REF!</v>
      </c>
      <c r="K1269" s="141" t="e">
        <f t="shared" si="100"/>
        <v>#REF!</v>
      </c>
    </row>
    <row r="1270" spans="1:11" hidden="1" x14ac:dyDescent="0.25">
      <c r="A1270" t="e">
        <f>#REF!</f>
        <v>#REF!</v>
      </c>
      <c r="B1270" t="e">
        <f>#REF!</f>
        <v>#REF!</v>
      </c>
      <c r="C1270" t="e">
        <f>#REF!</f>
        <v>#REF!</v>
      </c>
      <c r="D1270" t="e">
        <f>#REF!</f>
        <v>#REF!</v>
      </c>
      <c r="E1270" t="e">
        <f>#REF!</f>
        <v>#REF!</v>
      </c>
      <c r="G1270" t="e">
        <f t="shared" si="96"/>
        <v>#REF!</v>
      </c>
      <c r="H1270" t="e">
        <f t="shared" si="97"/>
        <v>#REF!</v>
      </c>
      <c r="I1270" s="141" t="e">
        <f t="shared" si="98"/>
        <v>#REF!</v>
      </c>
      <c r="J1270" t="e">
        <f t="shared" si="99"/>
        <v>#REF!</v>
      </c>
      <c r="K1270" s="141" t="e">
        <f t="shared" si="100"/>
        <v>#REF!</v>
      </c>
    </row>
    <row r="1271" spans="1:11" hidden="1" x14ac:dyDescent="0.25">
      <c r="A1271" t="e">
        <f>#REF!</f>
        <v>#REF!</v>
      </c>
      <c r="B1271" t="e">
        <f>#REF!</f>
        <v>#REF!</v>
      </c>
      <c r="C1271" t="e">
        <f>#REF!</f>
        <v>#REF!</v>
      </c>
      <c r="D1271" t="e">
        <f>#REF!</f>
        <v>#REF!</v>
      </c>
      <c r="E1271" t="e">
        <f>#REF!</f>
        <v>#REF!</v>
      </c>
      <c r="G1271" t="e">
        <f t="shared" si="96"/>
        <v>#REF!</v>
      </c>
      <c r="H1271" t="e">
        <f t="shared" si="97"/>
        <v>#REF!</v>
      </c>
      <c r="I1271" s="141" t="e">
        <f t="shared" si="98"/>
        <v>#REF!</v>
      </c>
      <c r="J1271" t="e">
        <f t="shared" si="99"/>
        <v>#REF!</v>
      </c>
      <c r="K1271" s="141" t="e">
        <f t="shared" si="100"/>
        <v>#REF!</v>
      </c>
    </row>
    <row r="1272" spans="1:11" hidden="1" x14ac:dyDescent="0.25">
      <c r="A1272" t="e">
        <f>#REF!</f>
        <v>#REF!</v>
      </c>
      <c r="B1272" t="e">
        <f>#REF!</f>
        <v>#REF!</v>
      </c>
      <c r="C1272" t="e">
        <f>#REF!</f>
        <v>#REF!</v>
      </c>
      <c r="D1272" t="e">
        <f>#REF!</f>
        <v>#REF!</v>
      </c>
      <c r="E1272" t="e">
        <f>#REF!</f>
        <v>#REF!</v>
      </c>
      <c r="G1272" t="e">
        <f t="shared" si="96"/>
        <v>#REF!</v>
      </c>
      <c r="H1272" t="e">
        <f t="shared" si="97"/>
        <v>#REF!</v>
      </c>
      <c r="I1272" s="141" t="e">
        <f t="shared" si="98"/>
        <v>#REF!</v>
      </c>
      <c r="J1272" t="e">
        <f t="shared" si="99"/>
        <v>#REF!</v>
      </c>
      <c r="K1272" s="141" t="e">
        <f t="shared" si="100"/>
        <v>#REF!</v>
      </c>
    </row>
    <row r="1273" spans="1:11" hidden="1" x14ac:dyDescent="0.25">
      <c r="A1273" t="e">
        <f>#REF!</f>
        <v>#REF!</v>
      </c>
      <c r="B1273" t="e">
        <f>#REF!</f>
        <v>#REF!</v>
      </c>
      <c r="C1273" t="e">
        <f>#REF!</f>
        <v>#REF!</v>
      </c>
      <c r="D1273" t="e">
        <f>#REF!</f>
        <v>#REF!</v>
      </c>
      <c r="E1273" t="e">
        <f>#REF!</f>
        <v>#REF!</v>
      </c>
      <c r="G1273" t="e">
        <f t="shared" si="96"/>
        <v>#REF!</v>
      </c>
      <c r="H1273" t="e">
        <f t="shared" si="97"/>
        <v>#REF!</v>
      </c>
      <c r="I1273" s="141" t="e">
        <f t="shared" si="98"/>
        <v>#REF!</v>
      </c>
      <c r="J1273" t="e">
        <f t="shared" si="99"/>
        <v>#REF!</v>
      </c>
      <c r="K1273" s="141" t="e">
        <f t="shared" si="100"/>
        <v>#REF!</v>
      </c>
    </row>
    <row r="1274" spans="1:11" hidden="1" x14ac:dyDescent="0.25">
      <c r="A1274" t="e">
        <f>#REF!</f>
        <v>#REF!</v>
      </c>
      <c r="B1274" t="e">
        <f>#REF!</f>
        <v>#REF!</v>
      </c>
      <c r="C1274" t="e">
        <f>#REF!</f>
        <v>#REF!</v>
      </c>
      <c r="D1274" t="e">
        <f>#REF!</f>
        <v>#REF!</v>
      </c>
      <c r="E1274" t="e">
        <f>#REF!</f>
        <v>#REF!</v>
      </c>
      <c r="G1274" t="e">
        <f t="shared" si="96"/>
        <v>#REF!</v>
      </c>
      <c r="H1274" t="e">
        <f t="shared" si="97"/>
        <v>#REF!</v>
      </c>
      <c r="I1274" s="141" t="e">
        <f t="shared" si="98"/>
        <v>#REF!</v>
      </c>
      <c r="J1274" t="e">
        <f t="shared" si="99"/>
        <v>#REF!</v>
      </c>
      <c r="K1274" s="141" t="e">
        <f t="shared" si="100"/>
        <v>#REF!</v>
      </c>
    </row>
    <row r="1275" spans="1:11" hidden="1" x14ac:dyDescent="0.25">
      <c r="A1275" t="e">
        <f>#REF!</f>
        <v>#REF!</v>
      </c>
      <c r="B1275" t="e">
        <f>#REF!</f>
        <v>#REF!</v>
      </c>
      <c r="C1275" t="e">
        <f>#REF!</f>
        <v>#REF!</v>
      </c>
      <c r="D1275" t="e">
        <f>#REF!</f>
        <v>#REF!</v>
      </c>
      <c r="E1275" t="e">
        <f>#REF!</f>
        <v>#REF!</v>
      </c>
      <c r="G1275" t="e">
        <f t="shared" si="96"/>
        <v>#REF!</v>
      </c>
      <c r="H1275" t="e">
        <f t="shared" si="97"/>
        <v>#REF!</v>
      </c>
      <c r="I1275" s="141" t="e">
        <f t="shared" si="98"/>
        <v>#REF!</v>
      </c>
      <c r="J1275" t="e">
        <f t="shared" si="99"/>
        <v>#REF!</v>
      </c>
      <c r="K1275" s="141" t="e">
        <f t="shared" si="100"/>
        <v>#REF!</v>
      </c>
    </row>
    <row r="1276" spans="1:11" hidden="1" x14ac:dyDescent="0.25">
      <c r="A1276" t="e">
        <f>#REF!</f>
        <v>#REF!</v>
      </c>
      <c r="B1276" t="e">
        <f>#REF!</f>
        <v>#REF!</v>
      </c>
      <c r="C1276" t="e">
        <f>#REF!</f>
        <v>#REF!</v>
      </c>
      <c r="D1276" t="e">
        <f>#REF!</f>
        <v>#REF!</v>
      </c>
      <c r="E1276" t="e">
        <f>#REF!</f>
        <v>#REF!</v>
      </c>
      <c r="G1276" t="e">
        <f t="shared" si="96"/>
        <v>#REF!</v>
      </c>
      <c r="H1276" t="e">
        <f t="shared" si="97"/>
        <v>#REF!</v>
      </c>
      <c r="I1276" s="141" t="e">
        <f t="shared" si="98"/>
        <v>#REF!</v>
      </c>
      <c r="J1276" t="e">
        <f t="shared" si="99"/>
        <v>#REF!</v>
      </c>
      <c r="K1276" s="141" t="e">
        <f t="shared" si="100"/>
        <v>#REF!</v>
      </c>
    </row>
    <row r="1277" spans="1:11" hidden="1" x14ac:dyDescent="0.25">
      <c r="A1277" t="e">
        <f>#REF!</f>
        <v>#REF!</v>
      </c>
      <c r="B1277" t="e">
        <f>#REF!</f>
        <v>#REF!</v>
      </c>
      <c r="C1277" t="e">
        <f>#REF!</f>
        <v>#REF!</v>
      </c>
      <c r="D1277" t="e">
        <f>#REF!</f>
        <v>#REF!</v>
      </c>
      <c r="E1277" t="e">
        <f>#REF!</f>
        <v>#REF!</v>
      </c>
      <c r="G1277" t="e">
        <f t="shared" si="96"/>
        <v>#REF!</v>
      </c>
      <c r="H1277" t="e">
        <f t="shared" si="97"/>
        <v>#REF!</v>
      </c>
      <c r="I1277" s="141" t="e">
        <f t="shared" si="98"/>
        <v>#REF!</v>
      </c>
      <c r="J1277" t="e">
        <f t="shared" si="99"/>
        <v>#REF!</v>
      </c>
      <c r="K1277" s="141" t="e">
        <f t="shared" si="100"/>
        <v>#REF!</v>
      </c>
    </row>
    <row r="1278" spans="1:11" hidden="1" x14ac:dyDescent="0.25">
      <c r="A1278" t="e">
        <f>#REF!</f>
        <v>#REF!</v>
      </c>
      <c r="B1278" t="e">
        <f>#REF!</f>
        <v>#REF!</v>
      </c>
      <c r="C1278" t="e">
        <f>#REF!</f>
        <v>#REF!</v>
      </c>
      <c r="D1278" t="e">
        <f>#REF!</f>
        <v>#REF!</v>
      </c>
      <c r="E1278" t="e">
        <f>#REF!</f>
        <v>#REF!</v>
      </c>
      <c r="G1278" t="e">
        <f t="shared" si="96"/>
        <v>#REF!</v>
      </c>
      <c r="H1278" t="e">
        <f t="shared" si="97"/>
        <v>#REF!</v>
      </c>
      <c r="I1278" s="141" t="e">
        <f t="shared" si="98"/>
        <v>#REF!</v>
      </c>
      <c r="J1278" t="e">
        <f t="shared" si="99"/>
        <v>#REF!</v>
      </c>
      <c r="K1278" s="141" t="e">
        <f t="shared" si="100"/>
        <v>#REF!</v>
      </c>
    </row>
    <row r="1279" spans="1:11" hidden="1" x14ac:dyDescent="0.25">
      <c r="A1279" t="e">
        <f>#REF!</f>
        <v>#REF!</v>
      </c>
      <c r="B1279" t="e">
        <f>#REF!</f>
        <v>#REF!</v>
      </c>
      <c r="C1279" t="e">
        <f>#REF!</f>
        <v>#REF!</v>
      </c>
      <c r="D1279" t="e">
        <f>#REF!</f>
        <v>#REF!</v>
      </c>
      <c r="E1279" t="e">
        <f>#REF!</f>
        <v>#REF!</v>
      </c>
      <c r="G1279" t="e">
        <f t="shared" si="96"/>
        <v>#REF!</v>
      </c>
      <c r="H1279" t="e">
        <f t="shared" si="97"/>
        <v>#REF!</v>
      </c>
      <c r="I1279" s="141" t="e">
        <f t="shared" si="98"/>
        <v>#REF!</v>
      </c>
      <c r="J1279" t="e">
        <f t="shared" si="99"/>
        <v>#REF!</v>
      </c>
      <c r="K1279" s="141" t="e">
        <f t="shared" si="100"/>
        <v>#REF!</v>
      </c>
    </row>
    <row r="1280" spans="1:11" hidden="1" x14ac:dyDescent="0.25">
      <c r="A1280" t="e">
        <f>#REF!</f>
        <v>#REF!</v>
      </c>
      <c r="B1280" t="e">
        <f>#REF!</f>
        <v>#REF!</v>
      </c>
      <c r="C1280" t="e">
        <f>#REF!</f>
        <v>#REF!</v>
      </c>
      <c r="D1280" t="e">
        <f>#REF!</f>
        <v>#REF!</v>
      </c>
      <c r="E1280" t="e">
        <f>#REF!</f>
        <v>#REF!</v>
      </c>
      <c r="G1280" t="e">
        <f t="shared" si="96"/>
        <v>#REF!</v>
      </c>
      <c r="H1280" t="e">
        <f t="shared" si="97"/>
        <v>#REF!</v>
      </c>
      <c r="I1280" s="141" t="e">
        <f t="shared" si="98"/>
        <v>#REF!</v>
      </c>
      <c r="J1280" t="e">
        <f t="shared" si="99"/>
        <v>#REF!</v>
      </c>
      <c r="K1280" s="141" t="e">
        <f t="shared" si="100"/>
        <v>#REF!</v>
      </c>
    </row>
    <row r="1281" spans="1:11" hidden="1" x14ac:dyDescent="0.25">
      <c r="A1281" t="e">
        <f>#REF!</f>
        <v>#REF!</v>
      </c>
      <c r="B1281" t="e">
        <f>#REF!</f>
        <v>#REF!</v>
      </c>
      <c r="C1281" t="e">
        <f>#REF!</f>
        <v>#REF!</v>
      </c>
      <c r="D1281" t="e">
        <f>#REF!</f>
        <v>#REF!</v>
      </c>
      <c r="E1281" t="e">
        <f>#REF!</f>
        <v>#REF!</v>
      </c>
      <c r="G1281" t="e">
        <f t="shared" si="96"/>
        <v>#REF!</v>
      </c>
      <c r="H1281" t="e">
        <f t="shared" si="97"/>
        <v>#REF!</v>
      </c>
      <c r="I1281" s="141" t="e">
        <f t="shared" si="98"/>
        <v>#REF!</v>
      </c>
      <c r="J1281" t="e">
        <f t="shared" si="99"/>
        <v>#REF!</v>
      </c>
      <c r="K1281" s="141" t="e">
        <f t="shared" si="100"/>
        <v>#REF!</v>
      </c>
    </row>
    <row r="1282" spans="1:11" hidden="1" x14ac:dyDescent="0.25">
      <c r="A1282" t="e">
        <f>#REF!</f>
        <v>#REF!</v>
      </c>
      <c r="B1282" t="e">
        <f>#REF!</f>
        <v>#REF!</v>
      </c>
      <c r="C1282" t="e">
        <f>#REF!</f>
        <v>#REF!</v>
      </c>
      <c r="D1282" t="e">
        <f>#REF!</f>
        <v>#REF!</v>
      </c>
      <c r="E1282" t="e">
        <f>#REF!</f>
        <v>#REF!</v>
      </c>
      <c r="G1282" t="e">
        <f t="shared" ref="G1282:G1345" si="101">A1282</f>
        <v>#REF!</v>
      </c>
      <c r="H1282" t="e">
        <f t="shared" ref="H1282:H1345" si="102">B1282</f>
        <v>#REF!</v>
      </c>
      <c r="I1282" s="141" t="e">
        <f t="shared" ref="I1282:I1345" si="103">C1282</f>
        <v>#REF!</v>
      </c>
      <c r="J1282" t="e">
        <f t="shared" ref="J1282:J1345" si="104">D1282</f>
        <v>#REF!</v>
      </c>
      <c r="K1282" s="141" t="e">
        <f t="shared" ref="K1282:K1345" si="105">E1282</f>
        <v>#REF!</v>
      </c>
    </row>
    <row r="1283" spans="1:11" hidden="1" x14ac:dyDescent="0.25">
      <c r="A1283" t="e">
        <f>#REF!</f>
        <v>#REF!</v>
      </c>
      <c r="B1283" t="e">
        <f>#REF!</f>
        <v>#REF!</v>
      </c>
      <c r="C1283" t="e">
        <f>#REF!</f>
        <v>#REF!</v>
      </c>
      <c r="D1283" t="e">
        <f>#REF!</f>
        <v>#REF!</v>
      </c>
      <c r="E1283" t="e">
        <f>#REF!</f>
        <v>#REF!</v>
      </c>
      <c r="G1283" t="e">
        <f t="shared" si="101"/>
        <v>#REF!</v>
      </c>
      <c r="H1283" t="e">
        <f t="shared" si="102"/>
        <v>#REF!</v>
      </c>
      <c r="I1283" s="141" t="e">
        <f t="shared" si="103"/>
        <v>#REF!</v>
      </c>
      <c r="J1283" t="e">
        <f t="shared" si="104"/>
        <v>#REF!</v>
      </c>
      <c r="K1283" s="141" t="e">
        <f t="shared" si="105"/>
        <v>#REF!</v>
      </c>
    </row>
    <row r="1284" spans="1:11" hidden="1" x14ac:dyDescent="0.25">
      <c r="A1284" t="e">
        <f>#REF!</f>
        <v>#REF!</v>
      </c>
      <c r="B1284" t="e">
        <f>#REF!</f>
        <v>#REF!</v>
      </c>
      <c r="C1284" t="e">
        <f>#REF!</f>
        <v>#REF!</v>
      </c>
      <c r="D1284" t="e">
        <f>#REF!</f>
        <v>#REF!</v>
      </c>
      <c r="E1284" t="e">
        <f>#REF!</f>
        <v>#REF!</v>
      </c>
      <c r="G1284" t="e">
        <f t="shared" si="101"/>
        <v>#REF!</v>
      </c>
      <c r="H1284" t="e">
        <f t="shared" si="102"/>
        <v>#REF!</v>
      </c>
      <c r="I1284" s="141" t="e">
        <f t="shared" si="103"/>
        <v>#REF!</v>
      </c>
      <c r="J1284" t="e">
        <f t="shared" si="104"/>
        <v>#REF!</v>
      </c>
      <c r="K1284" s="141" t="e">
        <f t="shared" si="105"/>
        <v>#REF!</v>
      </c>
    </row>
    <row r="1285" spans="1:11" hidden="1" x14ac:dyDescent="0.25">
      <c r="A1285" t="e">
        <f>#REF!</f>
        <v>#REF!</v>
      </c>
      <c r="B1285" t="e">
        <f>#REF!</f>
        <v>#REF!</v>
      </c>
      <c r="C1285" t="e">
        <f>#REF!</f>
        <v>#REF!</v>
      </c>
      <c r="D1285" t="e">
        <f>#REF!</f>
        <v>#REF!</v>
      </c>
      <c r="E1285" t="e">
        <f>#REF!</f>
        <v>#REF!</v>
      </c>
      <c r="G1285" t="e">
        <f t="shared" si="101"/>
        <v>#REF!</v>
      </c>
      <c r="H1285" t="e">
        <f t="shared" si="102"/>
        <v>#REF!</v>
      </c>
      <c r="I1285" s="141" t="e">
        <f t="shared" si="103"/>
        <v>#REF!</v>
      </c>
      <c r="J1285" t="e">
        <f t="shared" si="104"/>
        <v>#REF!</v>
      </c>
      <c r="K1285" s="141" t="e">
        <f t="shared" si="105"/>
        <v>#REF!</v>
      </c>
    </row>
    <row r="1286" spans="1:11" hidden="1" x14ac:dyDescent="0.25">
      <c r="A1286" t="e">
        <f>#REF!</f>
        <v>#REF!</v>
      </c>
      <c r="B1286" t="e">
        <f>#REF!</f>
        <v>#REF!</v>
      </c>
      <c r="C1286" t="e">
        <f>#REF!</f>
        <v>#REF!</v>
      </c>
      <c r="D1286" t="e">
        <f>#REF!</f>
        <v>#REF!</v>
      </c>
      <c r="E1286" t="e">
        <f>#REF!</f>
        <v>#REF!</v>
      </c>
      <c r="G1286" t="e">
        <f t="shared" si="101"/>
        <v>#REF!</v>
      </c>
      <c r="H1286" t="e">
        <f t="shared" si="102"/>
        <v>#REF!</v>
      </c>
      <c r="I1286" s="141" t="e">
        <f t="shared" si="103"/>
        <v>#REF!</v>
      </c>
      <c r="J1286" t="e">
        <f t="shared" si="104"/>
        <v>#REF!</v>
      </c>
      <c r="K1286" s="141" t="e">
        <f t="shared" si="105"/>
        <v>#REF!</v>
      </c>
    </row>
    <row r="1287" spans="1:11" hidden="1" x14ac:dyDescent="0.25">
      <c r="A1287" t="e">
        <f>#REF!</f>
        <v>#REF!</v>
      </c>
      <c r="B1287" t="e">
        <f>#REF!</f>
        <v>#REF!</v>
      </c>
      <c r="C1287" t="e">
        <f>#REF!</f>
        <v>#REF!</v>
      </c>
      <c r="D1287" t="e">
        <f>#REF!</f>
        <v>#REF!</v>
      </c>
      <c r="E1287" t="e">
        <f>#REF!</f>
        <v>#REF!</v>
      </c>
      <c r="G1287" t="e">
        <f t="shared" si="101"/>
        <v>#REF!</v>
      </c>
      <c r="H1287" t="e">
        <f t="shared" si="102"/>
        <v>#REF!</v>
      </c>
      <c r="I1287" s="141" t="e">
        <f t="shared" si="103"/>
        <v>#REF!</v>
      </c>
      <c r="J1287" t="e">
        <f t="shared" si="104"/>
        <v>#REF!</v>
      </c>
      <c r="K1287" s="141" t="e">
        <f t="shared" si="105"/>
        <v>#REF!</v>
      </c>
    </row>
    <row r="1288" spans="1:11" hidden="1" x14ac:dyDescent="0.25">
      <c r="A1288" t="e">
        <f>#REF!</f>
        <v>#REF!</v>
      </c>
      <c r="B1288" t="e">
        <f>#REF!</f>
        <v>#REF!</v>
      </c>
      <c r="C1288" t="e">
        <f>#REF!</f>
        <v>#REF!</v>
      </c>
      <c r="D1288" t="e">
        <f>#REF!</f>
        <v>#REF!</v>
      </c>
      <c r="E1288" t="e">
        <f>#REF!</f>
        <v>#REF!</v>
      </c>
      <c r="G1288" t="e">
        <f t="shared" si="101"/>
        <v>#REF!</v>
      </c>
      <c r="H1288" t="e">
        <f t="shared" si="102"/>
        <v>#REF!</v>
      </c>
      <c r="I1288" s="141" t="e">
        <f t="shared" si="103"/>
        <v>#REF!</v>
      </c>
      <c r="J1288" t="e">
        <f t="shared" si="104"/>
        <v>#REF!</v>
      </c>
      <c r="K1288" s="141" t="e">
        <f t="shared" si="105"/>
        <v>#REF!</v>
      </c>
    </row>
    <row r="1289" spans="1:11" hidden="1" x14ac:dyDescent="0.25">
      <c r="A1289" t="e">
        <f>#REF!</f>
        <v>#REF!</v>
      </c>
      <c r="B1289" t="e">
        <f>#REF!</f>
        <v>#REF!</v>
      </c>
      <c r="C1289" t="e">
        <f>#REF!</f>
        <v>#REF!</v>
      </c>
      <c r="D1289" t="e">
        <f>#REF!</f>
        <v>#REF!</v>
      </c>
      <c r="E1289" t="e">
        <f>#REF!</f>
        <v>#REF!</v>
      </c>
      <c r="G1289" t="e">
        <f t="shared" si="101"/>
        <v>#REF!</v>
      </c>
      <c r="H1289" t="e">
        <f t="shared" si="102"/>
        <v>#REF!</v>
      </c>
      <c r="I1289" s="141" t="e">
        <f t="shared" si="103"/>
        <v>#REF!</v>
      </c>
      <c r="J1289" t="e">
        <f t="shared" si="104"/>
        <v>#REF!</v>
      </c>
      <c r="K1289" s="141" t="e">
        <f t="shared" si="105"/>
        <v>#REF!</v>
      </c>
    </row>
    <row r="1290" spans="1:11" hidden="1" x14ac:dyDescent="0.25">
      <c r="A1290" t="e">
        <f>#REF!</f>
        <v>#REF!</v>
      </c>
      <c r="B1290" t="e">
        <f>#REF!</f>
        <v>#REF!</v>
      </c>
      <c r="C1290" t="e">
        <f>#REF!</f>
        <v>#REF!</v>
      </c>
      <c r="D1290" t="e">
        <f>#REF!</f>
        <v>#REF!</v>
      </c>
      <c r="E1290" t="e">
        <f>#REF!</f>
        <v>#REF!</v>
      </c>
      <c r="G1290" t="e">
        <f t="shared" si="101"/>
        <v>#REF!</v>
      </c>
      <c r="H1290" t="e">
        <f t="shared" si="102"/>
        <v>#REF!</v>
      </c>
      <c r="I1290" s="141" t="e">
        <f t="shared" si="103"/>
        <v>#REF!</v>
      </c>
      <c r="J1290" t="e">
        <f t="shared" si="104"/>
        <v>#REF!</v>
      </c>
      <c r="K1290" s="141" t="e">
        <f t="shared" si="105"/>
        <v>#REF!</v>
      </c>
    </row>
    <row r="1291" spans="1:11" hidden="1" x14ac:dyDescent="0.25">
      <c r="A1291" t="e">
        <f>#REF!</f>
        <v>#REF!</v>
      </c>
      <c r="B1291" t="e">
        <f>#REF!</f>
        <v>#REF!</v>
      </c>
      <c r="C1291" t="e">
        <f>#REF!</f>
        <v>#REF!</v>
      </c>
      <c r="D1291" t="e">
        <f>#REF!</f>
        <v>#REF!</v>
      </c>
      <c r="E1291" t="e">
        <f>#REF!</f>
        <v>#REF!</v>
      </c>
      <c r="G1291" t="e">
        <f t="shared" si="101"/>
        <v>#REF!</v>
      </c>
      <c r="H1291" t="e">
        <f t="shared" si="102"/>
        <v>#REF!</v>
      </c>
      <c r="I1291" s="141" t="e">
        <f t="shared" si="103"/>
        <v>#REF!</v>
      </c>
      <c r="J1291" t="e">
        <f t="shared" si="104"/>
        <v>#REF!</v>
      </c>
      <c r="K1291" s="141" t="e">
        <f t="shared" si="105"/>
        <v>#REF!</v>
      </c>
    </row>
    <row r="1292" spans="1:11" hidden="1" x14ac:dyDescent="0.25">
      <c r="A1292" t="e">
        <f>#REF!</f>
        <v>#REF!</v>
      </c>
      <c r="B1292" t="e">
        <f>#REF!</f>
        <v>#REF!</v>
      </c>
      <c r="C1292" t="e">
        <f>#REF!</f>
        <v>#REF!</v>
      </c>
      <c r="D1292" t="e">
        <f>#REF!</f>
        <v>#REF!</v>
      </c>
      <c r="E1292" t="e">
        <f>#REF!</f>
        <v>#REF!</v>
      </c>
      <c r="G1292" t="e">
        <f t="shared" si="101"/>
        <v>#REF!</v>
      </c>
      <c r="H1292" t="e">
        <f t="shared" si="102"/>
        <v>#REF!</v>
      </c>
      <c r="I1292" s="141" t="e">
        <f t="shared" si="103"/>
        <v>#REF!</v>
      </c>
      <c r="J1292" t="e">
        <f t="shared" si="104"/>
        <v>#REF!</v>
      </c>
      <c r="K1292" s="141" t="e">
        <f t="shared" si="105"/>
        <v>#REF!</v>
      </c>
    </row>
    <row r="1293" spans="1:11" hidden="1" x14ac:dyDescent="0.25">
      <c r="A1293" t="e">
        <f>#REF!</f>
        <v>#REF!</v>
      </c>
      <c r="B1293" t="e">
        <f>#REF!</f>
        <v>#REF!</v>
      </c>
      <c r="C1293" t="e">
        <f>#REF!</f>
        <v>#REF!</v>
      </c>
      <c r="D1293" t="e">
        <f>#REF!</f>
        <v>#REF!</v>
      </c>
      <c r="E1293" t="e">
        <f>#REF!</f>
        <v>#REF!</v>
      </c>
      <c r="G1293" t="e">
        <f t="shared" si="101"/>
        <v>#REF!</v>
      </c>
      <c r="H1293" t="e">
        <f t="shared" si="102"/>
        <v>#REF!</v>
      </c>
      <c r="I1293" s="141" t="e">
        <f t="shared" si="103"/>
        <v>#REF!</v>
      </c>
      <c r="J1293" t="e">
        <f t="shared" si="104"/>
        <v>#REF!</v>
      </c>
      <c r="K1293" s="141" t="e">
        <f t="shared" si="105"/>
        <v>#REF!</v>
      </c>
    </row>
    <row r="1294" spans="1:11" hidden="1" x14ac:dyDescent="0.25">
      <c r="A1294" t="e">
        <f>#REF!</f>
        <v>#REF!</v>
      </c>
      <c r="B1294" t="e">
        <f>#REF!</f>
        <v>#REF!</v>
      </c>
      <c r="C1294" t="e">
        <f>#REF!</f>
        <v>#REF!</v>
      </c>
      <c r="D1294" t="e">
        <f>#REF!</f>
        <v>#REF!</v>
      </c>
      <c r="E1294" t="e">
        <f>#REF!</f>
        <v>#REF!</v>
      </c>
      <c r="G1294" t="e">
        <f t="shared" si="101"/>
        <v>#REF!</v>
      </c>
      <c r="H1294" t="e">
        <f t="shared" si="102"/>
        <v>#REF!</v>
      </c>
      <c r="I1294" s="141" t="e">
        <f t="shared" si="103"/>
        <v>#REF!</v>
      </c>
      <c r="J1294" t="e">
        <f t="shared" si="104"/>
        <v>#REF!</v>
      </c>
      <c r="K1294" s="141" t="e">
        <f t="shared" si="105"/>
        <v>#REF!</v>
      </c>
    </row>
    <row r="1295" spans="1:11" hidden="1" x14ac:dyDescent="0.25">
      <c r="A1295" t="e">
        <f>#REF!</f>
        <v>#REF!</v>
      </c>
      <c r="B1295" t="e">
        <f>#REF!</f>
        <v>#REF!</v>
      </c>
      <c r="C1295" t="e">
        <f>#REF!</f>
        <v>#REF!</v>
      </c>
      <c r="D1295" t="e">
        <f>#REF!</f>
        <v>#REF!</v>
      </c>
      <c r="E1295" t="e">
        <f>#REF!</f>
        <v>#REF!</v>
      </c>
      <c r="G1295" t="e">
        <f t="shared" si="101"/>
        <v>#REF!</v>
      </c>
      <c r="H1295" t="e">
        <f t="shared" si="102"/>
        <v>#REF!</v>
      </c>
      <c r="I1295" s="141" t="e">
        <f t="shared" si="103"/>
        <v>#REF!</v>
      </c>
      <c r="J1295" t="e">
        <f t="shared" si="104"/>
        <v>#REF!</v>
      </c>
      <c r="K1295" s="141" t="e">
        <f t="shared" si="105"/>
        <v>#REF!</v>
      </c>
    </row>
    <row r="1296" spans="1:11" hidden="1" x14ac:dyDescent="0.25">
      <c r="A1296" t="e">
        <f>#REF!</f>
        <v>#REF!</v>
      </c>
      <c r="B1296" t="e">
        <f>#REF!</f>
        <v>#REF!</v>
      </c>
      <c r="C1296" t="e">
        <f>#REF!</f>
        <v>#REF!</v>
      </c>
      <c r="D1296" t="e">
        <f>#REF!</f>
        <v>#REF!</v>
      </c>
      <c r="E1296" t="e">
        <f>#REF!</f>
        <v>#REF!</v>
      </c>
      <c r="G1296" t="e">
        <f t="shared" si="101"/>
        <v>#REF!</v>
      </c>
      <c r="H1296" t="e">
        <f t="shared" si="102"/>
        <v>#REF!</v>
      </c>
      <c r="I1296" s="141" t="e">
        <f t="shared" si="103"/>
        <v>#REF!</v>
      </c>
      <c r="J1296" t="e">
        <f t="shared" si="104"/>
        <v>#REF!</v>
      </c>
      <c r="K1296" s="141" t="e">
        <f t="shared" si="105"/>
        <v>#REF!</v>
      </c>
    </row>
    <row r="1297" spans="1:11" hidden="1" x14ac:dyDescent="0.25">
      <c r="A1297" t="e">
        <f>#REF!</f>
        <v>#REF!</v>
      </c>
      <c r="B1297" t="e">
        <f>#REF!</f>
        <v>#REF!</v>
      </c>
      <c r="C1297" t="e">
        <f>#REF!</f>
        <v>#REF!</v>
      </c>
      <c r="D1297" t="e">
        <f>#REF!</f>
        <v>#REF!</v>
      </c>
      <c r="E1297" t="e">
        <f>#REF!</f>
        <v>#REF!</v>
      </c>
      <c r="G1297" t="e">
        <f t="shared" si="101"/>
        <v>#REF!</v>
      </c>
      <c r="H1297" t="e">
        <f t="shared" si="102"/>
        <v>#REF!</v>
      </c>
      <c r="I1297" s="141" t="e">
        <f t="shared" si="103"/>
        <v>#REF!</v>
      </c>
      <c r="J1297" t="e">
        <f t="shared" si="104"/>
        <v>#REF!</v>
      </c>
      <c r="K1297" s="141" t="e">
        <f t="shared" si="105"/>
        <v>#REF!</v>
      </c>
    </row>
    <row r="1298" spans="1:11" hidden="1" x14ac:dyDescent="0.25">
      <c r="A1298" t="e">
        <f>#REF!</f>
        <v>#REF!</v>
      </c>
      <c r="B1298" t="e">
        <f>#REF!</f>
        <v>#REF!</v>
      </c>
      <c r="C1298" t="e">
        <f>#REF!</f>
        <v>#REF!</v>
      </c>
      <c r="D1298" t="e">
        <f>#REF!</f>
        <v>#REF!</v>
      </c>
      <c r="E1298" t="e">
        <f>#REF!</f>
        <v>#REF!</v>
      </c>
      <c r="G1298" t="e">
        <f t="shared" si="101"/>
        <v>#REF!</v>
      </c>
      <c r="H1298" t="e">
        <f t="shared" si="102"/>
        <v>#REF!</v>
      </c>
      <c r="I1298" s="141" t="e">
        <f t="shared" si="103"/>
        <v>#REF!</v>
      </c>
      <c r="J1298" t="e">
        <f t="shared" si="104"/>
        <v>#REF!</v>
      </c>
      <c r="K1298" s="141" t="e">
        <f t="shared" si="105"/>
        <v>#REF!</v>
      </c>
    </row>
    <row r="1299" spans="1:11" hidden="1" x14ac:dyDescent="0.25">
      <c r="A1299" t="e">
        <f>#REF!</f>
        <v>#REF!</v>
      </c>
      <c r="B1299" t="e">
        <f>#REF!</f>
        <v>#REF!</v>
      </c>
      <c r="C1299" t="e">
        <f>#REF!</f>
        <v>#REF!</v>
      </c>
      <c r="D1299" t="e">
        <f>#REF!</f>
        <v>#REF!</v>
      </c>
      <c r="E1299" t="e">
        <f>#REF!</f>
        <v>#REF!</v>
      </c>
      <c r="G1299" t="e">
        <f t="shared" si="101"/>
        <v>#REF!</v>
      </c>
      <c r="H1299" t="e">
        <f t="shared" si="102"/>
        <v>#REF!</v>
      </c>
      <c r="I1299" s="141" t="e">
        <f t="shared" si="103"/>
        <v>#REF!</v>
      </c>
      <c r="J1299" t="e">
        <f t="shared" si="104"/>
        <v>#REF!</v>
      </c>
      <c r="K1299" s="141" t="e">
        <f t="shared" si="105"/>
        <v>#REF!</v>
      </c>
    </row>
    <row r="1300" spans="1:11" hidden="1" x14ac:dyDescent="0.25">
      <c r="A1300" t="e">
        <f>#REF!</f>
        <v>#REF!</v>
      </c>
      <c r="B1300" t="e">
        <f>#REF!</f>
        <v>#REF!</v>
      </c>
      <c r="C1300" t="e">
        <f>#REF!</f>
        <v>#REF!</v>
      </c>
      <c r="D1300" t="e">
        <f>#REF!</f>
        <v>#REF!</v>
      </c>
      <c r="E1300" t="e">
        <f>#REF!</f>
        <v>#REF!</v>
      </c>
      <c r="G1300" t="e">
        <f t="shared" si="101"/>
        <v>#REF!</v>
      </c>
      <c r="H1300" t="e">
        <f t="shared" si="102"/>
        <v>#REF!</v>
      </c>
      <c r="I1300" s="141" t="e">
        <f t="shared" si="103"/>
        <v>#REF!</v>
      </c>
      <c r="J1300" t="e">
        <f t="shared" si="104"/>
        <v>#REF!</v>
      </c>
      <c r="K1300" s="141" t="e">
        <f t="shared" si="105"/>
        <v>#REF!</v>
      </c>
    </row>
    <row r="1301" spans="1:11" hidden="1" x14ac:dyDescent="0.25">
      <c r="A1301" t="e">
        <f>#REF!</f>
        <v>#REF!</v>
      </c>
      <c r="B1301" t="e">
        <f>#REF!</f>
        <v>#REF!</v>
      </c>
      <c r="C1301" t="e">
        <f>#REF!</f>
        <v>#REF!</v>
      </c>
      <c r="D1301" t="e">
        <f>#REF!</f>
        <v>#REF!</v>
      </c>
      <c r="E1301" t="e">
        <f>#REF!</f>
        <v>#REF!</v>
      </c>
      <c r="G1301" t="e">
        <f t="shared" si="101"/>
        <v>#REF!</v>
      </c>
      <c r="H1301" t="e">
        <f t="shared" si="102"/>
        <v>#REF!</v>
      </c>
      <c r="I1301" s="141" t="e">
        <f t="shared" si="103"/>
        <v>#REF!</v>
      </c>
      <c r="J1301" t="e">
        <f t="shared" si="104"/>
        <v>#REF!</v>
      </c>
      <c r="K1301" s="141" t="e">
        <f t="shared" si="105"/>
        <v>#REF!</v>
      </c>
    </row>
    <row r="1302" spans="1:11" hidden="1" x14ac:dyDescent="0.25">
      <c r="A1302" t="e">
        <f>#REF!</f>
        <v>#REF!</v>
      </c>
      <c r="B1302" t="e">
        <f>#REF!</f>
        <v>#REF!</v>
      </c>
      <c r="C1302" t="e">
        <f>#REF!</f>
        <v>#REF!</v>
      </c>
      <c r="D1302" t="e">
        <f>#REF!</f>
        <v>#REF!</v>
      </c>
      <c r="E1302" t="e">
        <f>#REF!</f>
        <v>#REF!</v>
      </c>
      <c r="G1302" t="e">
        <f t="shared" si="101"/>
        <v>#REF!</v>
      </c>
      <c r="H1302" t="e">
        <f t="shared" si="102"/>
        <v>#REF!</v>
      </c>
      <c r="I1302" s="141" t="e">
        <f t="shared" si="103"/>
        <v>#REF!</v>
      </c>
      <c r="J1302" t="e">
        <f t="shared" si="104"/>
        <v>#REF!</v>
      </c>
      <c r="K1302" s="141" t="e">
        <f t="shared" si="105"/>
        <v>#REF!</v>
      </c>
    </row>
    <row r="1303" spans="1:11" hidden="1" x14ac:dyDescent="0.25">
      <c r="A1303" t="e">
        <f>#REF!</f>
        <v>#REF!</v>
      </c>
      <c r="B1303" t="e">
        <f>#REF!</f>
        <v>#REF!</v>
      </c>
      <c r="C1303" t="e">
        <f>#REF!</f>
        <v>#REF!</v>
      </c>
      <c r="D1303" t="e">
        <f>#REF!</f>
        <v>#REF!</v>
      </c>
      <c r="E1303" t="e">
        <f>#REF!</f>
        <v>#REF!</v>
      </c>
      <c r="G1303" t="e">
        <f t="shared" si="101"/>
        <v>#REF!</v>
      </c>
      <c r="H1303" t="e">
        <f t="shared" si="102"/>
        <v>#REF!</v>
      </c>
      <c r="I1303" s="141" t="e">
        <f t="shared" si="103"/>
        <v>#REF!</v>
      </c>
      <c r="J1303" t="e">
        <f t="shared" si="104"/>
        <v>#REF!</v>
      </c>
      <c r="K1303" s="141" t="e">
        <f t="shared" si="105"/>
        <v>#REF!</v>
      </c>
    </row>
    <row r="1304" spans="1:11" hidden="1" x14ac:dyDescent="0.25">
      <c r="A1304" t="e">
        <f>#REF!</f>
        <v>#REF!</v>
      </c>
      <c r="B1304" t="e">
        <f>#REF!</f>
        <v>#REF!</v>
      </c>
      <c r="C1304" t="e">
        <f>#REF!</f>
        <v>#REF!</v>
      </c>
      <c r="D1304" t="e">
        <f>#REF!</f>
        <v>#REF!</v>
      </c>
      <c r="E1304" t="e">
        <f>#REF!</f>
        <v>#REF!</v>
      </c>
      <c r="G1304" t="e">
        <f t="shared" si="101"/>
        <v>#REF!</v>
      </c>
      <c r="H1304" t="e">
        <f t="shared" si="102"/>
        <v>#REF!</v>
      </c>
      <c r="I1304" s="141" t="e">
        <f t="shared" si="103"/>
        <v>#REF!</v>
      </c>
      <c r="J1304" t="e">
        <f t="shared" si="104"/>
        <v>#REF!</v>
      </c>
      <c r="K1304" s="141" t="e">
        <f t="shared" si="105"/>
        <v>#REF!</v>
      </c>
    </row>
    <row r="1305" spans="1:11" hidden="1" x14ac:dyDescent="0.25">
      <c r="A1305" t="e">
        <f>#REF!</f>
        <v>#REF!</v>
      </c>
      <c r="B1305" t="e">
        <f>#REF!</f>
        <v>#REF!</v>
      </c>
      <c r="C1305" t="e">
        <f>#REF!</f>
        <v>#REF!</v>
      </c>
      <c r="D1305" t="e">
        <f>#REF!</f>
        <v>#REF!</v>
      </c>
      <c r="E1305" t="e">
        <f>#REF!</f>
        <v>#REF!</v>
      </c>
      <c r="G1305" t="e">
        <f t="shared" si="101"/>
        <v>#REF!</v>
      </c>
      <c r="H1305" t="e">
        <f t="shared" si="102"/>
        <v>#REF!</v>
      </c>
      <c r="I1305" s="141" t="e">
        <f t="shared" si="103"/>
        <v>#REF!</v>
      </c>
      <c r="J1305" t="e">
        <f t="shared" si="104"/>
        <v>#REF!</v>
      </c>
      <c r="K1305" s="141" t="e">
        <f t="shared" si="105"/>
        <v>#REF!</v>
      </c>
    </row>
    <row r="1306" spans="1:11" hidden="1" x14ac:dyDescent="0.25">
      <c r="A1306" t="e">
        <f>#REF!</f>
        <v>#REF!</v>
      </c>
      <c r="B1306" t="e">
        <f>#REF!</f>
        <v>#REF!</v>
      </c>
      <c r="C1306" t="e">
        <f>#REF!</f>
        <v>#REF!</v>
      </c>
      <c r="D1306" t="e">
        <f>#REF!</f>
        <v>#REF!</v>
      </c>
      <c r="E1306" t="e">
        <f>#REF!</f>
        <v>#REF!</v>
      </c>
      <c r="G1306" t="e">
        <f t="shared" si="101"/>
        <v>#REF!</v>
      </c>
      <c r="H1306" t="e">
        <f t="shared" si="102"/>
        <v>#REF!</v>
      </c>
      <c r="I1306" s="141" t="e">
        <f t="shared" si="103"/>
        <v>#REF!</v>
      </c>
      <c r="J1306" t="e">
        <f t="shared" si="104"/>
        <v>#REF!</v>
      </c>
      <c r="K1306" s="141" t="e">
        <f t="shared" si="105"/>
        <v>#REF!</v>
      </c>
    </row>
    <row r="1307" spans="1:11" hidden="1" x14ac:dyDescent="0.25">
      <c r="A1307" t="e">
        <f>#REF!</f>
        <v>#REF!</v>
      </c>
      <c r="B1307" t="e">
        <f>#REF!</f>
        <v>#REF!</v>
      </c>
      <c r="C1307" t="e">
        <f>#REF!</f>
        <v>#REF!</v>
      </c>
      <c r="D1307" t="e">
        <f>#REF!</f>
        <v>#REF!</v>
      </c>
      <c r="E1307" t="e">
        <f>#REF!</f>
        <v>#REF!</v>
      </c>
      <c r="G1307" t="e">
        <f t="shared" si="101"/>
        <v>#REF!</v>
      </c>
      <c r="H1307" t="e">
        <f t="shared" si="102"/>
        <v>#REF!</v>
      </c>
      <c r="I1307" s="141" t="e">
        <f t="shared" si="103"/>
        <v>#REF!</v>
      </c>
      <c r="J1307" t="e">
        <f t="shared" si="104"/>
        <v>#REF!</v>
      </c>
      <c r="K1307" s="141" t="e">
        <f t="shared" si="105"/>
        <v>#REF!</v>
      </c>
    </row>
    <row r="1308" spans="1:11" hidden="1" x14ac:dyDescent="0.25">
      <c r="A1308" t="e">
        <f>#REF!</f>
        <v>#REF!</v>
      </c>
      <c r="B1308" t="e">
        <f>#REF!</f>
        <v>#REF!</v>
      </c>
      <c r="C1308" t="e">
        <f>#REF!</f>
        <v>#REF!</v>
      </c>
      <c r="D1308" t="e">
        <f>#REF!</f>
        <v>#REF!</v>
      </c>
      <c r="E1308" t="e">
        <f>#REF!</f>
        <v>#REF!</v>
      </c>
      <c r="G1308" t="e">
        <f t="shared" si="101"/>
        <v>#REF!</v>
      </c>
      <c r="H1308" t="e">
        <f t="shared" si="102"/>
        <v>#REF!</v>
      </c>
      <c r="I1308" s="141" t="e">
        <f t="shared" si="103"/>
        <v>#REF!</v>
      </c>
      <c r="J1308" t="e">
        <f t="shared" si="104"/>
        <v>#REF!</v>
      </c>
      <c r="K1308" s="141" t="e">
        <f t="shared" si="105"/>
        <v>#REF!</v>
      </c>
    </row>
    <row r="1309" spans="1:11" hidden="1" x14ac:dyDescent="0.25">
      <c r="A1309" t="e">
        <f>#REF!</f>
        <v>#REF!</v>
      </c>
      <c r="B1309" t="e">
        <f>#REF!</f>
        <v>#REF!</v>
      </c>
      <c r="C1309" t="e">
        <f>#REF!</f>
        <v>#REF!</v>
      </c>
      <c r="D1309" t="e">
        <f>#REF!</f>
        <v>#REF!</v>
      </c>
      <c r="E1309" t="e">
        <f>#REF!</f>
        <v>#REF!</v>
      </c>
      <c r="G1309" t="e">
        <f t="shared" si="101"/>
        <v>#REF!</v>
      </c>
      <c r="H1309" t="e">
        <f t="shared" si="102"/>
        <v>#REF!</v>
      </c>
      <c r="I1309" s="141" t="e">
        <f t="shared" si="103"/>
        <v>#REF!</v>
      </c>
      <c r="J1309" t="e">
        <f t="shared" si="104"/>
        <v>#REF!</v>
      </c>
      <c r="K1309" s="141" t="e">
        <f t="shared" si="105"/>
        <v>#REF!</v>
      </c>
    </row>
    <row r="1310" spans="1:11" hidden="1" x14ac:dyDescent="0.25">
      <c r="A1310" t="e">
        <f>#REF!</f>
        <v>#REF!</v>
      </c>
      <c r="B1310" t="e">
        <f>#REF!</f>
        <v>#REF!</v>
      </c>
      <c r="C1310" t="e">
        <f>#REF!</f>
        <v>#REF!</v>
      </c>
      <c r="D1310" t="e">
        <f>#REF!</f>
        <v>#REF!</v>
      </c>
      <c r="E1310" t="e">
        <f>#REF!</f>
        <v>#REF!</v>
      </c>
      <c r="G1310" t="e">
        <f t="shared" si="101"/>
        <v>#REF!</v>
      </c>
      <c r="H1310" t="e">
        <f t="shared" si="102"/>
        <v>#REF!</v>
      </c>
      <c r="I1310" s="141" t="e">
        <f t="shared" si="103"/>
        <v>#REF!</v>
      </c>
      <c r="J1310" t="e">
        <f t="shared" si="104"/>
        <v>#REF!</v>
      </c>
      <c r="K1310" s="141" t="e">
        <f t="shared" si="105"/>
        <v>#REF!</v>
      </c>
    </row>
    <row r="1311" spans="1:11" hidden="1" x14ac:dyDescent="0.25">
      <c r="A1311" t="e">
        <f>#REF!</f>
        <v>#REF!</v>
      </c>
      <c r="B1311" t="e">
        <f>#REF!</f>
        <v>#REF!</v>
      </c>
      <c r="C1311" t="e">
        <f>#REF!</f>
        <v>#REF!</v>
      </c>
      <c r="D1311" t="e">
        <f>#REF!</f>
        <v>#REF!</v>
      </c>
      <c r="E1311" t="e">
        <f>#REF!</f>
        <v>#REF!</v>
      </c>
      <c r="G1311" t="e">
        <f t="shared" si="101"/>
        <v>#REF!</v>
      </c>
      <c r="H1311" t="e">
        <f t="shared" si="102"/>
        <v>#REF!</v>
      </c>
      <c r="I1311" s="141" t="e">
        <f t="shared" si="103"/>
        <v>#REF!</v>
      </c>
      <c r="J1311" t="e">
        <f t="shared" si="104"/>
        <v>#REF!</v>
      </c>
      <c r="K1311" s="141" t="e">
        <f t="shared" si="105"/>
        <v>#REF!</v>
      </c>
    </row>
    <row r="1312" spans="1:11" hidden="1" x14ac:dyDescent="0.25">
      <c r="A1312" t="e">
        <f>#REF!</f>
        <v>#REF!</v>
      </c>
      <c r="B1312" t="e">
        <f>#REF!</f>
        <v>#REF!</v>
      </c>
      <c r="C1312" t="e">
        <f>#REF!</f>
        <v>#REF!</v>
      </c>
      <c r="D1312" t="e">
        <f>#REF!</f>
        <v>#REF!</v>
      </c>
      <c r="E1312" t="e">
        <f>#REF!</f>
        <v>#REF!</v>
      </c>
      <c r="G1312" t="e">
        <f t="shared" si="101"/>
        <v>#REF!</v>
      </c>
      <c r="H1312" t="e">
        <f t="shared" si="102"/>
        <v>#REF!</v>
      </c>
      <c r="I1312" s="141" t="e">
        <f t="shared" si="103"/>
        <v>#REF!</v>
      </c>
      <c r="J1312" t="e">
        <f t="shared" si="104"/>
        <v>#REF!</v>
      </c>
      <c r="K1312" s="141" t="e">
        <f t="shared" si="105"/>
        <v>#REF!</v>
      </c>
    </row>
    <row r="1313" spans="1:11" hidden="1" x14ac:dyDescent="0.25">
      <c r="A1313" t="e">
        <f>#REF!</f>
        <v>#REF!</v>
      </c>
      <c r="B1313" t="e">
        <f>#REF!</f>
        <v>#REF!</v>
      </c>
      <c r="C1313" t="e">
        <f>#REF!</f>
        <v>#REF!</v>
      </c>
      <c r="D1313" t="e">
        <f>#REF!</f>
        <v>#REF!</v>
      </c>
      <c r="E1313" t="e">
        <f>#REF!</f>
        <v>#REF!</v>
      </c>
      <c r="G1313" t="e">
        <f t="shared" si="101"/>
        <v>#REF!</v>
      </c>
      <c r="H1313" t="e">
        <f t="shared" si="102"/>
        <v>#REF!</v>
      </c>
      <c r="I1313" s="141" t="e">
        <f t="shared" si="103"/>
        <v>#REF!</v>
      </c>
      <c r="J1313" t="e">
        <f t="shared" si="104"/>
        <v>#REF!</v>
      </c>
      <c r="K1313" s="141" t="e">
        <f t="shared" si="105"/>
        <v>#REF!</v>
      </c>
    </row>
    <row r="1314" spans="1:11" hidden="1" x14ac:dyDescent="0.25">
      <c r="A1314" t="e">
        <f>#REF!</f>
        <v>#REF!</v>
      </c>
      <c r="B1314" t="e">
        <f>#REF!</f>
        <v>#REF!</v>
      </c>
      <c r="C1314" t="e">
        <f>#REF!</f>
        <v>#REF!</v>
      </c>
      <c r="D1314" t="e">
        <f>#REF!</f>
        <v>#REF!</v>
      </c>
      <c r="E1314" t="e">
        <f>#REF!</f>
        <v>#REF!</v>
      </c>
      <c r="G1314" t="e">
        <f t="shared" si="101"/>
        <v>#REF!</v>
      </c>
      <c r="H1314" t="e">
        <f t="shared" si="102"/>
        <v>#REF!</v>
      </c>
      <c r="I1314" s="141" t="e">
        <f t="shared" si="103"/>
        <v>#REF!</v>
      </c>
      <c r="J1314" t="e">
        <f t="shared" si="104"/>
        <v>#REF!</v>
      </c>
      <c r="K1314" s="141" t="e">
        <f t="shared" si="105"/>
        <v>#REF!</v>
      </c>
    </row>
    <row r="1315" spans="1:11" hidden="1" x14ac:dyDescent="0.25">
      <c r="A1315" t="e">
        <f>#REF!</f>
        <v>#REF!</v>
      </c>
      <c r="B1315" t="e">
        <f>#REF!</f>
        <v>#REF!</v>
      </c>
      <c r="C1315" t="e">
        <f>#REF!</f>
        <v>#REF!</v>
      </c>
      <c r="D1315" t="e">
        <f>#REF!</f>
        <v>#REF!</v>
      </c>
      <c r="E1315" t="e">
        <f>#REF!</f>
        <v>#REF!</v>
      </c>
      <c r="G1315" t="e">
        <f t="shared" si="101"/>
        <v>#REF!</v>
      </c>
      <c r="H1315" t="e">
        <f t="shared" si="102"/>
        <v>#REF!</v>
      </c>
      <c r="I1315" s="141" t="e">
        <f t="shared" si="103"/>
        <v>#REF!</v>
      </c>
      <c r="J1315" t="e">
        <f t="shared" si="104"/>
        <v>#REF!</v>
      </c>
      <c r="K1315" s="141" t="e">
        <f t="shared" si="105"/>
        <v>#REF!</v>
      </c>
    </row>
    <row r="1316" spans="1:11" hidden="1" x14ac:dyDescent="0.25">
      <c r="A1316" t="e">
        <f>#REF!</f>
        <v>#REF!</v>
      </c>
      <c r="B1316" t="e">
        <f>#REF!</f>
        <v>#REF!</v>
      </c>
      <c r="C1316" t="e">
        <f>#REF!</f>
        <v>#REF!</v>
      </c>
      <c r="D1316" t="e">
        <f>#REF!</f>
        <v>#REF!</v>
      </c>
      <c r="E1316" t="e">
        <f>#REF!</f>
        <v>#REF!</v>
      </c>
      <c r="G1316" t="e">
        <f t="shared" si="101"/>
        <v>#REF!</v>
      </c>
      <c r="H1316" t="e">
        <f t="shared" si="102"/>
        <v>#REF!</v>
      </c>
      <c r="I1316" s="141" t="e">
        <f t="shared" si="103"/>
        <v>#REF!</v>
      </c>
      <c r="J1316" t="e">
        <f t="shared" si="104"/>
        <v>#REF!</v>
      </c>
      <c r="K1316" s="141" t="e">
        <f t="shared" si="105"/>
        <v>#REF!</v>
      </c>
    </row>
    <row r="1317" spans="1:11" hidden="1" x14ac:dyDescent="0.25">
      <c r="A1317" t="e">
        <f>#REF!</f>
        <v>#REF!</v>
      </c>
      <c r="B1317" t="e">
        <f>#REF!</f>
        <v>#REF!</v>
      </c>
      <c r="C1317" t="e">
        <f>#REF!</f>
        <v>#REF!</v>
      </c>
      <c r="D1317" t="e">
        <f>#REF!</f>
        <v>#REF!</v>
      </c>
      <c r="E1317" t="e">
        <f>#REF!</f>
        <v>#REF!</v>
      </c>
      <c r="G1317" t="e">
        <f t="shared" si="101"/>
        <v>#REF!</v>
      </c>
      <c r="H1317" t="e">
        <f t="shared" si="102"/>
        <v>#REF!</v>
      </c>
      <c r="I1317" s="141" t="e">
        <f t="shared" si="103"/>
        <v>#REF!</v>
      </c>
      <c r="J1317" t="e">
        <f t="shared" si="104"/>
        <v>#REF!</v>
      </c>
      <c r="K1317" s="141" t="e">
        <f t="shared" si="105"/>
        <v>#REF!</v>
      </c>
    </row>
    <row r="1318" spans="1:11" hidden="1" x14ac:dyDescent="0.25">
      <c r="A1318" t="e">
        <f>#REF!</f>
        <v>#REF!</v>
      </c>
      <c r="B1318" t="e">
        <f>#REF!</f>
        <v>#REF!</v>
      </c>
      <c r="C1318" t="e">
        <f>#REF!</f>
        <v>#REF!</v>
      </c>
      <c r="D1318" t="e">
        <f>#REF!</f>
        <v>#REF!</v>
      </c>
      <c r="E1318" t="e">
        <f>#REF!</f>
        <v>#REF!</v>
      </c>
      <c r="G1318" t="e">
        <f t="shared" si="101"/>
        <v>#REF!</v>
      </c>
      <c r="H1318" t="e">
        <f t="shared" si="102"/>
        <v>#REF!</v>
      </c>
      <c r="I1318" s="141" t="e">
        <f t="shared" si="103"/>
        <v>#REF!</v>
      </c>
      <c r="J1318" t="e">
        <f t="shared" si="104"/>
        <v>#REF!</v>
      </c>
      <c r="K1318" s="141" t="e">
        <f t="shared" si="105"/>
        <v>#REF!</v>
      </c>
    </row>
    <row r="1319" spans="1:11" hidden="1" x14ac:dyDescent="0.25">
      <c r="A1319" t="e">
        <f>#REF!</f>
        <v>#REF!</v>
      </c>
      <c r="B1319" t="e">
        <f>#REF!</f>
        <v>#REF!</v>
      </c>
      <c r="C1319" t="e">
        <f>#REF!</f>
        <v>#REF!</v>
      </c>
      <c r="D1319" t="e">
        <f>#REF!</f>
        <v>#REF!</v>
      </c>
      <c r="E1319" t="e">
        <f>#REF!</f>
        <v>#REF!</v>
      </c>
      <c r="G1319" t="e">
        <f t="shared" si="101"/>
        <v>#REF!</v>
      </c>
      <c r="H1319" t="e">
        <f t="shared" si="102"/>
        <v>#REF!</v>
      </c>
      <c r="I1319" s="141" t="e">
        <f t="shared" si="103"/>
        <v>#REF!</v>
      </c>
      <c r="J1319" t="e">
        <f t="shared" si="104"/>
        <v>#REF!</v>
      </c>
      <c r="K1319" s="141" t="e">
        <f t="shared" si="105"/>
        <v>#REF!</v>
      </c>
    </row>
    <row r="1320" spans="1:11" hidden="1" x14ac:dyDescent="0.25">
      <c r="A1320" t="e">
        <f>#REF!</f>
        <v>#REF!</v>
      </c>
      <c r="B1320" t="e">
        <f>#REF!</f>
        <v>#REF!</v>
      </c>
      <c r="C1320" t="e">
        <f>#REF!</f>
        <v>#REF!</v>
      </c>
      <c r="D1320" t="e">
        <f>#REF!</f>
        <v>#REF!</v>
      </c>
      <c r="E1320" t="e">
        <f>#REF!</f>
        <v>#REF!</v>
      </c>
      <c r="G1320" t="e">
        <f t="shared" si="101"/>
        <v>#REF!</v>
      </c>
      <c r="H1320" t="e">
        <f t="shared" si="102"/>
        <v>#REF!</v>
      </c>
      <c r="I1320" s="141" t="e">
        <f t="shared" si="103"/>
        <v>#REF!</v>
      </c>
      <c r="J1320" t="e">
        <f t="shared" si="104"/>
        <v>#REF!</v>
      </c>
      <c r="K1320" s="141" t="e">
        <f t="shared" si="105"/>
        <v>#REF!</v>
      </c>
    </row>
    <row r="1321" spans="1:11" hidden="1" x14ac:dyDescent="0.25">
      <c r="A1321" t="e">
        <f>#REF!</f>
        <v>#REF!</v>
      </c>
      <c r="B1321" t="e">
        <f>#REF!</f>
        <v>#REF!</v>
      </c>
      <c r="C1321" t="e">
        <f>#REF!</f>
        <v>#REF!</v>
      </c>
      <c r="D1321" t="e">
        <f>#REF!</f>
        <v>#REF!</v>
      </c>
      <c r="E1321" t="e">
        <f>#REF!</f>
        <v>#REF!</v>
      </c>
      <c r="G1321" t="e">
        <f t="shared" si="101"/>
        <v>#REF!</v>
      </c>
      <c r="H1321" t="e">
        <f t="shared" si="102"/>
        <v>#REF!</v>
      </c>
      <c r="I1321" s="141" t="e">
        <f t="shared" si="103"/>
        <v>#REF!</v>
      </c>
      <c r="J1321" t="e">
        <f t="shared" si="104"/>
        <v>#REF!</v>
      </c>
      <c r="K1321" s="141" t="e">
        <f t="shared" si="105"/>
        <v>#REF!</v>
      </c>
    </row>
    <row r="1322" spans="1:11" hidden="1" x14ac:dyDescent="0.25">
      <c r="A1322" t="e">
        <f>#REF!</f>
        <v>#REF!</v>
      </c>
      <c r="B1322" t="e">
        <f>#REF!</f>
        <v>#REF!</v>
      </c>
      <c r="C1322" t="e">
        <f>#REF!</f>
        <v>#REF!</v>
      </c>
      <c r="D1322" t="e">
        <f>#REF!</f>
        <v>#REF!</v>
      </c>
      <c r="E1322" t="e">
        <f>#REF!</f>
        <v>#REF!</v>
      </c>
      <c r="G1322" t="e">
        <f t="shared" si="101"/>
        <v>#REF!</v>
      </c>
      <c r="H1322" t="e">
        <f t="shared" si="102"/>
        <v>#REF!</v>
      </c>
      <c r="I1322" s="141" t="e">
        <f t="shared" si="103"/>
        <v>#REF!</v>
      </c>
      <c r="J1322" t="e">
        <f t="shared" si="104"/>
        <v>#REF!</v>
      </c>
      <c r="K1322" s="141" t="e">
        <f t="shared" si="105"/>
        <v>#REF!</v>
      </c>
    </row>
    <row r="1323" spans="1:11" hidden="1" x14ac:dyDescent="0.25">
      <c r="A1323" t="e">
        <f>#REF!</f>
        <v>#REF!</v>
      </c>
      <c r="B1323" t="e">
        <f>#REF!</f>
        <v>#REF!</v>
      </c>
      <c r="C1323" t="e">
        <f>#REF!</f>
        <v>#REF!</v>
      </c>
      <c r="D1323" t="e">
        <f>#REF!</f>
        <v>#REF!</v>
      </c>
      <c r="E1323" t="e">
        <f>#REF!</f>
        <v>#REF!</v>
      </c>
      <c r="G1323" t="e">
        <f t="shared" si="101"/>
        <v>#REF!</v>
      </c>
      <c r="H1323" t="e">
        <f t="shared" si="102"/>
        <v>#REF!</v>
      </c>
      <c r="I1323" s="141" t="e">
        <f t="shared" si="103"/>
        <v>#REF!</v>
      </c>
      <c r="J1323" t="e">
        <f t="shared" si="104"/>
        <v>#REF!</v>
      </c>
      <c r="K1323" s="141" t="e">
        <f t="shared" si="105"/>
        <v>#REF!</v>
      </c>
    </row>
    <row r="1324" spans="1:11" hidden="1" x14ac:dyDescent="0.25">
      <c r="A1324" t="e">
        <f>#REF!</f>
        <v>#REF!</v>
      </c>
      <c r="B1324" t="e">
        <f>#REF!</f>
        <v>#REF!</v>
      </c>
      <c r="C1324" t="e">
        <f>#REF!</f>
        <v>#REF!</v>
      </c>
      <c r="D1324" t="e">
        <f>#REF!</f>
        <v>#REF!</v>
      </c>
      <c r="E1324" t="e">
        <f>#REF!</f>
        <v>#REF!</v>
      </c>
      <c r="G1324" t="e">
        <f t="shared" si="101"/>
        <v>#REF!</v>
      </c>
      <c r="H1324" t="e">
        <f t="shared" si="102"/>
        <v>#REF!</v>
      </c>
      <c r="I1324" s="141" t="e">
        <f t="shared" si="103"/>
        <v>#REF!</v>
      </c>
      <c r="J1324" t="e">
        <f t="shared" si="104"/>
        <v>#REF!</v>
      </c>
      <c r="K1324" s="141" t="e">
        <f t="shared" si="105"/>
        <v>#REF!</v>
      </c>
    </row>
    <row r="1325" spans="1:11" hidden="1" x14ac:dyDescent="0.25">
      <c r="A1325" t="e">
        <f>#REF!</f>
        <v>#REF!</v>
      </c>
      <c r="B1325" t="e">
        <f>#REF!</f>
        <v>#REF!</v>
      </c>
      <c r="C1325" t="e">
        <f>#REF!</f>
        <v>#REF!</v>
      </c>
      <c r="D1325" t="e">
        <f>#REF!</f>
        <v>#REF!</v>
      </c>
      <c r="E1325" t="e">
        <f>#REF!</f>
        <v>#REF!</v>
      </c>
      <c r="G1325" t="e">
        <f t="shared" si="101"/>
        <v>#REF!</v>
      </c>
      <c r="H1325" t="e">
        <f t="shared" si="102"/>
        <v>#REF!</v>
      </c>
      <c r="I1325" s="141" t="e">
        <f t="shared" si="103"/>
        <v>#REF!</v>
      </c>
      <c r="J1325" t="e">
        <f t="shared" si="104"/>
        <v>#REF!</v>
      </c>
      <c r="K1325" s="141" t="e">
        <f t="shared" si="105"/>
        <v>#REF!</v>
      </c>
    </row>
    <row r="1326" spans="1:11" hidden="1" x14ac:dyDescent="0.25">
      <c r="A1326" t="e">
        <f>#REF!</f>
        <v>#REF!</v>
      </c>
      <c r="B1326" t="e">
        <f>#REF!</f>
        <v>#REF!</v>
      </c>
      <c r="C1326" t="e">
        <f>#REF!</f>
        <v>#REF!</v>
      </c>
      <c r="D1326" t="e">
        <f>#REF!</f>
        <v>#REF!</v>
      </c>
      <c r="E1326" t="e">
        <f>#REF!</f>
        <v>#REF!</v>
      </c>
      <c r="G1326" t="e">
        <f t="shared" si="101"/>
        <v>#REF!</v>
      </c>
      <c r="H1326" t="e">
        <f t="shared" si="102"/>
        <v>#REF!</v>
      </c>
      <c r="I1326" s="141" t="e">
        <f t="shared" si="103"/>
        <v>#REF!</v>
      </c>
      <c r="J1326" t="e">
        <f t="shared" si="104"/>
        <v>#REF!</v>
      </c>
      <c r="K1326" s="141" t="e">
        <f t="shared" si="105"/>
        <v>#REF!</v>
      </c>
    </row>
    <row r="1327" spans="1:11" hidden="1" x14ac:dyDescent="0.25">
      <c r="A1327" t="e">
        <f>#REF!</f>
        <v>#REF!</v>
      </c>
      <c r="B1327" t="e">
        <f>#REF!</f>
        <v>#REF!</v>
      </c>
      <c r="C1327" t="e">
        <f>#REF!</f>
        <v>#REF!</v>
      </c>
      <c r="D1327" t="e">
        <f>#REF!</f>
        <v>#REF!</v>
      </c>
      <c r="E1327" t="e">
        <f>#REF!</f>
        <v>#REF!</v>
      </c>
      <c r="G1327" t="e">
        <f t="shared" si="101"/>
        <v>#REF!</v>
      </c>
      <c r="H1327" t="e">
        <f t="shared" si="102"/>
        <v>#REF!</v>
      </c>
      <c r="I1327" s="141" t="e">
        <f t="shared" si="103"/>
        <v>#REF!</v>
      </c>
      <c r="J1327" t="e">
        <f t="shared" si="104"/>
        <v>#REF!</v>
      </c>
      <c r="K1327" s="141" t="e">
        <f t="shared" si="105"/>
        <v>#REF!</v>
      </c>
    </row>
    <row r="1328" spans="1:11" hidden="1" x14ac:dyDescent="0.25">
      <c r="A1328" t="e">
        <f>#REF!</f>
        <v>#REF!</v>
      </c>
      <c r="B1328" t="e">
        <f>#REF!</f>
        <v>#REF!</v>
      </c>
      <c r="C1328" t="e">
        <f>#REF!</f>
        <v>#REF!</v>
      </c>
      <c r="D1328" t="e">
        <f>#REF!</f>
        <v>#REF!</v>
      </c>
      <c r="E1328" t="e">
        <f>#REF!</f>
        <v>#REF!</v>
      </c>
      <c r="G1328" t="e">
        <f t="shared" si="101"/>
        <v>#REF!</v>
      </c>
      <c r="H1328" t="e">
        <f t="shared" si="102"/>
        <v>#REF!</v>
      </c>
      <c r="I1328" s="141" t="e">
        <f t="shared" si="103"/>
        <v>#REF!</v>
      </c>
      <c r="J1328" t="e">
        <f t="shared" si="104"/>
        <v>#REF!</v>
      </c>
      <c r="K1328" s="141" t="e">
        <f t="shared" si="105"/>
        <v>#REF!</v>
      </c>
    </row>
    <row r="1329" spans="1:11" hidden="1" x14ac:dyDescent="0.25">
      <c r="A1329" t="e">
        <f>#REF!</f>
        <v>#REF!</v>
      </c>
      <c r="B1329" t="e">
        <f>#REF!</f>
        <v>#REF!</v>
      </c>
      <c r="C1329" t="e">
        <f>#REF!</f>
        <v>#REF!</v>
      </c>
      <c r="D1329" t="e">
        <f>#REF!</f>
        <v>#REF!</v>
      </c>
      <c r="E1329" t="e">
        <f>#REF!</f>
        <v>#REF!</v>
      </c>
      <c r="G1329" t="e">
        <f t="shared" si="101"/>
        <v>#REF!</v>
      </c>
      <c r="H1329" t="e">
        <f t="shared" si="102"/>
        <v>#REF!</v>
      </c>
      <c r="I1329" s="141" t="e">
        <f t="shared" si="103"/>
        <v>#REF!</v>
      </c>
      <c r="J1329" t="e">
        <f t="shared" si="104"/>
        <v>#REF!</v>
      </c>
      <c r="K1329" s="141" t="e">
        <f t="shared" si="105"/>
        <v>#REF!</v>
      </c>
    </row>
    <row r="1330" spans="1:11" hidden="1" x14ac:dyDescent="0.25">
      <c r="A1330" t="e">
        <f>#REF!</f>
        <v>#REF!</v>
      </c>
      <c r="B1330" t="e">
        <f>#REF!</f>
        <v>#REF!</v>
      </c>
      <c r="C1330" t="e">
        <f>#REF!</f>
        <v>#REF!</v>
      </c>
      <c r="D1330" t="e">
        <f>#REF!</f>
        <v>#REF!</v>
      </c>
      <c r="E1330" t="e">
        <f>#REF!</f>
        <v>#REF!</v>
      </c>
      <c r="G1330" t="e">
        <f t="shared" si="101"/>
        <v>#REF!</v>
      </c>
      <c r="H1330" t="e">
        <f t="shared" si="102"/>
        <v>#REF!</v>
      </c>
      <c r="I1330" s="141" t="e">
        <f t="shared" si="103"/>
        <v>#REF!</v>
      </c>
      <c r="J1330" t="e">
        <f t="shared" si="104"/>
        <v>#REF!</v>
      </c>
      <c r="K1330" s="141" t="e">
        <f t="shared" si="105"/>
        <v>#REF!</v>
      </c>
    </row>
    <row r="1331" spans="1:11" hidden="1" x14ac:dyDescent="0.25">
      <c r="A1331" t="e">
        <f>#REF!</f>
        <v>#REF!</v>
      </c>
      <c r="B1331" t="e">
        <f>#REF!</f>
        <v>#REF!</v>
      </c>
      <c r="C1331" t="e">
        <f>#REF!</f>
        <v>#REF!</v>
      </c>
      <c r="D1331" t="e">
        <f>#REF!</f>
        <v>#REF!</v>
      </c>
      <c r="E1331" t="e">
        <f>#REF!</f>
        <v>#REF!</v>
      </c>
      <c r="G1331" t="e">
        <f t="shared" si="101"/>
        <v>#REF!</v>
      </c>
      <c r="H1331" t="e">
        <f t="shared" si="102"/>
        <v>#REF!</v>
      </c>
      <c r="I1331" s="141" t="e">
        <f t="shared" si="103"/>
        <v>#REF!</v>
      </c>
      <c r="J1331" t="e">
        <f t="shared" si="104"/>
        <v>#REF!</v>
      </c>
      <c r="K1331" s="141" t="e">
        <f t="shared" si="105"/>
        <v>#REF!</v>
      </c>
    </row>
    <row r="1332" spans="1:11" hidden="1" x14ac:dyDescent="0.25">
      <c r="A1332" t="e">
        <f>#REF!</f>
        <v>#REF!</v>
      </c>
      <c r="B1332" t="e">
        <f>#REF!</f>
        <v>#REF!</v>
      </c>
      <c r="C1332" t="e">
        <f>#REF!</f>
        <v>#REF!</v>
      </c>
      <c r="D1332" t="e">
        <f>#REF!</f>
        <v>#REF!</v>
      </c>
      <c r="E1332" t="e">
        <f>#REF!</f>
        <v>#REF!</v>
      </c>
      <c r="G1332" t="e">
        <f t="shared" si="101"/>
        <v>#REF!</v>
      </c>
      <c r="H1332" t="e">
        <f t="shared" si="102"/>
        <v>#REF!</v>
      </c>
      <c r="I1332" s="141" t="e">
        <f t="shared" si="103"/>
        <v>#REF!</v>
      </c>
      <c r="J1332" t="e">
        <f t="shared" si="104"/>
        <v>#REF!</v>
      </c>
      <c r="K1332" s="141" t="e">
        <f t="shared" si="105"/>
        <v>#REF!</v>
      </c>
    </row>
    <row r="1333" spans="1:11" hidden="1" x14ac:dyDescent="0.25">
      <c r="A1333" t="e">
        <f>#REF!</f>
        <v>#REF!</v>
      </c>
      <c r="B1333" t="e">
        <f>#REF!</f>
        <v>#REF!</v>
      </c>
      <c r="C1333" t="e">
        <f>#REF!</f>
        <v>#REF!</v>
      </c>
      <c r="D1333" t="e">
        <f>#REF!</f>
        <v>#REF!</v>
      </c>
      <c r="E1333" t="e">
        <f>#REF!</f>
        <v>#REF!</v>
      </c>
      <c r="G1333" t="e">
        <f t="shared" si="101"/>
        <v>#REF!</v>
      </c>
      <c r="H1333" t="e">
        <f t="shared" si="102"/>
        <v>#REF!</v>
      </c>
      <c r="I1333" s="141" t="e">
        <f t="shared" si="103"/>
        <v>#REF!</v>
      </c>
      <c r="J1333" t="e">
        <f t="shared" si="104"/>
        <v>#REF!</v>
      </c>
      <c r="K1333" s="141" t="e">
        <f t="shared" si="105"/>
        <v>#REF!</v>
      </c>
    </row>
    <row r="1334" spans="1:11" hidden="1" x14ac:dyDescent="0.25">
      <c r="A1334" t="e">
        <f>#REF!</f>
        <v>#REF!</v>
      </c>
      <c r="B1334" t="e">
        <f>#REF!</f>
        <v>#REF!</v>
      </c>
      <c r="C1334" t="e">
        <f>#REF!</f>
        <v>#REF!</v>
      </c>
      <c r="D1334" t="e">
        <f>#REF!</f>
        <v>#REF!</v>
      </c>
      <c r="E1334" t="e">
        <f>#REF!</f>
        <v>#REF!</v>
      </c>
      <c r="G1334" t="e">
        <f t="shared" si="101"/>
        <v>#REF!</v>
      </c>
      <c r="H1334" t="e">
        <f t="shared" si="102"/>
        <v>#REF!</v>
      </c>
      <c r="I1334" s="141" t="e">
        <f t="shared" si="103"/>
        <v>#REF!</v>
      </c>
      <c r="J1334" t="e">
        <f t="shared" si="104"/>
        <v>#REF!</v>
      </c>
      <c r="K1334" s="141" t="e">
        <f t="shared" si="105"/>
        <v>#REF!</v>
      </c>
    </row>
    <row r="1335" spans="1:11" hidden="1" x14ac:dyDescent="0.25">
      <c r="A1335" t="e">
        <f>#REF!</f>
        <v>#REF!</v>
      </c>
      <c r="B1335" t="e">
        <f>#REF!</f>
        <v>#REF!</v>
      </c>
      <c r="C1335" t="e">
        <f>#REF!</f>
        <v>#REF!</v>
      </c>
      <c r="D1335" t="e">
        <f>#REF!</f>
        <v>#REF!</v>
      </c>
      <c r="E1335" t="e">
        <f>#REF!</f>
        <v>#REF!</v>
      </c>
      <c r="G1335" t="e">
        <f t="shared" si="101"/>
        <v>#REF!</v>
      </c>
      <c r="H1335" t="e">
        <f t="shared" si="102"/>
        <v>#REF!</v>
      </c>
      <c r="I1335" s="141" t="e">
        <f t="shared" si="103"/>
        <v>#REF!</v>
      </c>
      <c r="J1335" t="e">
        <f t="shared" si="104"/>
        <v>#REF!</v>
      </c>
      <c r="K1335" s="141" t="e">
        <f t="shared" si="105"/>
        <v>#REF!</v>
      </c>
    </row>
    <row r="1336" spans="1:11" hidden="1" x14ac:dyDescent="0.25">
      <c r="A1336" t="e">
        <f>#REF!</f>
        <v>#REF!</v>
      </c>
      <c r="B1336" t="e">
        <f>#REF!</f>
        <v>#REF!</v>
      </c>
      <c r="C1336" t="e">
        <f>#REF!</f>
        <v>#REF!</v>
      </c>
      <c r="D1336" t="e">
        <f>#REF!</f>
        <v>#REF!</v>
      </c>
      <c r="E1336" t="e">
        <f>#REF!</f>
        <v>#REF!</v>
      </c>
      <c r="G1336" t="e">
        <f t="shared" si="101"/>
        <v>#REF!</v>
      </c>
      <c r="H1336" t="e">
        <f t="shared" si="102"/>
        <v>#REF!</v>
      </c>
      <c r="I1336" s="141" t="e">
        <f t="shared" si="103"/>
        <v>#REF!</v>
      </c>
      <c r="J1336" t="e">
        <f t="shared" si="104"/>
        <v>#REF!</v>
      </c>
      <c r="K1336" s="141" t="e">
        <f t="shared" si="105"/>
        <v>#REF!</v>
      </c>
    </row>
    <row r="1337" spans="1:11" hidden="1" x14ac:dyDescent="0.25">
      <c r="A1337" t="e">
        <f>#REF!</f>
        <v>#REF!</v>
      </c>
      <c r="B1337" t="e">
        <f>#REF!</f>
        <v>#REF!</v>
      </c>
      <c r="C1337" t="e">
        <f>#REF!</f>
        <v>#REF!</v>
      </c>
      <c r="D1337" t="e">
        <f>#REF!</f>
        <v>#REF!</v>
      </c>
      <c r="E1337" t="e">
        <f>#REF!</f>
        <v>#REF!</v>
      </c>
      <c r="G1337" t="e">
        <f t="shared" si="101"/>
        <v>#REF!</v>
      </c>
      <c r="H1337" t="e">
        <f t="shared" si="102"/>
        <v>#REF!</v>
      </c>
      <c r="I1337" s="141" t="e">
        <f t="shared" si="103"/>
        <v>#REF!</v>
      </c>
      <c r="J1337" t="e">
        <f t="shared" si="104"/>
        <v>#REF!</v>
      </c>
      <c r="K1337" s="141" t="e">
        <f t="shared" si="105"/>
        <v>#REF!</v>
      </c>
    </row>
    <row r="1338" spans="1:11" hidden="1" x14ac:dyDescent="0.25">
      <c r="A1338" t="e">
        <f>#REF!</f>
        <v>#REF!</v>
      </c>
      <c r="B1338" t="e">
        <f>#REF!</f>
        <v>#REF!</v>
      </c>
      <c r="C1338" t="e">
        <f>#REF!</f>
        <v>#REF!</v>
      </c>
      <c r="D1338" t="e">
        <f>#REF!</f>
        <v>#REF!</v>
      </c>
      <c r="E1338" t="e">
        <f>#REF!</f>
        <v>#REF!</v>
      </c>
      <c r="G1338" t="e">
        <f t="shared" si="101"/>
        <v>#REF!</v>
      </c>
      <c r="H1338" t="e">
        <f t="shared" si="102"/>
        <v>#REF!</v>
      </c>
      <c r="I1338" s="141" t="e">
        <f t="shared" si="103"/>
        <v>#REF!</v>
      </c>
      <c r="J1338" t="e">
        <f t="shared" si="104"/>
        <v>#REF!</v>
      </c>
      <c r="K1338" s="141" t="e">
        <f t="shared" si="105"/>
        <v>#REF!</v>
      </c>
    </row>
    <row r="1339" spans="1:11" hidden="1" x14ac:dyDescent="0.25">
      <c r="A1339" t="e">
        <f>#REF!</f>
        <v>#REF!</v>
      </c>
      <c r="B1339" t="e">
        <f>#REF!</f>
        <v>#REF!</v>
      </c>
      <c r="C1339" t="e">
        <f>#REF!</f>
        <v>#REF!</v>
      </c>
      <c r="D1339" t="e">
        <f>#REF!</f>
        <v>#REF!</v>
      </c>
      <c r="E1339" t="e">
        <f>#REF!</f>
        <v>#REF!</v>
      </c>
      <c r="G1339" t="e">
        <f t="shared" si="101"/>
        <v>#REF!</v>
      </c>
      <c r="H1339" t="e">
        <f t="shared" si="102"/>
        <v>#REF!</v>
      </c>
      <c r="I1339" s="141" t="e">
        <f t="shared" si="103"/>
        <v>#REF!</v>
      </c>
      <c r="J1339" t="e">
        <f t="shared" si="104"/>
        <v>#REF!</v>
      </c>
      <c r="K1339" s="141" t="e">
        <f t="shared" si="105"/>
        <v>#REF!</v>
      </c>
    </row>
    <row r="1340" spans="1:11" hidden="1" x14ac:dyDescent="0.25">
      <c r="A1340" t="e">
        <f>#REF!</f>
        <v>#REF!</v>
      </c>
      <c r="B1340" t="e">
        <f>#REF!</f>
        <v>#REF!</v>
      </c>
      <c r="C1340" t="e">
        <f>#REF!</f>
        <v>#REF!</v>
      </c>
      <c r="D1340" t="e">
        <f>#REF!</f>
        <v>#REF!</v>
      </c>
      <c r="E1340" t="e">
        <f>#REF!</f>
        <v>#REF!</v>
      </c>
      <c r="G1340" t="e">
        <f t="shared" si="101"/>
        <v>#REF!</v>
      </c>
      <c r="H1340" t="e">
        <f t="shared" si="102"/>
        <v>#REF!</v>
      </c>
      <c r="I1340" s="141" t="e">
        <f t="shared" si="103"/>
        <v>#REF!</v>
      </c>
      <c r="J1340" t="e">
        <f t="shared" si="104"/>
        <v>#REF!</v>
      </c>
      <c r="K1340" s="141" t="e">
        <f t="shared" si="105"/>
        <v>#REF!</v>
      </c>
    </row>
    <row r="1341" spans="1:11" hidden="1" x14ac:dyDescent="0.25">
      <c r="A1341" t="e">
        <f>#REF!</f>
        <v>#REF!</v>
      </c>
      <c r="B1341" t="e">
        <f>#REF!</f>
        <v>#REF!</v>
      </c>
      <c r="C1341" t="e">
        <f>#REF!</f>
        <v>#REF!</v>
      </c>
      <c r="D1341" t="e">
        <f>#REF!</f>
        <v>#REF!</v>
      </c>
      <c r="E1341" t="e">
        <f>#REF!</f>
        <v>#REF!</v>
      </c>
      <c r="G1341" t="e">
        <f t="shared" si="101"/>
        <v>#REF!</v>
      </c>
      <c r="H1341" t="e">
        <f t="shared" si="102"/>
        <v>#REF!</v>
      </c>
      <c r="I1341" s="141" t="e">
        <f t="shared" si="103"/>
        <v>#REF!</v>
      </c>
      <c r="J1341" t="e">
        <f t="shared" si="104"/>
        <v>#REF!</v>
      </c>
      <c r="K1341" s="141" t="e">
        <f t="shared" si="105"/>
        <v>#REF!</v>
      </c>
    </row>
    <row r="1342" spans="1:11" hidden="1" x14ac:dyDescent="0.25">
      <c r="A1342" t="e">
        <f>#REF!</f>
        <v>#REF!</v>
      </c>
      <c r="B1342" t="e">
        <f>#REF!</f>
        <v>#REF!</v>
      </c>
      <c r="C1342" t="e">
        <f>#REF!</f>
        <v>#REF!</v>
      </c>
      <c r="D1342" t="e">
        <f>#REF!</f>
        <v>#REF!</v>
      </c>
      <c r="E1342" t="e">
        <f>#REF!</f>
        <v>#REF!</v>
      </c>
      <c r="G1342" t="e">
        <f t="shared" si="101"/>
        <v>#REF!</v>
      </c>
      <c r="H1342" t="e">
        <f t="shared" si="102"/>
        <v>#REF!</v>
      </c>
      <c r="I1342" s="141" t="e">
        <f t="shared" si="103"/>
        <v>#REF!</v>
      </c>
      <c r="J1342" t="e">
        <f t="shared" si="104"/>
        <v>#REF!</v>
      </c>
      <c r="K1342" s="141" t="e">
        <f t="shared" si="105"/>
        <v>#REF!</v>
      </c>
    </row>
    <row r="1343" spans="1:11" hidden="1" x14ac:dyDescent="0.25">
      <c r="A1343" t="e">
        <f>#REF!</f>
        <v>#REF!</v>
      </c>
      <c r="B1343" t="e">
        <f>#REF!</f>
        <v>#REF!</v>
      </c>
      <c r="C1343" t="e">
        <f>#REF!</f>
        <v>#REF!</v>
      </c>
      <c r="D1343" t="e">
        <f>#REF!</f>
        <v>#REF!</v>
      </c>
      <c r="E1343" t="e">
        <f>#REF!</f>
        <v>#REF!</v>
      </c>
      <c r="G1343" t="e">
        <f t="shared" si="101"/>
        <v>#REF!</v>
      </c>
      <c r="H1343" t="e">
        <f t="shared" si="102"/>
        <v>#REF!</v>
      </c>
      <c r="I1343" s="141" t="e">
        <f t="shared" si="103"/>
        <v>#REF!</v>
      </c>
      <c r="J1343" t="e">
        <f t="shared" si="104"/>
        <v>#REF!</v>
      </c>
      <c r="K1343" s="141" t="e">
        <f t="shared" si="105"/>
        <v>#REF!</v>
      </c>
    </row>
    <row r="1344" spans="1:11" hidden="1" x14ac:dyDescent="0.25">
      <c r="A1344" t="e">
        <f>#REF!</f>
        <v>#REF!</v>
      </c>
      <c r="B1344" t="e">
        <f>#REF!</f>
        <v>#REF!</v>
      </c>
      <c r="C1344" t="e">
        <f>#REF!</f>
        <v>#REF!</v>
      </c>
      <c r="D1344" t="e">
        <f>#REF!</f>
        <v>#REF!</v>
      </c>
      <c r="E1344" t="e">
        <f>#REF!</f>
        <v>#REF!</v>
      </c>
      <c r="G1344" t="e">
        <f t="shared" si="101"/>
        <v>#REF!</v>
      </c>
      <c r="H1344" t="e">
        <f t="shared" si="102"/>
        <v>#REF!</v>
      </c>
      <c r="I1344" s="141" t="e">
        <f t="shared" si="103"/>
        <v>#REF!</v>
      </c>
      <c r="J1344" t="e">
        <f t="shared" si="104"/>
        <v>#REF!</v>
      </c>
      <c r="K1344" s="141" t="e">
        <f t="shared" si="105"/>
        <v>#REF!</v>
      </c>
    </row>
    <row r="1345" spans="1:11" hidden="1" x14ac:dyDescent="0.25">
      <c r="A1345" t="e">
        <f>#REF!</f>
        <v>#REF!</v>
      </c>
      <c r="B1345" t="e">
        <f>#REF!</f>
        <v>#REF!</v>
      </c>
      <c r="C1345" t="e">
        <f>#REF!</f>
        <v>#REF!</v>
      </c>
      <c r="D1345" t="e">
        <f>#REF!</f>
        <v>#REF!</v>
      </c>
      <c r="E1345" t="e">
        <f>#REF!</f>
        <v>#REF!</v>
      </c>
      <c r="G1345" t="e">
        <f t="shared" si="101"/>
        <v>#REF!</v>
      </c>
      <c r="H1345" t="e">
        <f t="shared" si="102"/>
        <v>#REF!</v>
      </c>
      <c r="I1345" s="141" t="e">
        <f t="shared" si="103"/>
        <v>#REF!</v>
      </c>
      <c r="J1345" t="e">
        <f t="shared" si="104"/>
        <v>#REF!</v>
      </c>
      <c r="K1345" s="141" t="e">
        <f t="shared" si="105"/>
        <v>#REF!</v>
      </c>
    </row>
    <row r="1346" spans="1:11" hidden="1" x14ac:dyDescent="0.25">
      <c r="A1346" t="e">
        <f>#REF!</f>
        <v>#REF!</v>
      </c>
      <c r="B1346" t="e">
        <f>#REF!</f>
        <v>#REF!</v>
      </c>
      <c r="C1346" t="e">
        <f>#REF!</f>
        <v>#REF!</v>
      </c>
      <c r="D1346" t="e">
        <f>#REF!</f>
        <v>#REF!</v>
      </c>
      <c r="E1346" t="e">
        <f>#REF!</f>
        <v>#REF!</v>
      </c>
      <c r="G1346" t="e">
        <f t="shared" ref="G1346:G1409" si="106">A1346</f>
        <v>#REF!</v>
      </c>
      <c r="H1346" t="e">
        <f t="shared" ref="H1346:H1409" si="107">B1346</f>
        <v>#REF!</v>
      </c>
      <c r="I1346" s="141" t="e">
        <f t="shared" ref="I1346:I1409" si="108">C1346</f>
        <v>#REF!</v>
      </c>
      <c r="J1346" t="e">
        <f t="shared" ref="J1346:J1409" si="109">D1346</f>
        <v>#REF!</v>
      </c>
      <c r="K1346" s="141" t="e">
        <f t="shared" ref="K1346:K1409" si="110">E1346</f>
        <v>#REF!</v>
      </c>
    </row>
    <row r="1347" spans="1:11" hidden="1" x14ac:dyDescent="0.25">
      <c r="A1347" t="e">
        <f>#REF!</f>
        <v>#REF!</v>
      </c>
      <c r="B1347" t="e">
        <f>#REF!</f>
        <v>#REF!</v>
      </c>
      <c r="C1347" t="e">
        <f>#REF!</f>
        <v>#REF!</v>
      </c>
      <c r="D1347" t="e">
        <f>#REF!</f>
        <v>#REF!</v>
      </c>
      <c r="E1347" t="e">
        <f>#REF!</f>
        <v>#REF!</v>
      </c>
      <c r="G1347" t="e">
        <f t="shared" si="106"/>
        <v>#REF!</v>
      </c>
      <c r="H1347" t="e">
        <f t="shared" si="107"/>
        <v>#REF!</v>
      </c>
      <c r="I1347" s="141" t="e">
        <f t="shared" si="108"/>
        <v>#REF!</v>
      </c>
      <c r="J1347" t="e">
        <f t="shared" si="109"/>
        <v>#REF!</v>
      </c>
      <c r="K1347" s="141" t="e">
        <f t="shared" si="110"/>
        <v>#REF!</v>
      </c>
    </row>
    <row r="1348" spans="1:11" hidden="1" x14ac:dyDescent="0.25">
      <c r="A1348" t="e">
        <f>#REF!</f>
        <v>#REF!</v>
      </c>
      <c r="B1348" t="e">
        <f>#REF!</f>
        <v>#REF!</v>
      </c>
      <c r="C1348" t="e">
        <f>#REF!</f>
        <v>#REF!</v>
      </c>
      <c r="D1348" t="e">
        <f>#REF!</f>
        <v>#REF!</v>
      </c>
      <c r="E1348" t="e">
        <f>#REF!</f>
        <v>#REF!</v>
      </c>
      <c r="G1348" t="e">
        <f t="shared" si="106"/>
        <v>#REF!</v>
      </c>
      <c r="H1348" t="e">
        <f t="shared" si="107"/>
        <v>#REF!</v>
      </c>
      <c r="I1348" s="141" t="e">
        <f t="shared" si="108"/>
        <v>#REF!</v>
      </c>
      <c r="J1348" t="e">
        <f t="shared" si="109"/>
        <v>#REF!</v>
      </c>
      <c r="K1348" s="141" t="e">
        <f t="shared" si="110"/>
        <v>#REF!</v>
      </c>
    </row>
    <row r="1349" spans="1:11" hidden="1" x14ac:dyDescent="0.25">
      <c r="A1349" t="e">
        <f>#REF!</f>
        <v>#REF!</v>
      </c>
      <c r="B1349" t="e">
        <f>#REF!</f>
        <v>#REF!</v>
      </c>
      <c r="C1349" t="e">
        <f>#REF!</f>
        <v>#REF!</v>
      </c>
      <c r="D1349" t="e">
        <f>#REF!</f>
        <v>#REF!</v>
      </c>
      <c r="E1349" t="e">
        <f>#REF!</f>
        <v>#REF!</v>
      </c>
      <c r="G1349" t="e">
        <f t="shared" si="106"/>
        <v>#REF!</v>
      </c>
      <c r="H1349" t="e">
        <f t="shared" si="107"/>
        <v>#REF!</v>
      </c>
      <c r="I1349" s="141" t="e">
        <f t="shared" si="108"/>
        <v>#REF!</v>
      </c>
      <c r="J1349" t="e">
        <f t="shared" si="109"/>
        <v>#REF!</v>
      </c>
      <c r="K1349" s="141" t="e">
        <f t="shared" si="110"/>
        <v>#REF!</v>
      </c>
    </row>
    <row r="1350" spans="1:11" hidden="1" x14ac:dyDescent="0.25">
      <c r="A1350" t="e">
        <f>#REF!</f>
        <v>#REF!</v>
      </c>
      <c r="B1350" t="e">
        <f>#REF!</f>
        <v>#REF!</v>
      </c>
      <c r="C1350" t="e">
        <f>#REF!</f>
        <v>#REF!</v>
      </c>
      <c r="D1350" t="e">
        <f>#REF!</f>
        <v>#REF!</v>
      </c>
      <c r="E1350" t="e">
        <f>#REF!</f>
        <v>#REF!</v>
      </c>
      <c r="G1350" t="e">
        <f t="shared" si="106"/>
        <v>#REF!</v>
      </c>
      <c r="H1350" t="e">
        <f t="shared" si="107"/>
        <v>#REF!</v>
      </c>
      <c r="I1350" s="141" t="e">
        <f t="shared" si="108"/>
        <v>#REF!</v>
      </c>
      <c r="J1350" t="e">
        <f t="shared" si="109"/>
        <v>#REF!</v>
      </c>
      <c r="K1350" s="141" t="e">
        <f t="shared" si="110"/>
        <v>#REF!</v>
      </c>
    </row>
    <row r="1351" spans="1:11" hidden="1" x14ac:dyDescent="0.25">
      <c r="A1351" t="e">
        <f>#REF!</f>
        <v>#REF!</v>
      </c>
      <c r="B1351" t="e">
        <f>#REF!</f>
        <v>#REF!</v>
      </c>
      <c r="C1351" t="e">
        <f>#REF!</f>
        <v>#REF!</v>
      </c>
      <c r="D1351" t="e">
        <f>#REF!</f>
        <v>#REF!</v>
      </c>
      <c r="E1351" t="e">
        <f>#REF!</f>
        <v>#REF!</v>
      </c>
      <c r="G1351" t="e">
        <f t="shared" si="106"/>
        <v>#REF!</v>
      </c>
      <c r="H1351" t="e">
        <f t="shared" si="107"/>
        <v>#REF!</v>
      </c>
      <c r="I1351" s="141" t="e">
        <f t="shared" si="108"/>
        <v>#REF!</v>
      </c>
      <c r="J1351" t="e">
        <f t="shared" si="109"/>
        <v>#REF!</v>
      </c>
      <c r="K1351" s="141" t="e">
        <f t="shared" si="110"/>
        <v>#REF!</v>
      </c>
    </row>
    <row r="1352" spans="1:11" hidden="1" x14ac:dyDescent="0.25">
      <c r="A1352" t="e">
        <f>#REF!</f>
        <v>#REF!</v>
      </c>
      <c r="B1352" t="e">
        <f>#REF!</f>
        <v>#REF!</v>
      </c>
      <c r="C1352" t="e">
        <f>#REF!</f>
        <v>#REF!</v>
      </c>
      <c r="D1352" t="e">
        <f>#REF!</f>
        <v>#REF!</v>
      </c>
      <c r="E1352" t="e">
        <f>#REF!</f>
        <v>#REF!</v>
      </c>
      <c r="G1352" t="e">
        <f t="shared" si="106"/>
        <v>#REF!</v>
      </c>
      <c r="H1352" t="e">
        <f t="shared" si="107"/>
        <v>#REF!</v>
      </c>
      <c r="I1352" s="141" t="e">
        <f t="shared" si="108"/>
        <v>#REF!</v>
      </c>
      <c r="J1352" t="e">
        <f t="shared" si="109"/>
        <v>#REF!</v>
      </c>
      <c r="K1352" s="141" t="e">
        <f t="shared" si="110"/>
        <v>#REF!</v>
      </c>
    </row>
    <row r="1353" spans="1:11" hidden="1" x14ac:dyDescent="0.25">
      <c r="A1353" t="e">
        <f>#REF!</f>
        <v>#REF!</v>
      </c>
      <c r="B1353" t="e">
        <f>#REF!</f>
        <v>#REF!</v>
      </c>
      <c r="C1353" t="e">
        <f>#REF!</f>
        <v>#REF!</v>
      </c>
      <c r="D1353" t="e">
        <f>#REF!</f>
        <v>#REF!</v>
      </c>
      <c r="E1353" t="e">
        <f>#REF!</f>
        <v>#REF!</v>
      </c>
      <c r="G1353" t="e">
        <f t="shared" si="106"/>
        <v>#REF!</v>
      </c>
      <c r="H1353" t="e">
        <f t="shared" si="107"/>
        <v>#REF!</v>
      </c>
      <c r="I1353" s="141" t="e">
        <f t="shared" si="108"/>
        <v>#REF!</v>
      </c>
      <c r="J1353" t="e">
        <f t="shared" si="109"/>
        <v>#REF!</v>
      </c>
      <c r="K1353" s="141" t="e">
        <f t="shared" si="110"/>
        <v>#REF!</v>
      </c>
    </row>
    <row r="1354" spans="1:11" hidden="1" x14ac:dyDescent="0.25">
      <c r="A1354" t="e">
        <f>#REF!</f>
        <v>#REF!</v>
      </c>
      <c r="B1354" t="e">
        <f>#REF!</f>
        <v>#REF!</v>
      </c>
      <c r="C1354" t="e">
        <f>#REF!</f>
        <v>#REF!</v>
      </c>
      <c r="D1354" t="e">
        <f>#REF!</f>
        <v>#REF!</v>
      </c>
      <c r="E1354" t="e">
        <f>#REF!</f>
        <v>#REF!</v>
      </c>
      <c r="G1354" t="e">
        <f t="shared" si="106"/>
        <v>#REF!</v>
      </c>
      <c r="H1354" t="e">
        <f t="shared" si="107"/>
        <v>#REF!</v>
      </c>
      <c r="I1354" s="141" t="e">
        <f t="shared" si="108"/>
        <v>#REF!</v>
      </c>
      <c r="J1354" t="e">
        <f t="shared" si="109"/>
        <v>#REF!</v>
      </c>
      <c r="K1354" s="141" t="e">
        <f t="shared" si="110"/>
        <v>#REF!</v>
      </c>
    </row>
    <row r="1355" spans="1:11" hidden="1" x14ac:dyDescent="0.25">
      <c r="A1355" t="e">
        <f>#REF!</f>
        <v>#REF!</v>
      </c>
      <c r="B1355" t="e">
        <f>#REF!</f>
        <v>#REF!</v>
      </c>
      <c r="C1355" t="e">
        <f>#REF!</f>
        <v>#REF!</v>
      </c>
      <c r="D1355" t="e">
        <f>#REF!</f>
        <v>#REF!</v>
      </c>
      <c r="E1355" t="e">
        <f>#REF!</f>
        <v>#REF!</v>
      </c>
      <c r="G1355" t="e">
        <f t="shared" si="106"/>
        <v>#REF!</v>
      </c>
      <c r="H1355" t="e">
        <f t="shared" si="107"/>
        <v>#REF!</v>
      </c>
      <c r="I1355" s="141" t="e">
        <f t="shared" si="108"/>
        <v>#REF!</v>
      </c>
      <c r="J1355" t="e">
        <f t="shared" si="109"/>
        <v>#REF!</v>
      </c>
      <c r="K1355" s="141" t="e">
        <f t="shared" si="110"/>
        <v>#REF!</v>
      </c>
    </row>
    <row r="1356" spans="1:11" hidden="1" x14ac:dyDescent="0.25">
      <c r="A1356" t="e">
        <f>#REF!</f>
        <v>#REF!</v>
      </c>
      <c r="B1356" t="e">
        <f>#REF!</f>
        <v>#REF!</v>
      </c>
      <c r="C1356" t="e">
        <f>#REF!</f>
        <v>#REF!</v>
      </c>
      <c r="D1356" t="e">
        <f>#REF!</f>
        <v>#REF!</v>
      </c>
      <c r="E1356" t="e">
        <f>#REF!</f>
        <v>#REF!</v>
      </c>
      <c r="G1356" t="e">
        <f t="shared" si="106"/>
        <v>#REF!</v>
      </c>
      <c r="H1356" t="e">
        <f t="shared" si="107"/>
        <v>#REF!</v>
      </c>
      <c r="I1356" s="141" t="e">
        <f t="shared" si="108"/>
        <v>#REF!</v>
      </c>
      <c r="J1356" t="e">
        <f t="shared" si="109"/>
        <v>#REF!</v>
      </c>
      <c r="K1356" s="141" t="e">
        <f t="shared" si="110"/>
        <v>#REF!</v>
      </c>
    </row>
    <row r="1357" spans="1:11" hidden="1" x14ac:dyDescent="0.25">
      <c r="A1357" t="e">
        <f>#REF!</f>
        <v>#REF!</v>
      </c>
      <c r="B1357" t="e">
        <f>#REF!</f>
        <v>#REF!</v>
      </c>
      <c r="C1357" t="e">
        <f>#REF!</f>
        <v>#REF!</v>
      </c>
      <c r="D1357" t="e">
        <f>#REF!</f>
        <v>#REF!</v>
      </c>
      <c r="E1357" t="e">
        <f>#REF!</f>
        <v>#REF!</v>
      </c>
      <c r="G1357" t="e">
        <f t="shared" si="106"/>
        <v>#REF!</v>
      </c>
      <c r="H1357" t="e">
        <f t="shared" si="107"/>
        <v>#REF!</v>
      </c>
      <c r="I1357" s="141" t="e">
        <f t="shared" si="108"/>
        <v>#REF!</v>
      </c>
      <c r="J1357" t="e">
        <f t="shared" si="109"/>
        <v>#REF!</v>
      </c>
      <c r="K1357" s="141" t="e">
        <f t="shared" si="110"/>
        <v>#REF!</v>
      </c>
    </row>
    <row r="1358" spans="1:11" hidden="1" x14ac:dyDescent="0.25">
      <c r="A1358" t="e">
        <f>#REF!</f>
        <v>#REF!</v>
      </c>
      <c r="B1358" t="e">
        <f>#REF!</f>
        <v>#REF!</v>
      </c>
      <c r="C1358" t="e">
        <f>#REF!</f>
        <v>#REF!</v>
      </c>
      <c r="D1358" t="e">
        <f>#REF!</f>
        <v>#REF!</v>
      </c>
      <c r="E1358" t="e">
        <f>#REF!</f>
        <v>#REF!</v>
      </c>
      <c r="G1358" t="e">
        <f t="shared" si="106"/>
        <v>#REF!</v>
      </c>
      <c r="H1358" t="e">
        <f t="shared" si="107"/>
        <v>#REF!</v>
      </c>
      <c r="I1358" s="141" t="e">
        <f t="shared" si="108"/>
        <v>#REF!</v>
      </c>
      <c r="J1358" t="e">
        <f t="shared" si="109"/>
        <v>#REF!</v>
      </c>
      <c r="K1358" s="141" t="e">
        <f t="shared" si="110"/>
        <v>#REF!</v>
      </c>
    </row>
    <row r="1359" spans="1:11" hidden="1" x14ac:dyDescent="0.25">
      <c r="A1359" t="e">
        <f>#REF!</f>
        <v>#REF!</v>
      </c>
      <c r="B1359" t="e">
        <f>#REF!</f>
        <v>#REF!</v>
      </c>
      <c r="C1359" t="e">
        <f>#REF!</f>
        <v>#REF!</v>
      </c>
      <c r="D1359" t="e">
        <f>#REF!</f>
        <v>#REF!</v>
      </c>
      <c r="E1359" t="e">
        <f>#REF!</f>
        <v>#REF!</v>
      </c>
      <c r="G1359" t="e">
        <f t="shared" si="106"/>
        <v>#REF!</v>
      </c>
      <c r="H1359" t="e">
        <f t="shared" si="107"/>
        <v>#REF!</v>
      </c>
      <c r="I1359" s="141" t="e">
        <f t="shared" si="108"/>
        <v>#REF!</v>
      </c>
      <c r="J1359" t="e">
        <f t="shared" si="109"/>
        <v>#REF!</v>
      </c>
      <c r="K1359" s="141" t="e">
        <f t="shared" si="110"/>
        <v>#REF!</v>
      </c>
    </row>
    <row r="1360" spans="1:11" hidden="1" x14ac:dyDescent="0.25">
      <c r="A1360" t="e">
        <f>#REF!</f>
        <v>#REF!</v>
      </c>
      <c r="B1360" t="e">
        <f>#REF!</f>
        <v>#REF!</v>
      </c>
      <c r="C1360" t="e">
        <f>#REF!</f>
        <v>#REF!</v>
      </c>
      <c r="D1360" t="e">
        <f>#REF!</f>
        <v>#REF!</v>
      </c>
      <c r="E1360" t="e">
        <f>#REF!</f>
        <v>#REF!</v>
      </c>
      <c r="G1360" t="e">
        <f t="shared" si="106"/>
        <v>#REF!</v>
      </c>
      <c r="H1360" t="e">
        <f t="shared" si="107"/>
        <v>#REF!</v>
      </c>
      <c r="I1360" s="141" t="e">
        <f t="shared" si="108"/>
        <v>#REF!</v>
      </c>
      <c r="J1360" t="e">
        <f t="shared" si="109"/>
        <v>#REF!</v>
      </c>
      <c r="K1360" s="141" t="e">
        <f t="shared" si="110"/>
        <v>#REF!</v>
      </c>
    </row>
    <row r="1361" spans="1:11" hidden="1" x14ac:dyDescent="0.25">
      <c r="A1361" t="e">
        <f>#REF!</f>
        <v>#REF!</v>
      </c>
      <c r="B1361" t="e">
        <f>#REF!</f>
        <v>#REF!</v>
      </c>
      <c r="C1361" t="e">
        <f>#REF!</f>
        <v>#REF!</v>
      </c>
      <c r="D1361" t="e">
        <f>#REF!</f>
        <v>#REF!</v>
      </c>
      <c r="E1361" t="e">
        <f>#REF!</f>
        <v>#REF!</v>
      </c>
      <c r="G1361" t="e">
        <f t="shared" si="106"/>
        <v>#REF!</v>
      </c>
      <c r="H1361" t="e">
        <f t="shared" si="107"/>
        <v>#REF!</v>
      </c>
      <c r="I1361" s="141" t="e">
        <f t="shared" si="108"/>
        <v>#REF!</v>
      </c>
      <c r="J1361" t="e">
        <f t="shared" si="109"/>
        <v>#REF!</v>
      </c>
      <c r="K1361" s="141" t="e">
        <f t="shared" si="110"/>
        <v>#REF!</v>
      </c>
    </row>
    <row r="1362" spans="1:11" hidden="1" x14ac:dyDescent="0.25">
      <c r="A1362" t="e">
        <f>#REF!</f>
        <v>#REF!</v>
      </c>
      <c r="B1362" t="e">
        <f>#REF!</f>
        <v>#REF!</v>
      </c>
      <c r="C1362" t="e">
        <f>#REF!</f>
        <v>#REF!</v>
      </c>
      <c r="D1362" t="e">
        <f>#REF!</f>
        <v>#REF!</v>
      </c>
      <c r="E1362" t="e">
        <f>#REF!</f>
        <v>#REF!</v>
      </c>
      <c r="G1362" t="e">
        <f t="shared" si="106"/>
        <v>#REF!</v>
      </c>
      <c r="H1362" t="e">
        <f t="shared" si="107"/>
        <v>#REF!</v>
      </c>
      <c r="I1362" s="141" t="e">
        <f t="shared" si="108"/>
        <v>#REF!</v>
      </c>
      <c r="J1362" t="e">
        <f t="shared" si="109"/>
        <v>#REF!</v>
      </c>
      <c r="K1362" s="141" t="e">
        <f t="shared" si="110"/>
        <v>#REF!</v>
      </c>
    </row>
    <row r="1363" spans="1:11" hidden="1" x14ac:dyDescent="0.25">
      <c r="A1363" t="e">
        <f>#REF!</f>
        <v>#REF!</v>
      </c>
      <c r="B1363" t="e">
        <f>#REF!</f>
        <v>#REF!</v>
      </c>
      <c r="C1363" t="e">
        <f>#REF!</f>
        <v>#REF!</v>
      </c>
      <c r="D1363" t="e">
        <f>#REF!</f>
        <v>#REF!</v>
      </c>
      <c r="E1363" t="e">
        <f>#REF!</f>
        <v>#REF!</v>
      </c>
      <c r="G1363" t="e">
        <f t="shared" si="106"/>
        <v>#REF!</v>
      </c>
      <c r="H1363" t="e">
        <f t="shared" si="107"/>
        <v>#REF!</v>
      </c>
      <c r="I1363" s="141" t="e">
        <f t="shared" si="108"/>
        <v>#REF!</v>
      </c>
      <c r="J1363" t="e">
        <f t="shared" si="109"/>
        <v>#REF!</v>
      </c>
      <c r="K1363" s="141" t="e">
        <f t="shared" si="110"/>
        <v>#REF!</v>
      </c>
    </row>
    <row r="1364" spans="1:11" hidden="1" x14ac:dyDescent="0.25">
      <c r="A1364" t="e">
        <f>#REF!</f>
        <v>#REF!</v>
      </c>
      <c r="B1364" t="e">
        <f>#REF!</f>
        <v>#REF!</v>
      </c>
      <c r="C1364" t="e">
        <f>#REF!</f>
        <v>#REF!</v>
      </c>
      <c r="D1364" t="e">
        <f>#REF!</f>
        <v>#REF!</v>
      </c>
      <c r="E1364" t="e">
        <f>#REF!</f>
        <v>#REF!</v>
      </c>
      <c r="G1364" t="e">
        <f t="shared" si="106"/>
        <v>#REF!</v>
      </c>
      <c r="H1364" t="e">
        <f t="shared" si="107"/>
        <v>#REF!</v>
      </c>
      <c r="I1364" s="141" t="e">
        <f t="shared" si="108"/>
        <v>#REF!</v>
      </c>
      <c r="J1364" t="e">
        <f t="shared" si="109"/>
        <v>#REF!</v>
      </c>
      <c r="K1364" s="141" t="e">
        <f t="shared" si="110"/>
        <v>#REF!</v>
      </c>
    </row>
    <row r="1365" spans="1:11" hidden="1" x14ac:dyDescent="0.25">
      <c r="A1365" t="e">
        <f>#REF!</f>
        <v>#REF!</v>
      </c>
      <c r="B1365" t="e">
        <f>#REF!</f>
        <v>#REF!</v>
      </c>
      <c r="C1365" t="e">
        <f>#REF!</f>
        <v>#REF!</v>
      </c>
      <c r="D1365" t="e">
        <f>#REF!</f>
        <v>#REF!</v>
      </c>
      <c r="E1365" t="e">
        <f>#REF!</f>
        <v>#REF!</v>
      </c>
      <c r="G1365" t="e">
        <f t="shared" si="106"/>
        <v>#REF!</v>
      </c>
      <c r="H1365" t="e">
        <f t="shared" si="107"/>
        <v>#REF!</v>
      </c>
      <c r="I1365" s="141" t="e">
        <f t="shared" si="108"/>
        <v>#REF!</v>
      </c>
      <c r="J1365" t="e">
        <f t="shared" si="109"/>
        <v>#REF!</v>
      </c>
      <c r="K1365" s="141" t="e">
        <f t="shared" si="110"/>
        <v>#REF!</v>
      </c>
    </row>
    <row r="1366" spans="1:11" hidden="1" x14ac:dyDescent="0.25">
      <c r="A1366" t="e">
        <f>#REF!</f>
        <v>#REF!</v>
      </c>
      <c r="B1366" t="e">
        <f>#REF!</f>
        <v>#REF!</v>
      </c>
      <c r="C1366" t="e">
        <f>#REF!</f>
        <v>#REF!</v>
      </c>
      <c r="D1366" t="e">
        <f>#REF!</f>
        <v>#REF!</v>
      </c>
      <c r="E1366" t="e">
        <f>#REF!</f>
        <v>#REF!</v>
      </c>
      <c r="G1366" t="e">
        <f t="shared" si="106"/>
        <v>#REF!</v>
      </c>
      <c r="H1366" t="e">
        <f t="shared" si="107"/>
        <v>#REF!</v>
      </c>
      <c r="I1366" s="141" t="e">
        <f t="shared" si="108"/>
        <v>#REF!</v>
      </c>
      <c r="J1366" t="e">
        <f t="shared" si="109"/>
        <v>#REF!</v>
      </c>
      <c r="K1366" s="141" t="e">
        <f t="shared" si="110"/>
        <v>#REF!</v>
      </c>
    </row>
    <row r="1367" spans="1:11" hidden="1" x14ac:dyDescent="0.25">
      <c r="A1367" t="e">
        <f>#REF!</f>
        <v>#REF!</v>
      </c>
      <c r="B1367" t="e">
        <f>#REF!</f>
        <v>#REF!</v>
      </c>
      <c r="C1367" t="e">
        <f>#REF!</f>
        <v>#REF!</v>
      </c>
      <c r="D1367" t="e">
        <f>#REF!</f>
        <v>#REF!</v>
      </c>
      <c r="E1367" t="e">
        <f>#REF!</f>
        <v>#REF!</v>
      </c>
      <c r="G1367" t="e">
        <f t="shared" si="106"/>
        <v>#REF!</v>
      </c>
      <c r="H1367" t="e">
        <f t="shared" si="107"/>
        <v>#REF!</v>
      </c>
      <c r="I1367" s="141" t="e">
        <f t="shared" si="108"/>
        <v>#REF!</v>
      </c>
      <c r="J1367" t="e">
        <f t="shared" si="109"/>
        <v>#REF!</v>
      </c>
      <c r="K1367" s="141" t="e">
        <f t="shared" si="110"/>
        <v>#REF!</v>
      </c>
    </row>
    <row r="1368" spans="1:11" hidden="1" x14ac:dyDescent="0.25">
      <c r="A1368" t="e">
        <f>#REF!</f>
        <v>#REF!</v>
      </c>
      <c r="B1368" t="e">
        <f>#REF!</f>
        <v>#REF!</v>
      </c>
      <c r="C1368" t="e">
        <f>#REF!</f>
        <v>#REF!</v>
      </c>
      <c r="D1368" t="e">
        <f>#REF!</f>
        <v>#REF!</v>
      </c>
      <c r="E1368" t="e">
        <f>#REF!</f>
        <v>#REF!</v>
      </c>
      <c r="G1368" t="e">
        <f t="shared" si="106"/>
        <v>#REF!</v>
      </c>
      <c r="H1368" t="e">
        <f t="shared" si="107"/>
        <v>#REF!</v>
      </c>
      <c r="I1368" s="141" t="e">
        <f t="shared" si="108"/>
        <v>#REF!</v>
      </c>
      <c r="J1368" t="e">
        <f t="shared" si="109"/>
        <v>#REF!</v>
      </c>
      <c r="K1368" s="141" t="e">
        <f t="shared" si="110"/>
        <v>#REF!</v>
      </c>
    </row>
    <row r="1369" spans="1:11" hidden="1" x14ac:dyDescent="0.25">
      <c r="A1369" t="e">
        <f>#REF!</f>
        <v>#REF!</v>
      </c>
      <c r="B1369" t="e">
        <f>#REF!</f>
        <v>#REF!</v>
      </c>
      <c r="C1369" t="e">
        <f>#REF!</f>
        <v>#REF!</v>
      </c>
      <c r="D1369" t="e">
        <f>#REF!</f>
        <v>#REF!</v>
      </c>
      <c r="E1369" t="e">
        <f>#REF!</f>
        <v>#REF!</v>
      </c>
      <c r="G1369" t="e">
        <f t="shared" si="106"/>
        <v>#REF!</v>
      </c>
      <c r="H1369" t="e">
        <f t="shared" si="107"/>
        <v>#REF!</v>
      </c>
      <c r="I1369" s="141" t="e">
        <f t="shared" si="108"/>
        <v>#REF!</v>
      </c>
      <c r="J1369" t="e">
        <f t="shared" si="109"/>
        <v>#REF!</v>
      </c>
      <c r="K1369" s="141" t="e">
        <f t="shared" si="110"/>
        <v>#REF!</v>
      </c>
    </row>
    <row r="1370" spans="1:11" hidden="1" x14ac:dyDescent="0.25">
      <c r="A1370" t="e">
        <f>#REF!</f>
        <v>#REF!</v>
      </c>
      <c r="B1370" t="e">
        <f>#REF!</f>
        <v>#REF!</v>
      </c>
      <c r="C1370" t="e">
        <f>#REF!</f>
        <v>#REF!</v>
      </c>
      <c r="D1370" t="e">
        <f>#REF!</f>
        <v>#REF!</v>
      </c>
      <c r="E1370" t="e">
        <f>#REF!</f>
        <v>#REF!</v>
      </c>
      <c r="G1370" t="e">
        <f t="shared" si="106"/>
        <v>#REF!</v>
      </c>
      <c r="H1370" t="e">
        <f t="shared" si="107"/>
        <v>#REF!</v>
      </c>
      <c r="I1370" s="141" t="e">
        <f t="shared" si="108"/>
        <v>#REF!</v>
      </c>
      <c r="J1370" t="e">
        <f t="shared" si="109"/>
        <v>#REF!</v>
      </c>
      <c r="K1370" s="141" t="e">
        <f t="shared" si="110"/>
        <v>#REF!</v>
      </c>
    </row>
    <row r="1371" spans="1:11" hidden="1" x14ac:dyDescent="0.25">
      <c r="A1371" t="e">
        <f>#REF!</f>
        <v>#REF!</v>
      </c>
      <c r="B1371" t="e">
        <f>#REF!</f>
        <v>#REF!</v>
      </c>
      <c r="C1371" t="e">
        <f>#REF!</f>
        <v>#REF!</v>
      </c>
      <c r="D1371" t="e">
        <f>#REF!</f>
        <v>#REF!</v>
      </c>
      <c r="E1371" t="e">
        <f>#REF!</f>
        <v>#REF!</v>
      </c>
      <c r="G1371" t="e">
        <f t="shared" si="106"/>
        <v>#REF!</v>
      </c>
      <c r="H1371" t="e">
        <f t="shared" si="107"/>
        <v>#REF!</v>
      </c>
      <c r="I1371" s="141" t="e">
        <f t="shared" si="108"/>
        <v>#REF!</v>
      </c>
      <c r="J1371" t="e">
        <f t="shared" si="109"/>
        <v>#REF!</v>
      </c>
      <c r="K1371" s="141" t="e">
        <f t="shared" si="110"/>
        <v>#REF!</v>
      </c>
    </row>
    <row r="1372" spans="1:11" hidden="1" x14ac:dyDescent="0.25">
      <c r="A1372" t="e">
        <f>#REF!</f>
        <v>#REF!</v>
      </c>
      <c r="B1372" t="e">
        <f>#REF!</f>
        <v>#REF!</v>
      </c>
      <c r="C1372" t="e">
        <f>#REF!</f>
        <v>#REF!</v>
      </c>
      <c r="D1372" t="e">
        <f>#REF!</f>
        <v>#REF!</v>
      </c>
      <c r="E1372" t="e">
        <f>#REF!</f>
        <v>#REF!</v>
      </c>
      <c r="G1372" t="e">
        <f t="shared" si="106"/>
        <v>#REF!</v>
      </c>
      <c r="H1372" t="e">
        <f t="shared" si="107"/>
        <v>#REF!</v>
      </c>
      <c r="I1372" s="141" t="e">
        <f t="shared" si="108"/>
        <v>#REF!</v>
      </c>
      <c r="J1372" t="e">
        <f t="shared" si="109"/>
        <v>#REF!</v>
      </c>
      <c r="K1372" s="141" t="e">
        <f t="shared" si="110"/>
        <v>#REF!</v>
      </c>
    </row>
    <row r="1373" spans="1:11" hidden="1" x14ac:dyDescent="0.25">
      <c r="A1373" t="e">
        <f>#REF!</f>
        <v>#REF!</v>
      </c>
      <c r="B1373" t="e">
        <f>#REF!</f>
        <v>#REF!</v>
      </c>
      <c r="C1373" t="e">
        <f>#REF!</f>
        <v>#REF!</v>
      </c>
      <c r="D1373" t="e">
        <f>#REF!</f>
        <v>#REF!</v>
      </c>
      <c r="E1373" t="e">
        <f>#REF!</f>
        <v>#REF!</v>
      </c>
      <c r="G1373" t="e">
        <f t="shared" si="106"/>
        <v>#REF!</v>
      </c>
      <c r="H1373" t="e">
        <f t="shared" si="107"/>
        <v>#REF!</v>
      </c>
      <c r="I1373" s="141" t="e">
        <f t="shared" si="108"/>
        <v>#REF!</v>
      </c>
      <c r="J1373" t="e">
        <f t="shared" si="109"/>
        <v>#REF!</v>
      </c>
      <c r="K1373" s="141" t="e">
        <f t="shared" si="110"/>
        <v>#REF!</v>
      </c>
    </row>
    <row r="1374" spans="1:11" hidden="1" x14ac:dyDescent="0.25">
      <c r="A1374" t="e">
        <f>#REF!</f>
        <v>#REF!</v>
      </c>
      <c r="B1374" t="e">
        <f>#REF!</f>
        <v>#REF!</v>
      </c>
      <c r="C1374" t="e">
        <f>#REF!</f>
        <v>#REF!</v>
      </c>
      <c r="D1374" t="e">
        <f>#REF!</f>
        <v>#REF!</v>
      </c>
      <c r="E1374" t="e">
        <f>#REF!</f>
        <v>#REF!</v>
      </c>
      <c r="G1374" t="e">
        <f t="shared" si="106"/>
        <v>#REF!</v>
      </c>
      <c r="H1374" t="e">
        <f t="shared" si="107"/>
        <v>#REF!</v>
      </c>
      <c r="I1374" s="141" t="e">
        <f t="shared" si="108"/>
        <v>#REF!</v>
      </c>
      <c r="J1374" t="e">
        <f t="shared" si="109"/>
        <v>#REF!</v>
      </c>
      <c r="K1374" s="141" t="e">
        <f t="shared" si="110"/>
        <v>#REF!</v>
      </c>
    </row>
    <row r="1375" spans="1:11" hidden="1" x14ac:dyDescent="0.25">
      <c r="A1375" t="e">
        <f>#REF!</f>
        <v>#REF!</v>
      </c>
      <c r="B1375" t="e">
        <f>#REF!</f>
        <v>#REF!</v>
      </c>
      <c r="C1375" t="e">
        <f>#REF!</f>
        <v>#REF!</v>
      </c>
      <c r="D1375" t="e">
        <f>#REF!</f>
        <v>#REF!</v>
      </c>
      <c r="E1375" t="e">
        <f>#REF!</f>
        <v>#REF!</v>
      </c>
      <c r="G1375" t="e">
        <f t="shared" si="106"/>
        <v>#REF!</v>
      </c>
      <c r="H1375" t="e">
        <f t="shared" si="107"/>
        <v>#REF!</v>
      </c>
      <c r="I1375" s="141" t="e">
        <f t="shared" si="108"/>
        <v>#REF!</v>
      </c>
      <c r="J1375" t="e">
        <f t="shared" si="109"/>
        <v>#REF!</v>
      </c>
      <c r="K1375" s="141" t="e">
        <f t="shared" si="110"/>
        <v>#REF!</v>
      </c>
    </row>
    <row r="1376" spans="1:11" hidden="1" x14ac:dyDescent="0.25">
      <c r="A1376" t="e">
        <f>#REF!</f>
        <v>#REF!</v>
      </c>
      <c r="B1376" t="e">
        <f>#REF!</f>
        <v>#REF!</v>
      </c>
      <c r="C1376" t="e">
        <f>#REF!</f>
        <v>#REF!</v>
      </c>
      <c r="D1376" t="e">
        <f>#REF!</f>
        <v>#REF!</v>
      </c>
      <c r="E1376" t="e">
        <f>#REF!</f>
        <v>#REF!</v>
      </c>
      <c r="G1376" t="e">
        <f t="shared" si="106"/>
        <v>#REF!</v>
      </c>
      <c r="H1376" t="e">
        <f t="shared" si="107"/>
        <v>#REF!</v>
      </c>
      <c r="I1376" s="141" t="e">
        <f t="shared" si="108"/>
        <v>#REF!</v>
      </c>
      <c r="J1376" t="e">
        <f t="shared" si="109"/>
        <v>#REF!</v>
      </c>
      <c r="K1376" s="141" t="e">
        <f t="shared" si="110"/>
        <v>#REF!</v>
      </c>
    </row>
    <row r="1377" spans="1:11" hidden="1" x14ac:dyDescent="0.25">
      <c r="A1377" t="e">
        <f>#REF!</f>
        <v>#REF!</v>
      </c>
      <c r="B1377" t="e">
        <f>#REF!</f>
        <v>#REF!</v>
      </c>
      <c r="C1377" t="e">
        <f>#REF!</f>
        <v>#REF!</v>
      </c>
      <c r="D1377" t="e">
        <f>#REF!</f>
        <v>#REF!</v>
      </c>
      <c r="E1377" t="e">
        <f>#REF!</f>
        <v>#REF!</v>
      </c>
      <c r="G1377" t="e">
        <f t="shared" si="106"/>
        <v>#REF!</v>
      </c>
      <c r="H1377" t="e">
        <f t="shared" si="107"/>
        <v>#REF!</v>
      </c>
      <c r="I1377" s="141" t="e">
        <f t="shared" si="108"/>
        <v>#REF!</v>
      </c>
      <c r="J1377" t="e">
        <f t="shared" si="109"/>
        <v>#REF!</v>
      </c>
      <c r="K1377" s="141" t="e">
        <f t="shared" si="110"/>
        <v>#REF!</v>
      </c>
    </row>
    <row r="1378" spans="1:11" hidden="1" x14ac:dyDescent="0.25">
      <c r="A1378" t="e">
        <f>#REF!</f>
        <v>#REF!</v>
      </c>
      <c r="B1378" t="e">
        <f>#REF!</f>
        <v>#REF!</v>
      </c>
      <c r="C1378" t="e">
        <f>#REF!</f>
        <v>#REF!</v>
      </c>
      <c r="D1378" t="e">
        <f>#REF!</f>
        <v>#REF!</v>
      </c>
      <c r="E1378" t="e">
        <f>#REF!</f>
        <v>#REF!</v>
      </c>
      <c r="G1378" t="e">
        <f t="shared" si="106"/>
        <v>#REF!</v>
      </c>
      <c r="H1378" t="e">
        <f t="shared" si="107"/>
        <v>#REF!</v>
      </c>
      <c r="I1378" s="141" t="e">
        <f t="shared" si="108"/>
        <v>#REF!</v>
      </c>
      <c r="J1378" t="e">
        <f t="shared" si="109"/>
        <v>#REF!</v>
      </c>
      <c r="K1378" s="141" t="e">
        <f t="shared" si="110"/>
        <v>#REF!</v>
      </c>
    </row>
    <row r="1379" spans="1:11" hidden="1" x14ac:dyDescent="0.25">
      <c r="A1379" t="e">
        <f>#REF!</f>
        <v>#REF!</v>
      </c>
      <c r="B1379" t="e">
        <f>#REF!</f>
        <v>#REF!</v>
      </c>
      <c r="C1379" t="e">
        <f>#REF!</f>
        <v>#REF!</v>
      </c>
      <c r="D1379" t="e">
        <f>#REF!</f>
        <v>#REF!</v>
      </c>
      <c r="E1379" t="e">
        <f>#REF!</f>
        <v>#REF!</v>
      </c>
      <c r="G1379" t="e">
        <f t="shared" si="106"/>
        <v>#REF!</v>
      </c>
      <c r="H1379" t="e">
        <f t="shared" si="107"/>
        <v>#REF!</v>
      </c>
      <c r="I1379" s="141" t="e">
        <f t="shared" si="108"/>
        <v>#REF!</v>
      </c>
      <c r="J1379" t="e">
        <f t="shared" si="109"/>
        <v>#REF!</v>
      </c>
      <c r="K1379" s="141" t="e">
        <f t="shared" si="110"/>
        <v>#REF!</v>
      </c>
    </row>
    <row r="1380" spans="1:11" hidden="1" x14ac:dyDescent="0.25">
      <c r="A1380" t="e">
        <f>#REF!</f>
        <v>#REF!</v>
      </c>
      <c r="B1380" t="e">
        <f>#REF!</f>
        <v>#REF!</v>
      </c>
      <c r="C1380" t="e">
        <f>#REF!</f>
        <v>#REF!</v>
      </c>
      <c r="D1380" t="e">
        <f>#REF!</f>
        <v>#REF!</v>
      </c>
      <c r="E1380" t="e">
        <f>#REF!</f>
        <v>#REF!</v>
      </c>
      <c r="G1380" t="e">
        <f t="shared" si="106"/>
        <v>#REF!</v>
      </c>
      <c r="H1380" t="e">
        <f t="shared" si="107"/>
        <v>#REF!</v>
      </c>
      <c r="I1380" s="141" t="e">
        <f t="shared" si="108"/>
        <v>#REF!</v>
      </c>
      <c r="J1380" t="e">
        <f t="shared" si="109"/>
        <v>#REF!</v>
      </c>
      <c r="K1380" s="141" t="e">
        <f t="shared" si="110"/>
        <v>#REF!</v>
      </c>
    </row>
    <row r="1381" spans="1:11" hidden="1" x14ac:dyDescent="0.25">
      <c r="A1381" t="e">
        <f>#REF!</f>
        <v>#REF!</v>
      </c>
      <c r="B1381" t="e">
        <f>#REF!</f>
        <v>#REF!</v>
      </c>
      <c r="C1381" t="e">
        <f>#REF!</f>
        <v>#REF!</v>
      </c>
      <c r="D1381" t="e">
        <f>#REF!</f>
        <v>#REF!</v>
      </c>
      <c r="E1381" t="e">
        <f>#REF!</f>
        <v>#REF!</v>
      </c>
      <c r="G1381" t="e">
        <f t="shared" si="106"/>
        <v>#REF!</v>
      </c>
      <c r="H1381" t="e">
        <f t="shared" si="107"/>
        <v>#REF!</v>
      </c>
      <c r="I1381" s="141" t="e">
        <f t="shared" si="108"/>
        <v>#REF!</v>
      </c>
      <c r="J1381" t="e">
        <f t="shared" si="109"/>
        <v>#REF!</v>
      </c>
      <c r="K1381" s="141" t="e">
        <f t="shared" si="110"/>
        <v>#REF!</v>
      </c>
    </row>
    <row r="1382" spans="1:11" hidden="1" x14ac:dyDescent="0.25">
      <c r="A1382" t="e">
        <f>#REF!</f>
        <v>#REF!</v>
      </c>
      <c r="B1382" t="e">
        <f>#REF!</f>
        <v>#REF!</v>
      </c>
      <c r="C1382" t="e">
        <f>#REF!</f>
        <v>#REF!</v>
      </c>
      <c r="D1382" t="e">
        <f>#REF!</f>
        <v>#REF!</v>
      </c>
      <c r="E1382" t="e">
        <f>#REF!</f>
        <v>#REF!</v>
      </c>
      <c r="G1382" t="e">
        <f t="shared" si="106"/>
        <v>#REF!</v>
      </c>
      <c r="H1382" t="e">
        <f t="shared" si="107"/>
        <v>#REF!</v>
      </c>
      <c r="I1382" s="141" t="e">
        <f t="shared" si="108"/>
        <v>#REF!</v>
      </c>
      <c r="J1382" t="e">
        <f t="shared" si="109"/>
        <v>#REF!</v>
      </c>
      <c r="K1382" s="141" t="e">
        <f t="shared" si="110"/>
        <v>#REF!</v>
      </c>
    </row>
    <row r="1383" spans="1:11" hidden="1" x14ac:dyDescent="0.25">
      <c r="A1383" t="e">
        <f>#REF!</f>
        <v>#REF!</v>
      </c>
      <c r="B1383" t="e">
        <f>#REF!</f>
        <v>#REF!</v>
      </c>
      <c r="C1383" t="e">
        <f>#REF!</f>
        <v>#REF!</v>
      </c>
      <c r="D1383" t="e">
        <f>#REF!</f>
        <v>#REF!</v>
      </c>
      <c r="E1383" t="e">
        <f>#REF!</f>
        <v>#REF!</v>
      </c>
      <c r="G1383" t="e">
        <f t="shared" si="106"/>
        <v>#REF!</v>
      </c>
      <c r="H1383" t="e">
        <f t="shared" si="107"/>
        <v>#REF!</v>
      </c>
      <c r="I1383" s="141" t="e">
        <f t="shared" si="108"/>
        <v>#REF!</v>
      </c>
      <c r="J1383" t="e">
        <f t="shared" si="109"/>
        <v>#REF!</v>
      </c>
      <c r="K1383" s="141" t="e">
        <f t="shared" si="110"/>
        <v>#REF!</v>
      </c>
    </row>
    <row r="1384" spans="1:11" hidden="1" x14ac:dyDescent="0.25">
      <c r="A1384" t="e">
        <f>#REF!</f>
        <v>#REF!</v>
      </c>
      <c r="B1384" t="e">
        <f>#REF!</f>
        <v>#REF!</v>
      </c>
      <c r="C1384" t="e">
        <f>#REF!</f>
        <v>#REF!</v>
      </c>
      <c r="D1384" t="e">
        <f>#REF!</f>
        <v>#REF!</v>
      </c>
      <c r="E1384" t="e">
        <f>#REF!</f>
        <v>#REF!</v>
      </c>
      <c r="G1384" t="e">
        <f t="shared" si="106"/>
        <v>#REF!</v>
      </c>
      <c r="H1384" t="e">
        <f t="shared" si="107"/>
        <v>#REF!</v>
      </c>
      <c r="I1384" s="141" t="e">
        <f t="shared" si="108"/>
        <v>#REF!</v>
      </c>
      <c r="J1384" t="e">
        <f t="shared" si="109"/>
        <v>#REF!</v>
      </c>
      <c r="K1384" s="141" t="e">
        <f t="shared" si="110"/>
        <v>#REF!</v>
      </c>
    </row>
    <row r="1385" spans="1:11" hidden="1" x14ac:dyDescent="0.25">
      <c r="A1385" t="e">
        <f>#REF!</f>
        <v>#REF!</v>
      </c>
      <c r="B1385" t="e">
        <f>#REF!</f>
        <v>#REF!</v>
      </c>
      <c r="C1385" t="e">
        <f>#REF!</f>
        <v>#REF!</v>
      </c>
      <c r="D1385" t="e">
        <f>#REF!</f>
        <v>#REF!</v>
      </c>
      <c r="E1385" t="e">
        <f>#REF!</f>
        <v>#REF!</v>
      </c>
      <c r="G1385" t="e">
        <f t="shared" si="106"/>
        <v>#REF!</v>
      </c>
      <c r="H1385" t="e">
        <f t="shared" si="107"/>
        <v>#REF!</v>
      </c>
      <c r="I1385" s="141" t="e">
        <f t="shared" si="108"/>
        <v>#REF!</v>
      </c>
      <c r="J1385" t="e">
        <f t="shared" si="109"/>
        <v>#REF!</v>
      </c>
      <c r="K1385" s="141" t="e">
        <f t="shared" si="110"/>
        <v>#REF!</v>
      </c>
    </row>
    <row r="1386" spans="1:11" hidden="1" x14ac:dyDescent="0.25">
      <c r="A1386" t="e">
        <f>#REF!</f>
        <v>#REF!</v>
      </c>
      <c r="B1386" t="e">
        <f>#REF!</f>
        <v>#REF!</v>
      </c>
      <c r="C1386" t="e">
        <f>#REF!</f>
        <v>#REF!</v>
      </c>
      <c r="D1386" t="e">
        <f>#REF!</f>
        <v>#REF!</v>
      </c>
      <c r="E1386" t="e">
        <f>#REF!</f>
        <v>#REF!</v>
      </c>
      <c r="G1386" t="e">
        <f t="shared" si="106"/>
        <v>#REF!</v>
      </c>
      <c r="H1386" t="e">
        <f t="shared" si="107"/>
        <v>#REF!</v>
      </c>
      <c r="I1386" s="141" t="e">
        <f t="shared" si="108"/>
        <v>#REF!</v>
      </c>
      <c r="J1386" t="e">
        <f t="shared" si="109"/>
        <v>#REF!</v>
      </c>
      <c r="K1386" s="141" t="e">
        <f t="shared" si="110"/>
        <v>#REF!</v>
      </c>
    </row>
    <row r="1387" spans="1:11" hidden="1" x14ac:dyDescent="0.25">
      <c r="A1387" t="e">
        <f>#REF!</f>
        <v>#REF!</v>
      </c>
      <c r="B1387" t="e">
        <f>#REF!</f>
        <v>#REF!</v>
      </c>
      <c r="C1387" t="e">
        <f>#REF!</f>
        <v>#REF!</v>
      </c>
      <c r="D1387" t="e">
        <f>#REF!</f>
        <v>#REF!</v>
      </c>
      <c r="E1387" t="e">
        <f>#REF!</f>
        <v>#REF!</v>
      </c>
      <c r="G1387" t="e">
        <f t="shared" si="106"/>
        <v>#REF!</v>
      </c>
      <c r="H1387" t="e">
        <f t="shared" si="107"/>
        <v>#REF!</v>
      </c>
      <c r="I1387" s="141" t="e">
        <f t="shared" si="108"/>
        <v>#REF!</v>
      </c>
      <c r="J1387" t="e">
        <f t="shared" si="109"/>
        <v>#REF!</v>
      </c>
      <c r="K1387" s="141" t="e">
        <f t="shared" si="110"/>
        <v>#REF!</v>
      </c>
    </row>
    <row r="1388" spans="1:11" hidden="1" x14ac:dyDescent="0.25">
      <c r="A1388" t="e">
        <f>#REF!</f>
        <v>#REF!</v>
      </c>
      <c r="B1388" t="e">
        <f>#REF!</f>
        <v>#REF!</v>
      </c>
      <c r="C1388" t="e">
        <f>#REF!</f>
        <v>#REF!</v>
      </c>
      <c r="D1388" t="e">
        <f>#REF!</f>
        <v>#REF!</v>
      </c>
      <c r="E1388" t="e">
        <f>#REF!</f>
        <v>#REF!</v>
      </c>
      <c r="G1388" t="e">
        <f t="shared" si="106"/>
        <v>#REF!</v>
      </c>
      <c r="H1388" t="e">
        <f t="shared" si="107"/>
        <v>#REF!</v>
      </c>
      <c r="I1388" s="141" t="e">
        <f t="shared" si="108"/>
        <v>#REF!</v>
      </c>
      <c r="J1388" t="e">
        <f t="shared" si="109"/>
        <v>#REF!</v>
      </c>
      <c r="K1388" s="141" t="e">
        <f t="shared" si="110"/>
        <v>#REF!</v>
      </c>
    </row>
    <row r="1389" spans="1:11" hidden="1" x14ac:dyDescent="0.25">
      <c r="A1389" t="e">
        <f>#REF!</f>
        <v>#REF!</v>
      </c>
      <c r="B1389" t="e">
        <f>#REF!</f>
        <v>#REF!</v>
      </c>
      <c r="C1389" t="e">
        <f>#REF!</f>
        <v>#REF!</v>
      </c>
      <c r="D1389" t="e">
        <f>#REF!</f>
        <v>#REF!</v>
      </c>
      <c r="E1389" t="e">
        <f>#REF!</f>
        <v>#REF!</v>
      </c>
      <c r="G1389" t="e">
        <f t="shared" si="106"/>
        <v>#REF!</v>
      </c>
      <c r="H1389" t="e">
        <f t="shared" si="107"/>
        <v>#REF!</v>
      </c>
      <c r="I1389" s="141" t="e">
        <f t="shared" si="108"/>
        <v>#REF!</v>
      </c>
      <c r="J1389" t="e">
        <f t="shared" si="109"/>
        <v>#REF!</v>
      </c>
      <c r="K1389" s="141" t="e">
        <f t="shared" si="110"/>
        <v>#REF!</v>
      </c>
    </row>
    <row r="1390" spans="1:11" hidden="1" x14ac:dyDescent="0.25">
      <c r="A1390" t="e">
        <f>#REF!</f>
        <v>#REF!</v>
      </c>
      <c r="B1390" t="e">
        <f>#REF!</f>
        <v>#REF!</v>
      </c>
      <c r="C1390" t="e">
        <f>#REF!</f>
        <v>#REF!</v>
      </c>
      <c r="D1390" t="e">
        <f>#REF!</f>
        <v>#REF!</v>
      </c>
      <c r="E1390" t="e">
        <f>#REF!</f>
        <v>#REF!</v>
      </c>
      <c r="G1390" t="e">
        <f t="shared" si="106"/>
        <v>#REF!</v>
      </c>
      <c r="H1390" t="e">
        <f t="shared" si="107"/>
        <v>#REF!</v>
      </c>
      <c r="I1390" s="141" t="e">
        <f t="shared" si="108"/>
        <v>#REF!</v>
      </c>
      <c r="J1390" t="e">
        <f t="shared" si="109"/>
        <v>#REF!</v>
      </c>
      <c r="K1390" s="141" t="e">
        <f t="shared" si="110"/>
        <v>#REF!</v>
      </c>
    </row>
    <row r="1391" spans="1:11" hidden="1" x14ac:dyDescent="0.25">
      <c r="A1391" t="e">
        <f>#REF!</f>
        <v>#REF!</v>
      </c>
      <c r="B1391" t="e">
        <f>#REF!</f>
        <v>#REF!</v>
      </c>
      <c r="C1391" t="e">
        <f>#REF!</f>
        <v>#REF!</v>
      </c>
      <c r="D1391" t="e">
        <f>#REF!</f>
        <v>#REF!</v>
      </c>
      <c r="E1391" t="e">
        <f>#REF!</f>
        <v>#REF!</v>
      </c>
      <c r="G1391" t="e">
        <f t="shared" si="106"/>
        <v>#REF!</v>
      </c>
      <c r="H1391" t="e">
        <f t="shared" si="107"/>
        <v>#REF!</v>
      </c>
      <c r="I1391" s="141" t="e">
        <f t="shared" si="108"/>
        <v>#REF!</v>
      </c>
      <c r="J1391" t="e">
        <f t="shared" si="109"/>
        <v>#REF!</v>
      </c>
      <c r="K1391" s="141" t="e">
        <f t="shared" si="110"/>
        <v>#REF!</v>
      </c>
    </row>
    <row r="1392" spans="1:11" hidden="1" x14ac:dyDescent="0.25">
      <c r="A1392" t="e">
        <f>#REF!</f>
        <v>#REF!</v>
      </c>
      <c r="B1392" t="e">
        <f>#REF!</f>
        <v>#REF!</v>
      </c>
      <c r="C1392" t="e">
        <f>#REF!</f>
        <v>#REF!</v>
      </c>
      <c r="D1392" t="e">
        <f>#REF!</f>
        <v>#REF!</v>
      </c>
      <c r="E1392" t="e">
        <f>#REF!</f>
        <v>#REF!</v>
      </c>
      <c r="G1392" t="e">
        <f t="shared" si="106"/>
        <v>#REF!</v>
      </c>
      <c r="H1392" t="e">
        <f t="shared" si="107"/>
        <v>#REF!</v>
      </c>
      <c r="I1392" s="141" t="e">
        <f t="shared" si="108"/>
        <v>#REF!</v>
      </c>
      <c r="J1392" t="e">
        <f t="shared" si="109"/>
        <v>#REF!</v>
      </c>
      <c r="K1392" s="141" t="e">
        <f t="shared" si="110"/>
        <v>#REF!</v>
      </c>
    </row>
    <row r="1393" spans="1:11" hidden="1" x14ac:dyDescent="0.25">
      <c r="A1393" t="e">
        <f>#REF!</f>
        <v>#REF!</v>
      </c>
      <c r="B1393" t="e">
        <f>#REF!</f>
        <v>#REF!</v>
      </c>
      <c r="C1393" t="e">
        <f>#REF!</f>
        <v>#REF!</v>
      </c>
      <c r="D1393" t="e">
        <f>#REF!</f>
        <v>#REF!</v>
      </c>
      <c r="E1393" t="e">
        <f>#REF!</f>
        <v>#REF!</v>
      </c>
      <c r="G1393" t="e">
        <f t="shared" si="106"/>
        <v>#REF!</v>
      </c>
      <c r="H1393" t="e">
        <f t="shared" si="107"/>
        <v>#REF!</v>
      </c>
      <c r="I1393" s="141" t="e">
        <f t="shared" si="108"/>
        <v>#REF!</v>
      </c>
      <c r="J1393" t="e">
        <f t="shared" si="109"/>
        <v>#REF!</v>
      </c>
      <c r="K1393" s="141" t="e">
        <f t="shared" si="110"/>
        <v>#REF!</v>
      </c>
    </row>
    <row r="1394" spans="1:11" hidden="1" x14ac:dyDescent="0.25">
      <c r="A1394" t="e">
        <f>#REF!</f>
        <v>#REF!</v>
      </c>
      <c r="B1394" t="e">
        <f>#REF!</f>
        <v>#REF!</v>
      </c>
      <c r="C1394" t="e">
        <f>#REF!</f>
        <v>#REF!</v>
      </c>
      <c r="D1394" t="e">
        <f>#REF!</f>
        <v>#REF!</v>
      </c>
      <c r="E1394" t="e">
        <f>#REF!</f>
        <v>#REF!</v>
      </c>
      <c r="G1394" t="e">
        <f t="shared" si="106"/>
        <v>#REF!</v>
      </c>
      <c r="H1394" t="e">
        <f t="shared" si="107"/>
        <v>#REF!</v>
      </c>
      <c r="I1394" s="141" t="e">
        <f t="shared" si="108"/>
        <v>#REF!</v>
      </c>
      <c r="J1394" t="e">
        <f t="shared" si="109"/>
        <v>#REF!</v>
      </c>
      <c r="K1394" s="141" t="e">
        <f t="shared" si="110"/>
        <v>#REF!</v>
      </c>
    </row>
    <row r="1395" spans="1:11" hidden="1" x14ac:dyDescent="0.25">
      <c r="A1395" t="e">
        <f>#REF!</f>
        <v>#REF!</v>
      </c>
      <c r="B1395" t="e">
        <f>#REF!</f>
        <v>#REF!</v>
      </c>
      <c r="C1395" t="e">
        <f>#REF!</f>
        <v>#REF!</v>
      </c>
      <c r="D1395" t="e">
        <f>#REF!</f>
        <v>#REF!</v>
      </c>
      <c r="E1395" t="e">
        <f>#REF!</f>
        <v>#REF!</v>
      </c>
      <c r="G1395" t="e">
        <f t="shared" si="106"/>
        <v>#REF!</v>
      </c>
      <c r="H1395" t="e">
        <f t="shared" si="107"/>
        <v>#REF!</v>
      </c>
      <c r="I1395" s="141" t="e">
        <f t="shared" si="108"/>
        <v>#REF!</v>
      </c>
      <c r="J1395" t="e">
        <f t="shared" si="109"/>
        <v>#REF!</v>
      </c>
      <c r="K1395" s="141" t="e">
        <f t="shared" si="110"/>
        <v>#REF!</v>
      </c>
    </row>
    <row r="1396" spans="1:11" hidden="1" x14ac:dyDescent="0.25">
      <c r="A1396" t="e">
        <f>#REF!</f>
        <v>#REF!</v>
      </c>
      <c r="B1396" t="e">
        <f>#REF!</f>
        <v>#REF!</v>
      </c>
      <c r="C1396" t="e">
        <f>#REF!</f>
        <v>#REF!</v>
      </c>
      <c r="D1396" t="e">
        <f>#REF!</f>
        <v>#REF!</v>
      </c>
      <c r="E1396" t="e">
        <f>#REF!</f>
        <v>#REF!</v>
      </c>
      <c r="G1396" t="e">
        <f t="shared" si="106"/>
        <v>#REF!</v>
      </c>
      <c r="H1396" t="e">
        <f t="shared" si="107"/>
        <v>#REF!</v>
      </c>
      <c r="I1396" s="141" t="e">
        <f t="shared" si="108"/>
        <v>#REF!</v>
      </c>
      <c r="J1396" t="e">
        <f t="shared" si="109"/>
        <v>#REF!</v>
      </c>
      <c r="K1396" s="141" t="e">
        <f t="shared" si="110"/>
        <v>#REF!</v>
      </c>
    </row>
    <row r="1397" spans="1:11" hidden="1" x14ac:dyDescent="0.25">
      <c r="A1397" t="e">
        <f>#REF!</f>
        <v>#REF!</v>
      </c>
      <c r="B1397" t="e">
        <f>#REF!</f>
        <v>#REF!</v>
      </c>
      <c r="C1397" t="e">
        <f>#REF!</f>
        <v>#REF!</v>
      </c>
      <c r="D1397" t="e">
        <f>#REF!</f>
        <v>#REF!</v>
      </c>
      <c r="E1397" t="e">
        <f>#REF!</f>
        <v>#REF!</v>
      </c>
      <c r="G1397" t="e">
        <f t="shared" si="106"/>
        <v>#REF!</v>
      </c>
      <c r="H1397" t="e">
        <f t="shared" si="107"/>
        <v>#REF!</v>
      </c>
      <c r="I1397" s="141" t="e">
        <f t="shared" si="108"/>
        <v>#REF!</v>
      </c>
      <c r="J1397" t="e">
        <f t="shared" si="109"/>
        <v>#REF!</v>
      </c>
      <c r="K1397" s="141" t="e">
        <f t="shared" si="110"/>
        <v>#REF!</v>
      </c>
    </row>
    <row r="1398" spans="1:11" hidden="1" x14ac:dyDescent="0.25">
      <c r="A1398" t="e">
        <f>#REF!</f>
        <v>#REF!</v>
      </c>
      <c r="B1398" t="e">
        <f>#REF!</f>
        <v>#REF!</v>
      </c>
      <c r="C1398" t="e">
        <f>#REF!</f>
        <v>#REF!</v>
      </c>
      <c r="D1398" t="e">
        <f>#REF!</f>
        <v>#REF!</v>
      </c>
      <c r="E1398" t="e">
        <f>#REF!</f>
        <v>#REF!</v>
      </c>
      <c r="G1398" t="e">
        <f t="shared" si="106"/>
        <v>#REF!</v>
      </c>
      <c r="H1398" t="e">
        <f t="shared" si="107"/>
        <v>#REF!</v>
      </c>
      <c r="I1398" s="141" t="e">
        <f t="shared" si="108"/>
        <v>#REF!</v>
      </c>
      <c r="J1398" t="e">
        <f t="shared" si="109"/>
        <v>#REF!</v>
      </c>
      <c r="K1398" s="141" t="e">
        <f t="shared" si="110"/>
        <v>#REF!</v>
      </c>
    </row>
    <row r="1399" spans="1:11" hidden="1" x14ac:dyDescent="0.25">
      <c r="A1399" t="e">
        <f>#REF!</f>
        <v>#REF!</v>
      </c>
      <c r="B1399" t="e">
        <f>#REF!</f>
        <v>#REF!</v>
      </c>
      <c r="C1399" t="e">
        <f>#REF!</f>
        <v>#REF!</v>
      </c>
      <c r="D1399" t="e">
        <f>#REF!</f>
        <v>#REF!</v>
      </c>
      <c r="E1399" t="e">
        <f>#REF!</f>
        <v>#REF!</v>
      </c>
      <c r="G1399" t="e">
        <f t="shared" si="106"/>
        <v>#REF!</v>
      </c>
      <c r="H1399" t="e">
        <f t="shared" si="107"/>
        <v>#REF!</v>
      </c>
      <c r="I1399" s="141" t="e">
        <f t="shared" si="108"/>
        <v>#REF!</v>
      </c>
      <c r="J1399" t="e">
        <f t="shared" si="109"/>
        <v>#REF!</v>
      </c>
      <c r="K1399" s="141" t="e">
        <f t="shared" si="110"/>
        <v>#REF!</v>
      </c>
    </row>
    <row r="1400" spans="1:11" hidden="1" x14ac:dyDescent="0.25">
      <c r="A1400" t="e">
        <f>#REF!</f>
        <v>#REF!</v>
      </c>
      <c r="B1400" t="e">
        <f>#REF!</f>
        <v>#REF!</v>
      </c>
      <c r="C1400" t="e">
        <f>#REF!</f>
        <v>#REF!</v>
      </c>
      <c r="D1400" t="e">
        <f>#REF!</f>
        <v>#REF!</v>
      </c>
      <c r="E1400" t="e">
        <f>#REF!</f>
        <v>#REF!</v>
      </c>
      <c r="G1400" t="e">
        <f t="shared" si="106"/>
        <v>#REF!</v>
      </c>
      <c r="H1400" t="e">
        <f t="shared" si="107"/>
        <v>#REF!</v>
      </c>
      <c r="I1400" s="141" t="e">
        <f t="shared" si="108"/>
        <v>#REF!</v>
      </c>
      <c r="J1400" t="e">
        <f t="shared" si="109"/>
        <v>#REF!</v>
      </c>
      <c r="K1400" s="141" t="e">
        <f t="shared" si="110"/>
        <v>#REF!</v>
      </c>
    </row>
    <row r="1401" spans="1:11" hidden="1" x14ac:dyDescent="0.25">
      <c r="A1401" t="e">
        <f>#REF!</f>
        <v>#REF!</v>
      </c>
      <c r="B1401" t="e">
        <f>#REF!</f>
        <v>#REF!</v>
      </c>
      <c r="C1401" t="e">
        <f>#REF!</f>
        <v>#REF!</v>
      </c>
      <c r="D1401" t="e">
        <f>#REF!</f>
        <v>#REF!</v>
      </c>
      <c r="E1401" t="e">
        <f>#REF!</f>
        <v>#REF!</v>
      </c>
      <c r="G1401" t="e">
        <f t="shared" si="106"/>
        <v>#REF!</v>
      </c>
      <c r="H1401" t="e">
        <f t="shared" si="107"/>
        <v>#REF!</v>
      </c>
      <c r="I1401" s="141" t="e">
        <f t="shared" si="108"/>
        <v>#REF!</v>
      </c>
      <c r="J1401" t="e">
        <f t="shared" si="109"/>
        <v>#REF!</v>
      </c>
      <c r="K1401" s="141" t="e">
        <f t="shared" si="110"/>
        <v>#REF!</v>
      </c>
    </row>
    <row r="1402" spans="1:11" hidden="1" x14ac:dyDescent="0.25">
      <c r="A1402" t="e">
        <f>#REF!</f>
        <v>#REF!</v>
      </c>
      <c r="B1402" t="e">
        <f>#REF!</f>
        <v>#REF!</v>
      </c>
      <c r="C1402" t="e">
        <f>#REF!</f>
        <v>#REF!</v>
      </c>
      <c r="D1402" t="e">
        <f>#REF!</f>
        <v>#REF!</v>
      </c>
      <c r="E1402" t="e">
        <f>#REF!</f>
        <v>#REF!</v>
      </c>
      <c r="G1402" t="e">
        <f t="shared" si="106"/>
        <v>#REF!</v>
      </c>
      <c r="H1402" t="e">
        <f t="shared" si="107"/>
        <v>#REF!</v>
      </c>
      <c r="I1402" s="141" t="e">
        <f t="shared" si="108"/>
        <v>#REF!</v>
      </c>
      <c r="J1402" t="e">
        <f t="shared" si="109"/>
        <v>#REF!</v>
      </c>
      <c r="K1402" s="141" t="e">
        <f t="shared" si="110"/>
        <v>#REF!</v>
      </c>
    </row>
    <row r="1403" spans="1:11" hidden="1" x14ac:dyDescent="0.25">
      <c r="A1403" t="e">
        <f>#REF!</f>
        <v>#REF!</v>
      </c>
      <c r="B1403" t="e">
        <f>#REF!</f>
        <v>#REF!</v>
      </c>
      <c r="C1403" t="e">
        <f>#REF!</f>
        <v>#REF!</v>
      </c>
      <c r="D1403" t="e">
        <f>#REF!</f>
        <v>#REF!</v>
      </c>
      <c r="E1403" t="e">
        <f>#REF!</f>
        <v>#REF!</v>
      </c>
      <c r="G1403" t="e">
        <f t="shared" si="106"/>
        <v>#REF!</v>
      </c>
      <c r="H1403" t="e">
        <f t="shared" si="107"/>
        <v>#REF!</v>
      </c>
      <c r="I1403" s="141" t="e">
        <f t="shared" si="108"/>
        <v>#REF!</v>
      </c>
      <c r="J1403" t="e">
        <f t="shared" si="109"/>
        <v>#REF!</v>
      </c>
      <c r="K1403" s="141" t="e">
        <f t="shared" si="110"/>
        <v>#REF!</v>
      </c>
    </row>
    <row r="1404" spans="1:11" hidden="1" x14ac:dyDescent="0.25">
      <c r="A1404" t="e">
        <f>#REF!</f>
        <v>#REF!</v>
      </c>
      <c r="B1404" t="e">
        <f>#REF!</f>
        <v>#REF!</v>
      </c>
      <c r="C1404" t="e">
        <f>#REF!</f>
        <v>#REF!</v>
      </c>
      <c r="D1404" t="e">
        <f>#REF!</f>
        <v>#REF!</v>
      </c>
      <c r="E1404" t="e">
        <f>#REF!</f>
        <v>#REF!</v>
      </c>
      <c r="G1404" t="e">
        <f t="shared" si="106"/>
        <v>#REF!</v>
      </c>
      <c r="H1404" t="e">
        <f t="shared" si="107"/>
        <v>#REF!</v>
      </c>
      <c r="I1404" s="141" t="e">
        <f t="shared" si="108"/>
        <v>#REF!</v>
      </c>
      <c r="J1404" t="e">
        <f t="shared" si="109"/>
        <v>#REF!</v>
      </c>
      <c r="K1404" s="141" t="e">
        <f t="shared" si="110"/>
        <v>#REF!</v>
      </c>
    </row>
    <row r="1405" spans="1:11" hidden="1" x14ac:dyDescent="0.25">
      <c r="A1405" t="e">
        <f>#REF!</f>
        <v>#REF!</v>
      </c>
      <c r="B1405" t="e">
        <f>#REF!</f>
        <v>#REF!</v>
      </c>
      <c r="C1405" t="e">
        <f>#REF!</f>
        <v>#REF!</v>
      </c>
      <c r="D1405" t="e">
        <f>#REF!</f>
        <v>#REF!</v>
      </c>
      <c r="E1405" t="e">
        <f>#REF!</f>
        <v>#REF!</v>
      </c>
      <c r="G1405" t="e">
        <f t="shared" si="106"/>
        <v>#REF!</v>
      </c>
      <c r="H1405" t="e">
        <f t="shared" si="107"/>
        <v>#REF!</v>
      </c>
      <c r="I1405" s="141" t="e">
        <f t="shared" si="108"/>
        <v>#REF!</v>
      </c>
      <c r="J1405" t="e">
        <f t="shared" si="109"/>
        <v>#REF!</v>
      </c>
      <c r="K1405" s="141" t="e">
        <f t="shared" si="110"/>
        <v>#REF!</v>
      </c>
    </row>
    <row r="1406" spans="1:11" hidden="1" x14ac:dyDescent="0.25">
      <c r="A1406" t="e">
        <f>#REF!</f>
        <v>#REF!</v>
      </c>
      <c r="B1406" t="e">
        <f>#REF!</f>
        <v>#REF!</v>
      </c>
      <c r="C1406" t="e">
        <f>#REF!</f>
        <v>#REF!</v>
      </c>
      <c r="D1406" t="e">
        <f>#REF!</f>
        <v>#REF!</v>
      </c>
      <c r="E1406" t="e">
        <f>#REF!</f>
        <v>#REF!</v>
      </c>
      <c r="G1406" t="e">
        <f t="shared" si="106"/>
        <v>#REF!</v>
      </c>
      <c r="H1406" t="e">
        <f t="shared" si="107"/>
        <v>#REF!</v>
      </c>
      <c r="I1406" s="141" t="e">
        <f t="shared" si="108"/>
        <v>#REF!</v>
      </c>
      <c r="J1406" t="e">
        <f t="shared" si="109"/>
        <v>#REF!</v>
      </c>
      <c r="K1406" s="141" t="e">
        <f t="shared" si="110"/>
        <v>#REF!</v>
      </c>
    </row>
    <row r="1407" spans="1:11" hidden="1" x14ac:dyDescent="0.25">
      <c r="A1407" t="e">
        <f>#REF!</f>
        <v>#REF!</v>
      </c>
      <c r="B1407" t="e">
        <f>#REF!</f>
        <v>#REF!</v>
      </c>
      <c r="C1407" t="e">
        <f>#REF!</f>
        <v>#REF!</v>
      </c>
      <c r="D1407" t="e">
        <f>#REF!</f>
        <v>#REF!</v>
      </c>
      <c r="E1407" t="e">
        <f>#REF!</f>
        <v>#REF!</v>
      </c>
      <c r="G1407" t="e">
        <f t="shared" si="106"/>
        <v>#REF!</v>
      </c>
      <c r="H1407" t="e">
        <f t="shared" si="107"/>
        <v>#REF!</v>
      </c>
      <c r="I1407" s="141" t="e">
        <f t="shared" si="108"/>
        <v>#REF!</v>
      </c>
      <c r="J1407" t="e">
        <f t="shared" si="109"/>
        <v>#REF!</v>
      </c>
      <c r="K1407" s="141" t="e">
        <f t="shared" si="110"/>
        <v>#REF!</v>
      </c>
    </row>
    <row r="1408" spans="1:11" hidden="1" x14ac:dyDescent="0.25">
      <c r="A1408" t="e">
        <f>#REF!</f>
        <v>#REF!</v>
      </c>
      <c r="B1408" t="e">
        <f>#REF!</f>
        <v>#REF!</v>
      </c>
      <c r="C1408" t="e">
        <f>#REF!</f>
        <v>#REF!</v>
      </c>
      <c r="D1408" t="e">
        <f>#REF!</f>
        <v>#REF!</v>
      </c>
      <c r="E1408" t="e">
        <f>#REF!</f>
        <v>#REF!</v>
      </c>
      <c r="G1408" t="e">
        <f t="shared" si="106"/>
        <v>#REF!</v>
      </c>
      <c r="H1408" t="e">
        <f t="shared" si="107"/>
        <v>#REF!</v>
      </c>
      <c r="I1408" s="141" t="e">
        <f t="shared" si="108"/>
        <v>#REF!</v>
      </c>
      <c r="J1408" t="e">
        <f t="shared" si="109"/>
        <v>#REF!</v>
      </c>
      <c r="K1408" s="141" t="e">
        <f t="shared" si="110"/>
        <v>#REF!</v>
      </c>
    </row>
    <row r="1409" spans="1:11" hidden="1" x14ac:dyDescent="0.25">
      <c r="A1409" t="e">
        <f>#REF!</f>
        <v>#REF!</v>
      </c>
      <c r="B1409" t="e">
        <f>#REF!</f>
        <v>#REF!</v>
      </c>
      <c r="C1409" t="e">
        <f>#REF!</f>
        <v>#REF!</v>
      </c>
      <c r="D1409" t="e">
        <f>#REF!</f>
        <v>#REF!</v>
      </c>
      <c r="E1409" t="e">
        <f>#REF!</f>
        <v>#REF!</v>
      </c>
      <c r="G1409" t="e">
        <f t="shared" si="106"/>
        <v>#REF!</v>
      </c>
      <c r="H1409" t="e">
        <f t="shared" si="107"/>
        <v>#REF!</v>
      </c>
      <c r="I1409" s="141" t="e">
        <f t="shared" si="108"/>
        <v>#REF!</v>
      </c>
      <c r="J1409" t="e">
        <f t="shared" si="109"/>
        <v>#REF!</v>
      </c>
      <c r="K1409" s="141" t="e">
        <f t="shared" si="110"/>
        <v>#REF!</v>
      </c>
    </row>
    <row r="1410" spans="1:11" hidden="1" x14ac:dyDescent="0.25">
      <c r="A1410" t="e">
        <f>#REF!</f>
        <v>#REF!</v>
      </c>
      <c r="B1410" t="e">
        <f>#REF!</f>
        <v>#REF!</v>
      </c>
      <c r="C1410" t="e">
        <f>#REF!</f>
        <v>#REF!</v>
      </c>
      <c r="D1410" t="e">
        <f>#REF!</f>
        <v>#REF!</v>
      </c>
      <c r="E1410" t="e">
        <f>#REF!</f>
        <v>#REF!</v>
      </c>
      <c r="G1410" t="e">
        <f t="shared" ref="G1410:G1473" si="111">A1410</f>
        <v>#REF!</v>
      </c>
      <c r="H1410" t="e">
        <f t="shared" ref="H1410:H1473" si="112">B1410</f>
        <v>#REF!</v>
      </c>
      <c r="I1410" s="141" t="e">
        <f t="shared" ref="I1410:I1473" si="113">C1410</f>
        <v>#REF!</v>
      </c>
      <c r="J1410" t="e">
        <f t="shared" ref="J1410:J1473" si="114">D1410</f>
        <v>#REF!</v>
      </c>
      <c r="K1410" s="141" t="e">
        <f t="shared" ref="K1410:K1473" si="115">E1410</f>
        <v>#REF!</v>
      </c>
    </row>
    <row r="1411" spans="1:11" hidden="1" x14ac:dyDescent="0.25">
      <c r="A1411" t="e">
        <f>#REF!</f>
        <v>#REF!</v>
      </c>
      <c r="B1411" t="e">
        <f>#REF!</f>
        <v>#REF!</v>
      </c>
      <c r="C1411" t="e">
        <f>#REF!</f>
        <v>#REF!</v>
      </c>
      <c r="D1411" t="e">
        <f>#REF!</f>
        <v>#REF!</v>
      </c>
      <c r="E1411" t="e">
        <f>#REF!</f>
        <v>#REF!</v>
      </c>
      <c r="G1411" t="e">
        <f t="shared" si="111"/>
        <v>#REF!</v>
      </c>
      <c r="H1411" t="e">
        <f t="shared" si="112"/>
        <v>#REF!</v>
      </c>
      <c r="I1411" s="141" t="e">
        <f t="shared" si="113"/>
        <v>#REF!</v>
      </c>
      <c r="J1411" t="e">
        <f t="shared" si="114"/>
        <v>#REF!</v>
      </c>
      <c r="K1411" s="141" t="e">
        <f t="shared" si="115"/>
        <v>#REF!</v>
      </c>
    </row>
    <row r="1412" spans="1:11" hidden="1" x14ac:dyDescent="0.25">
      <c r="A1412" t="e">
        <f>#REF!</f>
        <v>#REF!</v>
      </c>
      <c r="B1412" t="e">
        <f>#REF!</f>
        <v>#REF!</v>
      </c>
      <c r="C1412" t="e">
        <f>#REF!</f>
        <v>#REF!</v>
      </c>
      <c r="D1412" t="e">
        <f>#REF!</f>
        <v>#REF!</v>
      </c>
      <c r="E1412" t="e">
        <f>#REF!</f>
        <v>#REF!</v>
      </c>
      <c r="G1412" t="e">
        <f t="shared" si="111"/>
        <v>#REF!</v>
      </c>
      <c r="H1412" t="e">
        <f t="shared" si="112"/>
        <v>#REF!</v>
      </c>
      <c r="I1412" s="141" t="e">
        <f t="shared" si="113"/>
        <v>#REF!</v>
      </c>
      <c r="J1412" t="e">
        <f t="shared" si="114"/>
        <v>#REF!</v>
      </c>
      <c r="K1412" s="141" t="e">
        <f t="shared" si="115"/>
        <v>#REF!</v>
      </c>
    </row>
    <row r="1413" spans="1:11" hidden="1" x14ac:dyDescent="0.25">
      <c r="A1413" t="e">
        <f>#REF!</f>
        <v>#REF!</v>
      </c>
      <c r="B1413" t="e">
        <f>#REF!</f>
        <v>#REF!</v>
      </c>
      <c r="C1413" t="e">
        <f>#REF!</f>
        <v>#REF!</v>
      </c>
      <c r="D1413" t="e">
        <f>#REF!</f>
        <v>#REF!</v>
      </c>
      <c r="E1413" t="e">
        <f>#REF!</f>
        <v>#REF!</v>
      </c>
      <c r="G1413" t="e">
        <f t="shared" si="111"/>
        <v>#REF!</v>
      </c>
      <c r="H1413" t="e">
        <f t="shared" si="112"/>
        <v>#REF!</v>
      </c>
      <c r="I1413" s="141" t="e">
        <f t="shared" si="113"/>
        <v>#REF!</v>
      </c>
      <c r="J1413" t="e">
        <f t="shared" si="114"/>
        <v>#REF!</v>
      </c>
      <c r="K1413" s="141" t="e">
        <f t="shared" si="115"/>
        <v>#REF!</v>
      </c>
    </row>
    <row r="1414" spans="1:11" hidden="1" x14ac:dyDescent="0.25">
      <c r="A1414" t="e">
        <f>#REF!</f>
        <v>#REF!</v>
      </c>
      <c r="B1414" t="e">
        <f>#REF!</f>
        <v>#REF!</v>
      </c>
      <c r="C1414" t="e">
        <f>#REF!</f>
        <v>#REF!</v>
      </c>
      <c r="D1414" t="e">
        <f>#REF!</f>
        <v>#REF!</v>
      </c>
      <c r="E1414" t="e">
        <f>#REF!</f>
        <v>#REF!</v>
      </c>
      <c r="G1414" t="e">
        <f t="shared" si="111"/>
        <v>#REF!</v>
      </c>
      <c r="H1414" t="e">
        <f t="shared" si="112"/>
        <v>#REF!</v>
      </c>
      <c r="I1414" s="141" t="e">
        <f t="shared" si="113"/>
        <v>#REF!</v>
      </c>
      <c r="J1414" t="e">
        <f t="shared" si="114"/>
        <v>#REF!</v>
      </c>
      <c r="K1414" s="141" t="e">
        <f t="shared" si="115"/>
        <v>#REF!</v>
      </c>
    </row>
    <row r="1415" spans="1:11" hidden="1" x14ac:dyDescent="0.25">
      <c r="A1415" t="e">
        <f>#REF!</f>
        <v>#REF!</v>
      </c>
      <c r="B1415" t="e">
        <f>#REF!</f>
        <v>#REF!</v>
      </c>
      <c r="C1415" t="e">
        <f>#REF!</f>
        <v>#REF!</v>
      </c>
      <c r="D1415" t="e">
        <f>#REF!</f>
        <v>#REF!</v>
      </c>
      <c r="E1415" t="e">
        <f>#REF!</f>
        <v>#REF!</v>
      </c>
      <c r="G1415" t="e">
        <f t="shared" si="111"/>
        <v>#REF!</v>
      </c>
      <c r="H1415" t="e">
        <f t="shared" si="112"/>
        <v>#REF!</v>
      </c>
      <c r="I1415" s="141" t="e">
        <f t="shared" si="113"/>
        <v>#REF!</v>
      </c>
      <c r="J1415" t="e">
        <f t="shared" si="114"/>
        <v>#REF!</v>
      </c>
      <c r="K1415" s="141" t="e">
        <f t="shared" si="115"/>
        <v>#REF!</v>
      </c>
    </row>
    <row r="1416" spans="1:11" hidden="1" x14ac:dyDescent="0.25">
      <c r="A1416" t="e">
        <f>#REF!</f>
        <v>#REF!</v>
      </c>
      <c r="B1416" t="e">
        <f>#REF!</f>
        <v>#REF!</v>
      </c>
      <c r="C1416" t="e">
        <f>#REF!</f>
        <v>#REF!</v>
      </c>
      <c r="D1416" t="e">
        <f>#REF!</f>
        <v>#REF!</v>
      </c>
      <c r="E1416" t="e">
        <f>#REF!</f>
        <v>#REF!</v>
      </c>
      <c r="G1416" t="e">
        <f t="shared" si="111"/>
        <v>#REF!</v>
      </c>
      <c r="H1416" t="e">
        <f t="shared" si="112"/>
        <v>#REF!</v>
      </c>
      <c r="I1416" s="141" t="e">
        <f t="shared" si="113"/>
        <v>#REF!</v>
      </c>
      <c r="J1416" t="e">
        <f t="shared" si="114"/>
        <v>#REF!</v>
      </c>
      <c r="K1416" s="141" t="e">
        <f t="shared" si="115"/>
        <v>#REF!</v>
      </c>
    </row>
    <row r="1417" spans="1:11" hidden="1" x14ac:dyDescent="0.25">
      <c r="A1417" t="e">
        <f>#REF!</f>
        <v>#REF!</v>
      </c>
      <c r="B1417" t="e">
        <f>#REF!</f>
        <v>#REF!</v>
      </c>
      <c r="C1417" t="e">
        <f>#REF!</f>
        <v>#REF!</v>
      </c>
      <c r="D1417" t="e">
        <f>#REF!</f>
        <v>#REF!</v>
      </c>
      <c r="E1417" t="e">
        <f>#REF!</f>
        <v>#REF!</v>
      </c>
      <c r="G1417" t="e">
        <f t="shared" si="111"/>
        <v>#REF!</v>
      </c>
      <c r="H1417" t="e">
        <f t="shared" si="112"/>
        <v>#REF!</v>
      </c>
      <c r="I1417" s="141" t="e">
        <f t="shared" si="113"/>
        <v>#REF!</v>
      </c>
      <c r="J1417" t="e">
        <f t="shared" si="114"/>
        <v>#REF!</v>
      </c>
      <c r="K1417" s="141" t="e">
        <f t="shared" si="115"/>
        <v>#REF!</v>
      </c>
    </row>
    <row r="1418" spans="1:11" hidden="1" x14ac:dyDescent="0.25">
      <c r="A1418" t="e">
        <f>#REF!</f>
        <v>#REF!</v>
      </c>
      <c r="B1418" t="e">
        <f>#REF!</f>
        <v>#REF!</v>
      </c>
      <c r="C1418" t="e">
        <f>#REF!</f>
        <v>#REF!</v>
      </c>
      <c r="D1418" t="e">
        <f>#REF!</f>
        <v>#REF!</v>
      </c>
      <c r="E1418" t="e">
        <f>#REF!</f>
        <v>#REF!</v>
      </c>
      <c r="G1418" t="e">
        <f t="shared" si="111"/>
        <v>#REF!</v>
      </c>
      <c r="H1418" t="e">
        <f t="shared" si="112"/>
        <v>#REF!</v>
      </c>
      <c r="I1418" s="141" t="e">
        <f t="shared" si="113"/>
        <v>#REF!</v>
      </c>
      <c r="J1418" t="e">
        <f t="shared" si="114"/>
        <v>#REF!</v>
      </c>
      <c r="K1418" s="141" t="e">
        <f t="shared" si="115"/>
        <v>#REF!</v>
      </c>
    </row>
    <row r="1419" spans="1:11" hidden="1" x14ac:dyDescent="0.25">
      <c r="A1419" t="e">
        <f>#REF!</f>
        <v>#REF!</v>
      </c>
      <c r="B1419" t="e">
        <f>#REF!</f>
        <v>#REF!</v>
      </c>
      <c r="C1419" t="e">
        <f>#REF!</f>
        <v>#REF!</v>
      </c>
      <c r="D1419" t="e">
        <f>#REF!</f>
        <v>#REF!</v>
      </c>
      <c r="E1419" t="e">
        <f>#REF!</f>
        <v>#REF!</v>
      </c>
      <c r="G1419" t="e">
        <f t="shared" si="111"/>
        <v>#REF!</v>
      </c>
      <c r="H1419" t="e">
        <f t="shared" si="112"/>
        <v>#REF!</v>
      </c>
      <c r="I1419" s="141" t="e">
        <f t="shared" si="113"/>
        <v>#REF!</v>
      </c>
      <c r="J1419" t="e">
        <f t="shared" si="114"/>
        <v>#REF!</v>
      </c>
      <c r="K1419" s="141" t="e">
        <f t="shared" si="115"/>
        <v>#REF!</v>
      </c>
    </row>
    <row r="1420" spans="1:11" hidden="1" x14ac:dyDescent="0.25">
      <c r="A1420" t="e">
        <f>#REF!</f>
        <v>#REF!</v>
      </c>
      <c r="B1420" t="e">
        <f>#REF!</f>
        <v>#REF!</v>
      </c>
      <c r="C1420" t="e">
        <f>#REF!</f>
        <v>#REF!</v>
      </c>
      <c r="D1420" t="e">
        <f>#REF!</f>
        <v>#REF!</v>
      </c>
      <c r="E1420" t="e">
        <f>#REF!</f>
        <v>#REF!</v>
      </c>
      <c r="G1420" t="e">
        <f t="shared" si="111"/>
        <v>#REF!</v>
      </c>
      <c r="H1420" t="e">
        <f t="shared" si="112"/>
        <v>#REF!</v>
      </c>
      <c r="I1420" s="141" t="e">
        <f t="shared" si="113"/>
        <v>#REF!</v>
      </c>
      <c r="J1420" t="e">
        <f t="shared" si="114"/>
        <v>#REF!</v>
      </c>
      <c r="K1420" s="141" t="e">
        <f t="shared" si="115"/>
        <v>#REF!</v>
      </c>
    </row>
    <row r="1421" spans="1:11" hidden="1" x14ac:dyDescent="0.25">
      <c r="A1421" t="e">
        <f>#REF!</f>
        <v>#REF!</v>
      </c>
      <c r="B1421" t="e">
        <f>#REF!</f>
        <v>#REF!</v>
      </c>
      <c r="C1421" t="e">
        <f>#REF!</f>
        <v>#REF!</v>
      </c>
      <c r="D1421" t="e">
        <f>#REF!</f>
        <v>#REF!</v>
      </c>
      <c r="E1421" t="e">
        <f>#REF!</f>
        <v>#REF!</v>
      </c>
      <c r="G1421" t="e">
        <f t="shared" si="111"/>
        <v>#REF!</v>
      </c>
      <c r="H1421" t="e">
        <f t="shared" si="112"/>
        <v>#REF!</v>
      </c>
      <c r="I1421" s="141" t="e">
        <f t="shared" si="113"/>
        <v>#REF!</v>
      </c>
      <c r="J1421" t="e">
        <f t="shared" si="114"/>
        <v>#REF!</v>
      </c>
      <c r="K1421" s="141" t="e">
        <f t="shared" si="115"/>
        <v>#REF!</v>
      </c>
    </row>
    <row r="1422" spans="1:11" hidden="1" x14ac:dyDescent="0.25">
      <c r="A1422" t="e">
        <f>#REF!</f>
        <v>#REF!</v>
      </c>
      <c r="B1422" t="e">
        <f>#REF!</f>
        <v>#REF!</v>
      </c>
      <c r="C1422" t="e">
        <f>#REF!</f>
        <v>#REF!</v>
      </c>
      <c r="D1422" t="e">
        <f>#REF!</f>
        <v>#REF!</v>
      </c>
      <c r="E1422" t="e">
        <f>#REF!</f>
        <v>#REF!</v>
      </c>
      <c r="G1422" t="e">
        <f t="shared" si="111"/>
        <v>#REF!</v>
      </c>
      <c r="H1422" t="e">
        <f t="shared" si="112"/>
        <v>#REF!</v>
      </c>
      <c r="I1422" s="141" t="e">
        <f t="shared" si="113"/>
        <v>#REF!</v>
      </c>
      <c r="J1422" t="e">
        <f t="shared" si="114"/>
        <v>#REF!</v>
      </c>
      <c r="K1422" s="141" t="e">
        <f t="shared" si="115"/>
        <v>#REF!</v>
      </c>
    </row>
    <row r="1423" spans="1:11" hidden="1" x14ac:dyDescent="0.25">
      <c r="A1423" t="e">
        <f>#REF!</f>
        <v>#REF!</v>
      </c>
      <c r="B1423" t="e">
        <f>#REF!</f>
        <v>#REF!</v>
      </c>
      <c r="C1423" t="e">
        <f>#REF!</f>
        <v>#REF!</v>
      </c>
      <c r="D1423" t="e">
        <f>#REF!</f>
        <v>#REF!</v>
      </c>
      <c r="E1423" t="e">
        <f>#REF!</f>
        <v>#REF!</v>
      </c>
      <c r="G1423" t="e">
        <f t="shared" si="111"/>
        <v>#REF!</v>
      </c>
      <c r="H1423" t="e">
        <f t="shared" si="112"/>
        <v>#REF!</v>
      </c>
      <c r="I1423" s="141" t="e">
        <f t="shared" si="113"/>
        <v>#REF!</v>
      </c>
      <c r="J1423" t="e">
        <f t="shared" si="114"/>
        <v>#REF!</v>
      </c>
      <c r="K1423" s="141" t="e">
        <f t="shared" si="115"/>
        <v>#REF!</v>
      </c>
    </row>
    <row r="1424" spans="1:11" hidden="1" x14ac:dyDescent="0.25">
      <c r="A1424" t="e">
        <f>#REF!</f>
        <v>#REF!</v>
      </c>
      <c r="B1424" t="e">
        <f>#REF!</f>
        <v>#REF!</v>
      </c>
      <c r="C1424" t="e">
        <f>#REF!</f>
        <v>#REF!</v>
      </c>
      <c r="D1424" t="e">
        <f>#REF!</f>
        <v>#REF!</v>
      </c>
      <c r="E1424" t="e">
        <f>#REF!</f>
        <v>#REF!</v>
      </c>
      <c r="G1424" t="e">
        <f t="shared" si="111"/>
        <v>#REF!</v>
      </c>
      <c r="H1424" t="e">
        <f t="shared" si="112"/>
        <v>#REF!</v>
      </c>
      <c r="I1424" s="141" t="e">
        <f t="shared" si="113"/>
        <v>#REF!</v>
      </c>
      <c r="J1424" t="e">
        <f t="shared" si="114"/>
        <v>#REF!</v>
      </c>
      <c r="K1424" s="141" t="e">
        <f t="shared" si="115"/>
        <v>#REF!</v>
      </c>
    </row>
    <row r="1425" spans="1:11" hidden="1" x14ac:dyDescent="0.25">
      <c r="A1425" t="e">
        <f>#REF!</f>
        <v>#REF!</v>
      </c>
      <c r="B1425" t="e">
        <f>#REF!</f>
        <v>#REF!</v>
      </c>
      <c r="C1425" t="e">
        <f>#REF!</f>
        <v>#REF!</v>
      </c>
      <c r="D1425" t="e">
        <f>#REF!</f>
        <v>#REF!</v>
      </c>
      <c r="E1425" t="e">
        <f>#REF!</f>
        <v>#REF!</v>
      </c>
      <c r="G1425" t="e">
        <f t="shared" si="111"/>
        <v>#REF!</v>
      </c>
      <c r="H1425" t="e">
        <f t="shared" si="112"/>
        <v>#REF!</v>
      </c>
      <c r="I1425" s="141" t="e">
        <f t="shared" si="113"/>
        <v>#REF!</v>
      </c>
      <c r="J1425" t="e">
        <f t="shared" si="114"/>
        <v>#REF!</v>
      </c>
      <c r="K1425" s="141" t="e">
        <f t="shared" si="115"/>
        <v>#REF!</v>
      </c>
    </row>
    <row r="1426" spans="1:11" hidden="1" x14ac:dyDescent="0.25">
      <c r="A1426" t="e">
        <f>#REF!</f>
        <v>#REF!</v>
      </c>
      <c r="B1426" t="e">
        <f>#REF!</f>
        <v>#REF!</v>
      </c>
      <c r="C1426" t="e">
        <f>#REF!</f>
        <v>#REF!</v>
      </c>
      <c r="D1426" t="e">
        <f>#REF!</f>
        <v>#REF!</v>
      </c>
      <c r="E1426" t="e">
        <f>#REF!</f>
        <v>#REF!</v>
      </c>
      <c r="G1426" t="e">
        <f t="shared" si="111"/>
        <v>#REF!</v>
      </c>
      <c r="H1426" t="e">
        <f t="shared" si="112"/>
        <v>#REF!</v>
      </c>
      <c r="I1426" s="141" t="e">
        <f t="shared" si="113"/>
        <v>#REF!</v>
      </c>
      <c r="J1426" t="e">
        <f t="shared" si="114"/>
        <v>#REF!</v>
      </c>
      <c r="K1426" s="141" t="e">
        <f t="shared" si="115"/>
        <v>#REF!</v>
      </c>
    </row>
    <row r="1427" spans="1:11" hidden="1" x14ac:dyDescent="0.25">
      <c r="A1427" t="e">
        <f>#REF!</f>
        <v>#REF!</v>
      </c>
      <c r="B1427" t="e">
        <f>#REF!</f>
        <v>#REF!</v>
      </c>
      <c r="C1427" t="e">
        <f>#REF!</f>
        <v>#REF!</v>
      </c>
      <c r="D1427" t="e">
        <f>#REF!</f>
        <v>#REF!</v>
      </c>
      <c r="E1427" t="e">
        <f>#REF!</f>
        <v>#REF!</v>
      </c>
      <c r="G1427" t="e">
        <f t="shared" si="111"/>
        <v>#REF!</v>
      </c>
      <c r="H1427" t="e">
        <f t="shared" si="112"/>
        <v>#REF!</v>
      </c>
      <c r="I1427" s="141" t="e">
        <f t="shared" si="113"/>
        <v>#REF!</v>
      </c>
      <c r="J1427" t="e">
        <f t="shared" si="114"/>
        <v>#REF!</v>
      </c>
      <c r="K1427" s="141" t="e">
        <f t="shared" si="115"/>
        <v>#REF!</v>
      </c>
    </row>
    <row r="1428" spans="1:11" hidden="1" x14ac:dyDescent="0.25">
      <c r="A1428" t="e">
        <f>#REF!</f>
        <v>#REF!</v>
      </c>
      <c r="B1428" t="e">
        <f>#REF!</f>
        <v>#REF!</v>
      </c>
      <c r="C1428" t="e">
        <f>#REF!</f>
        <v>#REF!</v>
      </c>
      <c r="D1428" t="e">
        <f>#REF!</f>
        <v>#REF!</v>
      </c>
      <c r="E1428" t="e">
        <f>#REF!</f>
        <v>#REF!</v>
      </c>
      <c r="G1428" t="e">
        <f t="shared" si="111"/>
        <v>#REF!</v>
      </c>
      <c r="H1428" t="e">
        <f t="shared" si="112"/>
        <v>#REF!</v>
      </c>
      <c r="I1428" s="141" t="e">
        <f t="shared" si="113"/>
        <v>#REF!</v>
      </c>
      <c r="J1428" t="e">
        <f t="shared" si="114"/>
        <v>#REF!</v>
      </c>
      <c r="K1428" s="141" t="e">
        <f t="shared" si="115"/>
        <v>#REF!</v>
      </c>
    </row>
    <row r="1429" spans="1:11" hidden="1" x14ac:dyDescent="0.25">
      <c r="A1429" t="e">
        <f>#REF!</f>
        <v>#REF!</v>
      </c>
      <c r="B1429" t="e">
        <f>#REF!</f>
        <v>#REF!</v>
      </c>
      <c r="C1429" t="e">
        <f>#REF!</f>
        <v>#REF!</v>
      </c>
      <c r="D1429" t="e">
        <f>#REF!</f>
        <v>#REF!</v>
      </c>
      <c r="E1429" t="e">
        <f>#REF!</f>
        <v>#REF!</v>
      </c>
      <c r="G1429" t="e">
        <f t="shared" si="111"/>
        <v>#REF!</v>
      </c>
      <c r="H1429" t="e">
        <f t="shared" si="112"/>
        <v>#REF!</v>
      </c>
      <c r="I1429" s="141" t="e">
        <f t="shared" si="113"/>
        <v>#REF!</v>
      </c>
      <c r="J1429" t="e">
        <f t="shared" si="114"/>
        <v>#REF!</v>
      </c>
      <c r="K1429" s="141" t="e">
        <f t="shared" si="115"/>
        <v>#REF!</v>
      </c>
    </row>
    <row r="1430" spans="1:11" hidden="1" x14ac:dyDescent="0.25">
      <c r="A1430" t="e">
        <f>#REF!</f>
        <v>#REF!</v>
      </c>
      <c r="B1430" t="e">
        <f>#REF!</f>
        <v>#REF!</v>
      </c>
      <c r="C1430" t="e">
        <f>#REF!</f>
        <v>#REF!</v>
      </c>
      <c r="D1430" t="e">
        <f>#REF!</f>
        <v>#REF!</v>
      </c>
      <c r="E1430" t="e">
        <f>#REF!</f>
        <v>#REF!</v>
      </c>
      <c r="G1430" t="e">
        <f t="shared" si="111"/>
        <v>#REF!</v>
      </c>
      <c r="H1430" t="e">
        <f t="shared" si="112"/>
        <v>#REF!</v>
      </c>
      <c r="I1430" s="141" t="e">
        <f t="shared" si="113"/>
        <v>#REF!</v>
      </c>
      <c r="J1430" t="e">
        <f t="shared" si="114"/>
        <v>#REF!</v>
      </c>
      <c r="K1430" s="141" t="e">
        <f t="shared" si="115"/>
        <v>#REF!</v>
      </c>
    </row>
    <row r="1431" spans="1:11" hidden="1" x14ac:dyDescent="0.25">
      <c r="A1431" t="e">
        <f>#REF!</f>
        <v>#REF!</v>
      </c>
      <c r="B1431" t="e">
        <f>#REF!</f>
        <v>#REF!</v>
      </c>
      <c r="C1431" t="e">
        <f>#REF!</f>
        <v>#REF!</v>
      </c>
      <c r="D1431" t="e">
        <f>#REF!</f>
        <v>#REF!</v>
      </c>
      <c r="E1431" t="e">
        <f>#REF!</f>
        <v>#REF!</v>
      </c>
      <c r="G1431" t="e">
        <f t="shared" si="111"/>
        <v>#REF!</v>
      </c>
      <c r="H1431" t="e">
        <f t="shared" si="112"/>
        <v>#REF!</v>
      </c>
      <c r="I1431" s="141" t="e">
        <f t="shared" si="113"/>
        <v>#REF!</v>
      </c>
      <c r="J1431" t="e">
        <f t="shared" si="114"/>
        <v>#REF!</v>
      </c>
      <c r="K1431" s="141" t="e">
        <f t="shared" si="115"/>
        <v>#REF!</v>
      </c>
    </row>
    <row r="1432" spans="1:11" hidden="1" x14ac:dyDescent="0.25">
      <c r="A1432" t="e">
        <f>#REF!</f>
        <v>#REF!</v>
      </c>
      <c r="B1432" t="e">
        <f>#REF!</f>
        <v>#REF!</v>
      </c>
      <c r="C1432" t="e">
        <f>#REF!</f>
        <v>#REF!</v>
      </c>
      <c r="D1432" t="e">
        <f>#REF!</f>
        <v>#REF!</v>
      </c>
      <c r="E1432" t="e">
        <f>#REF!</f>
        <v>#REF!</v>
      </c>
      <c r="G1432" t="e">
        <f t="shared" si="111"/>
        <v>#REF!</v>
      </c>
      <c r="H1432" t="e">
        <f t="shared" si="112"/>
        <v>#REF!</v>
      </c>
      <c r="I1432" s="141" t="e">
        <f t="shared" si="113"/>
        <v>#REF!</v>
      </c>
      <c r="J1432" t="e">
        <f t="shared" si="114"/>
        <v>#REF!</v>
      </c>
      <c r="K1432" s="141" t="e">
        <f t="shared" si="115"/>
        <v>#REF!</v>
      </c>
    </row>
    <row r="1433" spans="1:11" hidden="1" x14ac:dyDescent="0.25">
      <c r="A1433" t="e">
        <f>#REF!</f>
        <v>#REF!</v>
      </c>
      <c r="B1433" t="e">
        <f>#REF!</f>
        <v>#REF!</v>
      </c>
      <c r="C1433" t="e">
        <f>#REF!</f>
        <v>#REF!</v>
      </c>
      <c r="D1433" t="e">
        <f>#REF!</f>
        <v>#REF!</v>
      </c>
      <c r="E1433" t="e">
        <f>#REF!</f>
        <v>#REF!</v>
      </c>
      <c r="G1433" t="e">
        <f t="shared" si="111"/>
        <v>#REF!</v>
      </c>
      <c r="H1433" t="e">
        <f t="shared" si="112"/>
        <v>#REF!</v>
      </c>
      <c r="I1433" s="141" t="e">
        <f t="shared" si="113"/>
        <v>#REF!</v>
      </c>
      <c r="J1433" t="e">
        <f t="shared" si="114"/>
        <v>#REF!</v>
      </c>
      <c r="K1433" s="141" t="e">
        <f t="shared" si="115"/>
        <v>#REF!</v>
      </c>
    </row>
    <row r="1434" spans="1:11" hidden="1" x14ac:dyDescent="0.25">
      <c r="A1434" t="e">
        <f>#REF!</f>
        <v>#REF!</v>
      </c>
      <c r="B1434" t="e">
        <f>#REF!</f>
        <v>#REF!</v>
      </c>
      <c r="C1434" t="e">
        <f>#REF!</f>
        <v>#REF!</v>
      </c>
      <c r="D1434" t="e">
        <f>#REF!</f>
        <v>#REF!</v>
      </c>
      <c r="E1434" t="e">
        <f>#REF!</f>
        <v>#REF!</v>
      </c>
      <c r="G1434" t="e">
        <f t="shared" si="111"/>
        <v>#REF!</v>
      </c>
      <c r="H1434" t="e">
        <f t="shared" si="112"/>
        <v>#REF!</v>
      </c>
      <c r="I1434" s="141" t="e">
        <f t="shared" si="113"/>
        <v>#REF!</v>
      </c>
      <c r="J1434" t="e">
        <f t="shared" si="114"/>
        <v>#REF!</v>
      </c>
      <c r="K1434" s="141" t="e">
        <f t="shared" si="115"/>
        <v>#REF!</v>
      </c>
    </row>
    <row r="1435" spans="1:11" hidden="1" x14ac:dyDescent="0.25">
      <c r="A1435" t="e">
        <f>#REF!</f>
        <v>#REF!</v>
      </c>
      <c r="B1435" t="e">
        <f>#REF!</f>
        <v>#REF!</v>
      </c>
      <c r="C1435" t="e">
        <f>#REF!</f>
        <v>#REF!</v>
      </c>
      <c r="D1435" t="e">
        <f>#REF!</f>
        <v>#REF!</v>
      </c>
      <c r="E1435" t="e">
        <f>#REF!</f>
        <v>#REF!</v>
      </c>
      <c r="G1435" t="e">
        <f t="shared" si="111"/>
        <v>#REF!</v>
      </c>
      <c r="H1435" t="e">
        <f t="shared" si="112"/>
        <v>#REF!</v>
      </c>
      <c r="I1435" s="141" t="e">
        <f t="shared" si="113"/>
        <v>#REF!</v>
      </c>
      <c r="J1435" t="e">
        <f t="shared" si="114"/>
        <v>#REF!</v>
      </c>
      <c r="K1435" s="141" t="e">
        <f t="shared" si="115"/>
        <v>#REF!</v>
      </c>
    </row>
    <row r="1436" spans="1:11" hidden="1" x14ac:dyDescent="0.25">
      <c r="A1436" t="e">
        <f>#REF!</f>
        <v>#REF!</v>
      </c>
      <c r="B1436" t="e">
        <f>#REF!</f>
        <v>#REF!</v>
      </c>
      <c r="C1436" t="e">
        <f>#REF!</f>
        <v>#REF!</v>
      </c>
      <c r="D1436" t="e">
        <f>#REF!</f>
        <v>#REF!</v>
      </c>
      <c r="E1436" t="e">
        <f>#REF!</f>
        <v>#REF!</v>
      </c>
      <c r="G1436" t="e">
        <f t="shared" si="111"/>
        <v>#REF!</v>
      </c>
      <c r="H1436" t="e">
        <f t="shared" si="112"/>
        <v>#REF!</v>
      </c>
      <c r="I1436" s="141" t="e">
        <f t="shared" si="113"/>
        <v>#REF!</v>
      </c>
      <c r="J1436" t="e">
        <f t="shared" si="114"/>
        <v>#REF!</v>
      </c>
      <c r="K1436" s="141" t="e">
        <f t="shared" si="115"/>
        <v>#REF!</v>
      </c>
    </row>
    <row r="1437" spans="1:11" hidden="1" x14ac:dyDescent="0.25">
      <c r="A1437" t="e">
        <f>#REF!</f>
        <v>#REF!</v>
      </c>
      <c r="B1437" t="e">
        <f>#REF!</f>
        <v>#REF!</v>
      </c>
      <c r="C1437" t="e">
        <f>#REF!</f>
        <v>#REF!</v>
      </c>
      <c r="D1437" t="e">
        <f>#REF!</f>
        <v>#REF!</v>
      </c>
      <c r="E1437" t="e">
        <f>#REF!</f>
        <v>#REF!</v>
      </c>
      <c r="G1437" t="e">
        <f t="shared" si="111"/>
        <v>#REF!</v>
      </c>
      <c r="H1437" t="e">
        <f t="shared" si="112"/>
        <v>#REF!</v>
      </c>
      <c r="I1437" s="141" t="e">
        <f t="shared" si="113"/>
        <v>#REF!</v>
      </c>
      <c r="J1437" t="e">
        <f t="shared" si="114"/>
        <v>#REF!</v>
      </c>
      <c r="K1437" s="141" t="e">
        <f t="shared" si="115"/>
        <v>#REF!</v>
      </c>
    </row>
    <row r="1438" spans="1:11" hidden="1" x14ac:dyDescent="0.25">
      <c r="A1438" t="e">
        <f>#REF!</f>
        <v>#REF!</v>
      </c>
      <c r="B1438" t="e">
        <f>#REF!</f>
        <v>#REF!</v>
      </c>
      <c r="C1438" t="e">
        <f>#REF!</f>
        <v>#REF!</v>
      </c>
      <c r="D1438" t="e">
        <f>#REF!</f>
        <v>#REF!</v>
      </c>
      <c r="E1438" t="e">
        <f>#REF!</f>
        <v>#REF!</v>
      </c>
      <c r="G1438" t="e">
        <f t="shared" si="111"/>
        <v>#REF!</v>
      </c>
      <c r="H1438" t="e">
        <f t="shared" si="112"/>
        <v>#REF!</v>
      </c>
      <c r="I1438" s="141" t="e">
        <f t="shared" si="113"/>
        <v>#REF!</v>
      </c>
      <c r="J1438" t="e">
        <f t="shared" si="114"/>
        <v>#REF!</v>
      </c>
      <c r="K1438" s="141" t="e">
        <f t="shared" si="115"/>
        <v>#REF!</v>
      </c>
    </row>
    <row r="1439" spans="1:11" hidden="1" x14ac:dyDescent="0.25">
      <c r="A1439" t="e">
        <f>#REF!</f>
        <v>#REF!</v>
      </c>
      <c r="B1439" t="e">
        <f>#REF!</f>
        <v>#REF!</v>
      </c>
      <c r="C1439" t="e">
        <f>#REF!</f>
        <v>#REF!</v>
      </c>
      <c r="D1439" t="e">
        <f>#REF!</f>
        <v>#REF!</v>
      </c>
      <c r="E1439" t="e">
        <f>#REF!</f>
        <v>#REF!</v>
      </c>
      <c r="G1439" t="e">
        <f t="shared" si="111"/>
        <v>#REF!</v>
      </c>
      <c r="H1439" t="e">
        <f t="shared" si="112"/>
        <v>#REF!</v>
      </c>
      <c r="I1439" s="141" t="e">
        <f t="shared" si="113"/>
        <v>#REF!</v>
      </c>
      <c r="J1439" t="e">
        <f t="shared" si="114"/>
        <v>#REF!</v>
      </c>
      <c r="K1439" s="141" t="e">
        <f t="shared" si="115"/>
        <v>#REF!</v>
      </c>
    </row>
    <row r="1440" spans="1:11" hidden="1" x14ac:dyDescent="0.25">
      <c r="A1440" t="e">
        <f>#REF!</f>
        <v>#REF!</v>
      </c>
      <c r="B1440" t="e">
        <f>#REF!</f>
        <v>#REF!</v>
      </c>
      <c r="C1440" t="e">
        <f>#REF!</f>
        <v>#REF!</v>
      </c>
      <c r="D1440" t="e">
        <f>#REF!</f>
        <v>#REF!</v>
      </c>
      <c r="E1440" t="e">
        <f>#REF!</f>
        <v>#REF!</v>
      </c>
      <c r="G1440" t="e">
        <f t="shared" si="111"/>
        <v>#REF!</v>
      </c>
      <c r="H1440" t="e">
        <f t="shared" si="112"/>
        <v>#REF!</v>
      </c>
      <c r="I1440" s="141" t="e">
        <f t="shared" si="113"/>
        <v>#REF!</v>
      </c>
      <c r="J1440" t="e">
        <f t="shared" si="114"/>
        <v>#REF!</v>
      </c>
      <c r="K1440" s="141" t="e">
        <f t="shared" si="115"/>
        <v>#REF!</v>
      </c>
    </row>
    <row r="1441" spans="1:11" hidden="1" x14ac:dyDescent="0.25">
      <c r="A1441" t="e">
        <f>#REF!</f>
        <v>#REF!</v>
      </c>
      <c r="B1441" t="e">
        <f>#REF!</f>
        <v>#REF!</v>
      </c>
      <c r="C1441" t="e">
        <f>#REF!</f>
        <v>#REF!</v>
      </c>
      <c r="D1441" t="e">
        <f>#REF!</f>
        <v>#REF!</v>
      </c>
      <c r="E1441" t="e">
        <f>#REF!</f>
        <v>#REF!</v>
      </c>
      <c r="G1441" t="e">
        <f t="shared" si="111"/>
        <v>#REF!</v>
      </c>
      <c r="H1441" t="e">
        <f t="shared" si="112"/>
        <v>#REF!</v>
      </c>
      <c r="I1441" s="141" t="e">
        <f t="shared" si="113"/>
        <v>#REF!</v>
      </c>
      <c r="J1441" t="e">
        <f t="shared" si="114"/>
        <v>#REF!</v>
      </c>
      <c r="K1441" s="141" t="e">
        <f t="shared" si="115"/>
        <v>#REF!</v>
      </c>
    </row>
    <row r="1442" spans="1:11" hidden="1" x14ac:dyDescent="0.25">
      <c r="A1442" t="e">
        <f>#REF!</f>
        <v>#REF!</v>
      </c>
      <c r="B1442" t="e">
        <f>#REF!</f>
        <v>#REF!</v>
      </c>
      <c r="C1442" t="e">
        <f>#REF!</f>
        <v>#REF!</v>
      </c>
      <c r="D1442" t="e">
        <f>#REF!</f>
        <v>#REF!</v>
      </c>
      <c r="E1442" t="e">
        <f>#REF!</f>
        <v>#REF!</v>
      </c>
      <c r="G1442" t="e">
        <f t="shared" si="111"/>
        <v>#REF!</v>
      </c>
      <c r="H1442" t="e">
        <f t="shared" si="112"/>
        <v>#REF!</v>
      </c>
      <c r="I1442" s="141" t="e">
        <f t="shared" si="113"/>
        <v>#REF!</v>
      </c>
      <c r="J1442" t="e">
        <f t="shared" si="114"/>
        <v>#REF!</v>
      </c>
      <c r="K1442" s="141" t="e">
        <f t="shared" si="115"/>
        <v>#REF!</v>
      </c>
    </row>
    <row r="1443" spans="1:11" hidden="1" x14ac:dyDescent="0.25">
      <c r="A1443" t="e">
        <f>#REF!</f>
        <v>#REF!</v>
      </c>
      <c r="B1443" t="e">
        <f>#REF!</f>
        <v>#REF!</v>
      </c>
      <c r="C1443" t="e">
        <f>#REF!</f>
        <v>#REF!</v>
      </c>
      <c r="D1443" t="e">
        <f>#REF!</f>
        <v>#REF!</v>
      </c>
      <c r="E1443" t="e">
        <f>#REF!</f>
        <v>#REF!</v>
      </c>
      <c r="G1443" t="e">
        <f t="shared" si="111"/>
        <v>#REF!</v>
      </c>
      <c r="H1443" t="e">
        <f t="shared" si="112"/>
        <v>#REF!</v>
      </c>
      <c r="I1443" s="141" t="e">
        <f t="shared" si="113"/>
        <v>#REF!</v>
      </c>
      <c r="J1443" t="e">
        <f t="shared" si="114"/>
        <v>#REF!</v>
      </c>
      <c r="K1443" s="141" t="e">
        <f t="shared" si="115"/>
        <v>#REF!</v>
      </c>
    </row>
    <row r="1444" spans="1:11" hidden="1" x14ac:dyDescent="0.25">
      <c r="A1444" t="e">
        <f>#REF!</f>
        <v>#REF!</v>
      </c>
      <c r="B1444" t="e">
        <f>#REF!</f>
        <v>#REF!</v>
      </c>
      <c r="C1444" t="e">
        <f>#REF!</f>
        <v>#REF!</v>
      </c>
      <c r="D1444" t="e">
        <f>#REF!</f>
        <v>#REF!</v>
      </c>
      <c r="E1444" t="e">
        <f>#REF!</f>
        <v>#REF!</v>
      </c>
      <c r="G1444" t="e">
        <f t="shared" si="111"/>
        <v>#REF!</v>
      </c>
      <c r="H1444" t="e">
        <f t="shared" si="112"/>
        <v>#REF!</v>
      </c>
      <c r="I1444" s="141" t="e">
        <f t="shared" si="113"/>
        <v>#REF!</v>
      </c>
      <c r="J1444" t="e">
        <f t="shared" si="114"/>
        <v>#REF!</v>
      </c>
      <c r="K1444" s="141" t="e">
        <f t="shared" si="115"/>
        <v>#REF!</v>
      </c>
    </row>
    <row r="1445" spans="1:11" hidden="1" x14ac:dyDescent="0.25">
      <c r="A1445" t="e">
        <f>#REF!</f>
        <v>#REF!</v>
      </c>
      <c r="B1445" t="e">
        <f>#REF!</f>
        <v>#REF!</v>
      </c>
      <c r="C1445" t="e">
        <f>#REF!</f>
        <v>#REF!</v>
      </c>
      <c r="D1445" t="e">
        <f>#REF!</f>
        <v>#REF!</v>
      </c>
      <c r="E1445" t="e">
        <f>#REF!</f>
        <v>#REF!</v>
      </c>
      <c r="G1445" t="e">
        <f t="shared" si="111"/>
        <v>#REF!</v>
      </c>
      <c r="H1445" t="e">
        <f t="shared" si="112"/>
        <v>#REF!</v>
      </c>
      <c r="I1445" s="141" t="e">
        <f t="shared" si="113"/>
        <v>#REF!</v>
      </c>
      <c r="J1445" t="e">
        <f t="shared" si="114"/>
        <v>#REF!</v>
      </c>
      <c r="K1445" s="141" t="e">
        <f t="shared" si="115"/>
        <v>#REF!</v>
      </c>
    </row>
    <row r="1446" spans="1:11" hidden="1" x14ac:dyDescent="0.25">
      <c r="A1446" t="e">
        <f>#REF!</f>
        <v>#REF!</v>
      </c>
      <c r="B1446" t="e">
        <f>#REF!</f>
        <v>#REF!</v>
      </c>
      <c r="C1446" t="e">
        <f>#REF!</f>
        <v>#REF!</v>
      </c>
      <c r="D1446" t="e">
        <f>#REF!</f>
        <v>#REF!</v>
      </c>
      <c r="E1446" t="e">
        <f>#REF!</f>
        <v>#REF!</v>
      </c>
      <c r="G1446" t="e">
        <f t="shared" si="111"/>
        <v>#REF!</v>
      </c>
      <c r="H1446" t="e">
        <f t="shared" si="112"/>
        <v>#REF!</v>
      </c>
      <c r="I1446" s="141" t="e">
        <f t="shared" si="113"/>
        <v>#REF!</v>
      </c>
      <c r="J1446" t="e">
        <f t="shared" si="114"/>
        <v>#REF!</v>
      </c>
      <c r="K1446" s="141" t="e">
        <f t="shared" si="115"/>
        <v>#REF!</v>
      </c>
    </row>
    <row r="1447" spans="1:11" hidden="1" x14ac:dyDescent="0.25">
      <c r="A1447" t="e">
        <f>#REF!</f>
        <v>#REF!</v>
      </c>
      <c r="B1447" t="e">
        <f>#REF!</f>
        <v>#REF!</v>
      </c>
      <c r="C1447" t="e">
        <f>#REF!</f>
        <v>#REF!</v>
      </c>
      <c r="D1447" t="e">
        <f>#REF!</f>
        <v>#REF!</v>
      </c>
      <c r="E1447" t="e">
        <f>#REF!</f>
        <v>#REF!</v>
      </c>
      <c r="G1447" t="e">
        <f t="shared" si="111"/>
        <v>#REF!</v>
      </c>
      <c r="H1447" t="e">
        <f t="shared" si="112"/>
        <v>#REF!</v>
      </c>
      <c r="I1447" s="141" t="e">
        <f t="shared" si="113"/>
        <v>#REF!</v>
      </c>
      <c r="J1447" t="e">
        <f t="shared" si="114"/>
        <v>#REF!</v>
      </c>
      <c r="K1447" s="141" t="e">
        <f t="shared" si="115"/>
        <v>#REF!</v>
      </c>
    </row>
    <row r="1448" spans="1:11" hidden="1" x14ac:dyDescent="0.25">
      <c r="A1448" t="e">
        <f>#REF!</f>
        <v>#REF!</v>
      </c>
      <c r="B1448" t="e">
        <f>#REF!</f>
        <v>#REF!</v>
      </c>
      <c r="C1448" t="e">
        <f>#REF!</f>
        <v>#REF!</v>
      </c>
      <c r="D1448" t="e">
        <f>#REF!</f>
        <v>#REF!</v>
      </c>
      <c r="E1448" t="e">
        <f>#REF!</f>
        <v>#REF!</v>
      </c>
      <c r="G1448" t="e">
        <f t="shared" si="111"/>
        <v>#REF!</v>
      </c>
      <c r="H1448" t="e">
        <f t="shared" si="112"/>
        <v>#REF!</v>
      </c>
      <c r="I1448" s="141" t="e">
        <f t="shared" si="113"/>
        <v>#REF!</v>
      </c>
      <c r="J1448" t="e">
        <f t="shared" si="114"/>
        <v>#REF!</v>
      </c>
      <c r="K1448" s="141" t="e">
        <f t="shared" si="115"/>
        <v>#REF!</v>
      </c>
    </row>
    <row r="1449" spans="1:11" hidden="1" x14ac:dyDescent="0.25">
      <c r="A1449" t="e">
        <f>#REF!</f>
        <v>#REF!</v>
      </c>
      <c r="B1449" t="e">
        <f>#REF!</f>
        <v>#REF!</v>
      </c>
      <c r="C1449" t="e">
        <f>#REF!</f>
        <v>#REF!</v>
      </c>
      <c r="D1449" t="e">
        <f>#REF!</f>
        <v>#REF!</v>
      </c>
      <c r="E1449" t="e">
        <f>#REF!</f>
        <v>#REF!</v>
      </c>
      <c r="G1449" t="e">
        <f t="shared" si="111"/>
        <v>#REF!</v>
      </c>
      <c r="H1449" t="e">
        <f t="shared" si="112"/>
        <v>#REF!</v>
      </c>
      <c r="I1449" s="141" t="e">
        <f t="shared" si="113"/>
        <v>#REF!</v>
      </c>
      <c r="J1449" t="e">
        <f t="shared" si="114"/>
        <v>#REF!</v>
      </c>
      <c r="K1449" s="141" t="e">
        <f t="shared" si="115"/>
        <v>#REF!</v>
      </c>
    </row>
    <row r="1450" spans="1:11" hidden="1" x14ac:dyDescent="0.25">
      <c r="A1450" t="e">
        <f>#REF!</f>
        <v>#REF!</v>
      </c>
      <c r="B1450" t="e">
        <f>#REF!</f>
        <v>#REF!</v>
      </c>
      <c r="C1450" t="e">
        <f>#REF!</f>
        <v>#REF!</v>
      </c>
      <c r="D1450" t="e">
        <f>#REF!</f>
        <v>#REF!</v>
      </c>
      <c r="E1450" t="e">
        <f>#REF!</f>
        <v>#REF!</v>
      </c>
      <c r="G1450" t="e">
        <f t="shared" si="111"/>
        <v>#REF!</v>
      </c>
      <c r="H1450" t="e">
        <f t="shared" si="112"/>
        <v>#REF!</v>
      </c>
      <c r="I1450" s="141" t="e">
        <f t="shared" si="113"/>
        <v>#REF!</v>
      </c>
      <c r="J1450" t="e">
        <f t="shared" si="114"/>
        <v>#REF!</v>
      </c>
      <c r="K1450" s="141" t="e">
        <f t="shared" si="115"/>
        <v>#REF!</v>
      </c>
    </row>
    <row r="1451" spans="1:11" hidden="1" x14ac:dyDescent="0.25">
      <c r="A1451" t="e">
        <f>#REF!</f>
        <v>#REF!</v>
      </c>
      <c r="B1451" t="e">
        <f>#REF!</f>
        <v>#REF!</v>
      </c>
      <c r="C1451" t="e">
        <f>#REF!</f>
        <v>#REF!</v>
      </c>
      <c r="D1451" t="e">
        <f>#REF!</f>
        <v>#REF!</v>
      </c>
      <c r="E1451" t="e">
        <f>#REF!</f>
        <v>#REF!</v>
      </c>
      <c r="G1451" t="e">
        <f t="shared" si="111"/>
        <v>#REF!</v>
      </c>
      <c r="H1451" t="e">
        <f t="shared" si="112"/>
        <v>#REF!</v>
      </c>
      <c r="I1451" s="141" t="e">
        <f t="shared" si="113"/>
        <v>#REF!</v>
      </c>
      <c r="J1451" t="e">
        <f t="shared" si="114"/>
        <v>#REF!</v>
      </c>
      <c r="K1451" s="141" t="e">
        <f t="shared" si="115"/>
        <v>#REF!</v>
      </c>
    </row>
    <row r="1452" spans="1:11" hidden="1" x14ac:dyDescent="0.25">
      <c r="A1452" t="e">
        <f>#REF!</f>
        <v>#REF!</v>
      </c>
      <c r="B1452" t="e">
        <f>#REF!</f>
        <v>#REF!</v>
      </c>
      <c r="C1452" t="e">
        <f>#REF!</f>
        <v>#REF!</v>
      </c>
      <c r="D1452" t="e">
        <f>#REF!</f>
        <v>#REF!</v>
      </c>
      <c r="E1452" t="e">
        <f>#REF!</f>
        <v>#REF!</v>
      </c>
      <c r="G1452" t="e">
        <f t="shared" si="111"/>
        <v>#REF!</v>
      </c>
      <c r="H1452" t="e">
        <f t="shared" si="112"/>
        <v>#REF!</v>
      </c>
      <c r="I1452" s="141" t="e">
        <f t="shared" si="113"/>
        <v>#REF!</v>
      </c>
      <c r="J1452" t="e">
        <f t="shared" si="114"/>
        <v>#REF!</v>
      </c>
      <c r="K1452" s="141" t="e">
        <f t="shared" si="115"/>
        <v>#REF!</v>
      </c>
    </row>
    <row r="1453" spans="1:11" hidden="1" x14ac:dyDescent="0.25">
      <c r="A1453" t="e">
        <f>#REF!</f>
        <v>#REF!</v>
      </c>
      <c r="B1453" t="e">
        <f>#REF!</f>
        <v>#REF!</v>
      </c>
      <c r="C1453" t="e">
        <f>#REF!</f>
        <v>#REF!</v>
      </c>
      <c r="D1453" t="e">
        <f>#REF!</f>
        <v>#REF!</v>
      </c>
      <c r="E1453" t="e">
        <f>#REF!</f>
        <v>#REF!</v>
      </c>
      <c r="G1453" t="e">
        <f t="shared" si="111"/>
        <v>#REF!</v>
      </c>
      <c r="H1453" t="e">
        <f t="shared" si="112"/>
        <v>#REF!</v>
      </c>
      <c r="I1453" s="141" t="e">
        <f t="shared" si="113"/>
        <v>#REF!</v>
      </c>
      <c r="J1453" t="e">
        <f t="shared" si="114"/>
        <v>#REF!</v>
      </c>
      <c r="K1453" s="141" t="e">
        <f t="shared" si="115"/>
        <v>#REF!</v>
      </c>
    </row>
    <row r="1454" spans="1:11" hidden="1" x14ac:dyDescent="0.25">
      <c r="A1454" t="e">
        <f>#REF!</f>
        <v>#REF!</v>
      </c>
      <c r="B1454" t="e">
        <f>#REF!</f>
        <v>#REF!</v>
      </c>
      <c r="C1454" t="e">
        <f>#REF!</f>
        <v>#REF!</v>
      </c>
      <c r="D1454" t="e">
        <f>#REF!</f>
        <v>#REF!</v>
      </c>
      <c r="E1454" t="e">
        <f>#REF!</f>
        <v>#REF!</v>
      </c>
      <c r="G1454" t="e">
        <f t="shared" si="111"/>
        <v>#REF!</v>
      </c>
      <c r="H1454" t="e">
        <f t="shared" si="112"/>
        <v>#REF!</v>
      </c>
      <c r="I1454" s="141" t="e">
        <f t="shared" si="113"/>
        <v>#REF!</v>
      </c>
      <c r="J1454" t="e">
        <f t="shared" si="114"/>
        <v>#REF!</v>
      </c>
      <c r="K1454" s="141" t="e">
        <f t="shared" si="115"/>
        <v>#REF!</v>
      </c>
    </row>
    <row r="1455" spans="1:11" hidden="1" x14ac:dyDescent="0.25">
      <c r="A1455" t="e">
        <f>#REF!</f>
        <v>#REF!</v>
      </c>
      <c r="B1455" t="e">
        <f>#REF!</f>
        <v>#REF!</v>
      </c>
      <c r="C1455" t="e">
        <f>#REF!</f>
        <v>#REF!</v>
      </c>
      <c r="D1455" t="e">
        <f>#REF!</f>
        <v>#REF!</v>
      </c>
      <c r="E1455" t="e">
        <f>#REF!</f>
        <v>#REF!</v>
      </c>
      <c r="G1455" t="e">
        <f t="shared" si="111"/>
        <v>#REF!</v>
      </c>
      <c r="H1455" t="e">
        <f t="shared" si="112"/>
        <v>#REF!</v>
      </c>
      <c r="I1455" s="141" t="e">
        <f t="shared" si="113"/>
        <v>#REF!</v>
      </c>
      <c r="J1455" t="e">
        <f t="shared" si="114"/>
        <v>#REF!</v>
      </c>
      <c r="K1455" s="141" t="e">
        <f t="shared" si="115"/>
        <v>#REF!</v>
      </c>
    </row>
    <row r="1456" spans="1:11" hidden="1" x14ac:dyDescent="0.25">
      <c r="A1456" t="e">
        <f>#REF!</f>
        <v>#REF!</v>
      </c>
      <c r="B1456" t="e">
        <f>#REF!</f>
        <v>#REF!</v>
      </c>
      <c r="C1456" t="e">
        <f>#REF!</f>
        <v>#REF!</v>
      </c>
      <c r="D1456" t="e">
        <f>#REF!</f>
        <v>#REF!</v>
      </c>
      <c r="E1456" t="e">
        <f>#REF!</f>
        <v>#REF!</v>
      </c>
      <c r="G1456" t="e">
        <f t="shared" si="111"/>
        <v>#REF!</v>
      </c>
      <c r="H1456" t="e">
        <f t="shared" si="112"/>
        <v>#REF!</v>
      </c>
      <c r="I1456" s="141" t="e">
        <f t="shared" si="113"/>
        <v>#REF!</v>
      </c>
      <c r="J1456" t="e">
        <f t="shared" si="114"/>
        <v>#REF!</v>
      </c>
      <c r="K1456" s="141" t="e">
        <f t="shared" si="115"/>
        <v>#REF!</v>
      </c>
    </row>
    <row r="1457" spans="1:11" hidden="1" x14ac:dyDescent="0.25">
      <c r="A1457" t="e">
        <f>#REF!</f>
        <v>#REF!</v>
      </c>
      <c r="B1457" t="e">
        <f>#REF!</f>
        <v>#REF!</v>
      </c>
      <c r="C1457" t="e">
        <f>#REF!</f>
        <v>#REF!</v>
      </c>
      <c r="D1457" t="e">
        <f>#REF!</f>
        <v>#REF!</v>
      </c>
      <c r="E1457" t="e">
        <f>#REF!</f>
        <v>#REF!</v>
      </c>
      <c r="G1457" t="e">
        <f t="shared" si="111"/>
        <v>#REF!</v>
      </c>
      <c r="H1457" t="e">
        <f t="shared" si="112"/>
        <v>#REF!</v>
      </c>
      <c r="I1457" s="141" t="e">
        <f t="shared" si="113"/>
        <v>#REF!</v>
      </c>
      <c r="J1457" t="e">
        <f t="shared" si="114"/>
        <v>#REF!</v>
      </c>
      <c r="K1457" s="141" t="e">
        <f t="shared" si="115"/>
        <v>#REF!</v>
      </c>
    </row>
    <row r="1458" spans="1:11" hidden="1" x14ac:dyDescent="0.25">
      <c r="A1458" t="e">
        <f>#REF!</f>
        <v>#REF!</v>
      </c>
      <c r="B1458" t="e">
        <f>#REF!</f>
        <v>#REF!</v>
      </c>
      <c r="C1458" t="e">
        <f>#REF!</f>
        <v>#REF!</v>
      </c>
      <c r="D1458" t="e">
        <f>#REF!</f>
        <v>#REF!</v>
      </c>
      <c r="E1458" t="e">
        <f>#REF!</f>
        <v>#REF!</v>
      </c>
      <c r="G1458" t="e">
        <f t="shared" si="111"/>
        <v>#REF!</v>
      </c>
      <c r="H1458" t="e">
        <f t="shared" si="112"/>
        <v>#REF!</v>
      </c>
      <c r="I1458" s="141" t="e">
        <f t="shared" si="113"/>
        <v>#REF!</v>
      </c>
      <c r="J1458" t="e">
        <f t="shared" si="114"/>
        <v>#REF!</v>
      </c>
      <c r="K1458" s="141" t="e">
        <f t="shared" si="115"/>
        <v>#REF!</v>
      </c>
    </row>
    <row r="1459" spans="1:11" hidden="1" x14ac:dyDescent="0.25">
      <c r="A1459" t="e">
        <f>#REF!</f>
        <v>#REF!</v>
      </c>
      <c r="B1459" t="e">
        <f>#REF!</f>
        <v>#REF!</v>
      </c>
      <c r="C1459" t="e">
        <f>#REF!</f>
        <v>#REF!</v>
      </c>
      <c r="D1459" t="e">
        <f>#REF!</f>
        <v>#REF!</v>
      </c>
      <c r="E1459" t="e">
        <f>#REF!</f>
        <v>#REF!</v>
      </c>
      <c r="G1459" t="e">
        <f t="shared" si="111"/>
        <v>#REF!</v>
      </c>
      <c r="H1459" t="e">
        <f t="shared" si="112"/>
        <v>#REF!</v>
      </c>
      <c r="I1459" s="141" t="e">
        <f t="shared" si="113"/>
        <v>#REF!</v>
      </c>
      <c r="J1459" t="e">
        <f t="shared" si="114"/>
        <v>#REF!</v>
      </c>
      <c r="K1459" s="141" t="e">
        <f t="shared" si="115"/>
        <v>#REF!</v>
      </c>
    </row>
    <row r="1460" spans="1:11" hidden="1" x14ac:dyDescent="0.25">
      <c r="A1460" t="e">
        <f>#REF!</f>
        <v>#REF!</v>
      </c>
      <c r="B1460" t="e">
        <f>#REF!</f>
        <v>#REF!</v>
      </c>
      <c r="C1460" t="e">
        <f>#REF!</f>
        <v>#REF!</v>
      </c>
      <c r="D1460" t="e">
        <f>#REF!</f>
        <v>#REF!</v>
      </c>
      <c r="E1460" t="e">
        <f>#REF!</f>
        <v>#REF!</v>
      </c>
      <c r="G1460" t="e">
        <f t="shared" si="111"/>
        <v>#REF!</v>
      </c>
      <c r="H1460" t="e">
        <f t="shared" si="112"/>
        <v>#REF!</v>
      </c>
      <c r="I1460" s="141" t="e">
        <f t="shared" si="113"/>
        <v>#REF!</v>
      </c>
      <c r="J1460" t="e">
        <f t="shared" si="114"/>
        <v>#REF!</v>
      </c>
      <c r="K1460" s="141" t="e">
        <f t="shared" si="115"/>
        <v>#REF!</v>
      </c>
    </row>
    <row r="1461" spans="1:11" hidden="1" x14ac:dyDescent="0.25">
      <c r="A1461" t="e">
        <f>#REF!</f>
        <v>#REF!</v>
      </c>
      <c r="B1461" t="e">
        <f>#REF!</f>
        <v>#REF!</v>
      </c>
      <c r="C1461" t="e">
        <f>#REF!</f>
        <v>#REF!</v>
      </c>
      <c r="D1461" t="e">
        <f>#REF!</f>
        <v>#REF!</v>
      </c>
      <c r="E1461" t="e">
        <f>#REF!</f>
        <v>#REF!</v>
      </c>
      <c r="G1461" t="e">
        <f t="shared" si="111"/>
        <v>#REF!</v>
      </c>
      <c r="H1461" t="e">
        <f t="shared" si="112"/>
        <v>#REF!</v>
      </c>
      <c r="I1461" s="141" t="e">
        <f t="shared" si="113"/>
        <v>#REF!</v>
      </c>
      <c r="J1461" t="e">
        <f t="shared" si="114"/>
        <v>#REF!</v>
      </c>
      <c r="K1461" s="141" t="e">
        <f t="shared" si="115"/>
        <v>#REF!</v>
      </c>
    </row>
    <row r="1462" spans="1:11" hidden="1" x14ac:dyDescent="0.25">
      <c r="A1462" t="e">
        <f>#REF!</f>
        <v>#REF!</v>
      </c>
      <c r="B1462" t="e">
        <f>#REF!</f>
        <v>#REF!</v>
      </c>
      <c r="C1462" t="e">
        <f>#REF!</f>
        <v>#REF!</v>
      </c>
      <c r="D1462" t="e">
        <f>#REF!</f>
        <v>#REF!</v>
      </c>
      <c r="E1462" t="e">
        <f>#REF!</f>
        <v>#REF!</v>
      </c>
      <c r="G1462" t="e">
        <f t="shared" si="111"/>
        <v>#REF!</v>
      </c>
      <c r="H1462" t="e">
        <f t="shared" si="112"/>
        <v>#REF!</v>
      </c>
      <c r="I1462" s="141" t="e">
        <f t="shared" si="113"/>
        <v>#REF!</v>
      </c>
      <c r="J1462" t="e">
        <f t="shared" si="114"/>
        <v>#REF!</v>
      </c>
      <c r="K1462" s="141" t="e">
        <f t="shared" si="115"/>
        <v>#REF!</v>
      </c>
    </row>
    <row r="1463" spans="1:11" hidden="1" x14ac:dyDescent="0.25">
      <c r="A1463" t="e">
        <f>#REF!</f>
        <v>#REF!</v>
      </c>
      <c r="B1463" t="e">
        <f>#REF!</f>
        <v>#REF!</v>
      </c>
      <c r="C1463" t="e">
        <f>#REF!</f>
        <v>#REF!</v>
      </c>
      <c r="D1463" t="e">
        <f>#REF!</f>
        <v>#REF!</v>
      </c>
      <c r="E1463" t="e">
        <f>#REF!</f>
        <v>#REF!</v>
      </c>
      <c r="G1463" t="e">
        <f t="shared" si="111"/>
        <v>#REF!</v>
      </c>
      <c r="H1463" t="e">
        <f t="shared" si="112"/>
        <v>#REF!</v>
      </c>
      <c r="I1463" s="141" t="e">
        <f t="shared" si="113"/>
        <v>#REF!</v>
      </c>
      <c r="J1463" t="e">
        <f t="shared" si="114"/>
        <v>#REF!</v>
      </c>
      <c r="K1463" s="141" t="e">
        <f t="shared" si="115"/>
        <v>#REF!</v>
      </c>
    </row>
    <row r="1464" spans="1:11" hidden="1" x14ac:dyDescent="0.25">
      <c r="A1464" t="e">
        <f>#REF!</f>
        <v>#REF!</v>
      </c>
      <c r="B1464" t="e">
        <f>#REF!</f>
        <v>#REF!</v>
      </c>
      <c r="C1464" t="e">
        <f>#REF!</f>
        <v>#REF!</v>
      </c>
      <c r="D1464" t="e">
        <f>#REF!</f>
        <v>#REF!</v>
      </c>
      <c r="E1464" t="e">
        <f>#REF!</f>
        <v>#REF!</v>
      </c>
      <c r="G1464" t="e">
        <f t="shared" si="111"/>
        <v>#REF!</v>
      </c>
      <c r="H1464" t="e">
        <f t="shared" si="112"/>
        <v>#REF!</v>
      </c>
      <c r="I1464" s="141" t="e">
        <f t="shared" si="113"/>
        <v>#REF!</v>
      </c>
      <c r="J1464" t="e">
        <f t="shared" si="114"/>
        <v>#REF!</v>
      </c>
      <c r="K1464" s="141" t="e">
        <f t="shared" si="115"/>
        <v>#REF!</v>
      </c>
    </row>
    <row r="1465" spans="1:11" hidden="1" x14ac:dyDescent="0.25">
      <c r="A1465" t="e">
        <f>#REF!</f>
        <v>#REF!</v>
      </c>
      <c r="B1465" t="e">
        <f>#REF!</f>
        <v>#REF!</v>
      </c>
      <c r="C1465" t="e">
        <f>#REF!</f>
        <v>#REF!</v>
      </c>
      <c r="D1465" t="e">
        <f>#REF!</f>
        <v>#REF!</v>
      </c>
      <c r="E1465" t="e">
        <f>#REF!</f>
        <v>#REF!</v>
      </c>
      <c r="G1465" t="e">
        <f t="shared" si="111"/>
        <v>#REF!</v>
      </c>
      <c r="H1465" t="e">
        <f t="shared" si="112"/>
        <v>#REF!</v>
      </c>
      <c r="I1465" s="141" t="e">
        <f t="shared" si="113"/>
        <v>#REF!</v>
      </c>
      <c r="J1465" t="e">
        <f t="shared" si="114"/>
        <v>#REF!</v>
      </c>
      <c r="K1465" s="141" t="e">
        <f t="shared" si="115"/>
        <v>#REF!</v>
      </c>
    </row>
    <row r="1466" spans="1:11" hidden="1" x14ac:dyDescent="0.25">
      <c r="A1466" t="e">
        <f>#REF!</f>
        <v>#REF!</v>
      </c>
      <c r="B1466" t="e">
        <f>#REF!</f>
        <v>#REF!</v>
      </c>
      <c r="C1466" t="e">
        <f>#REF!</f>
        <v>#REF!</v>
      </c>
      <c r="D1466" t="e">
        <f>#REF!</f>
        <v>#REF!</v>
      </c>
      <c r="E1466" t="e">
        <f>#REF!</f>
        <v>#REF!</v>
      </c>
      <c r="G1466" t="e">
        <f t="shared" si="111"/>
        <v>#REF!</v>
      </c>
      <c r="H1466" t="e">
        <f t="shared" si="112"/>
        <v>#REF!</v>
      </c>
      <c r="I1466" s="141" t="e">
        <f t="shared" si="113"/>
        <v>#REF!</v>
      </c>
      <c r="J1466" t="e">
        <f t="shared" si="114"/>
        <v>#REF!</v>
      </c>
      <c r="K1466" s="141" t="e">
        <f t="shared" si="115"/>
        <v>#REF!</v>
      </c>
    </row>
    <row r="1467" spans="1:11" hidden="1" x14ac:dyDescent="0.25">
      <c r="A1467" t="e">
        <f>#REF!</f>
        <v>#REF!</v>
      </c>
      <c r="B1467" t="e">
        <f>#REF!</f>
        <v>#REF!</v>
      </c>
      <c r="C1467" t="e">
        <f>#REF!</f>
        <v>#REF!</v>
      </c>
      <c r="D1467" t="e">
        <f>#REF!</f>
        <v>#REF!</v>
      </c>
      <c r="E1467" t="e">
        <f>#REF!</f>
        <v>#REF!</v>
      </c>
      <c r="G1467" t="e">
        <f t="shared" si="111"/>
        <v>#REF!</v>
      </c>
      <c r="H1467" t="e">
        <f t="shared" si="112"/>
        <v>#REF!</v>
      </c>
      <c r="I1467" s="141" t="e">
        <f t="shared" si="113"/>
        <v>#REF!</v>
      </c>
      <c r="J1467" t="e">
        <f t="shared" si="114"/>
        <v>#REF!</v>
      </c>
      <c r="K1467" s="141" t="e">
        <f t="shared" si="115"/>
        <v>#REF!</v>
      </c>
    </row>
    <row r="1468" spans="1:11" hidden="1" x14ac:dyDescent="0.25">
      <c r="A1468" t="e">
        <f>#REF!</f>
        <v>#REF!</v>
      </c>
      <c r="B1468" t="e">
        <f>#REF!</f>
        <v>#REF!</v>
      </c>
      <c r="C1468" t="e">
        <f>#REF!</f>
        <v>#REF!</v>
      </c>
      <c r="D1468" t="e">
        <f>#REF!</f>
        <v>#REF!</v>
      </c>
      <c r="E1468" t="e">
        <f>#REF!</f>
        <v>#REF!</v>
      </c>
      <c r="G1468" t="e">
        <f t="shared" si="111"/>
        <v>#REF!</v>
      </c>
      <c r="H1468" t="e">
        <f t="shared" si="112"/>
        <v>#REF!</v>
      </c>
      <c r="I1468" s="141" t="e">
        <f t="shared" si="113"/>
        <v>#REF!</v>
      </c>
      <c r="J1468" t="e">
        <f t="shared" si="114"/>
        <v>#REF!</v>
      </c>
      <c r="K1468" s="141" t="e">
        <f t="shared" si="115"/>
        <v>#REF!</v>
      </c>
    </row>
    <row r="1469" spans="1:11" hidden="1" x14ac:dyDescent="0.25">
      <c r="A1469" t="e">
        <f>#REF!</f>
        <v>#REF!</v>
      </c>
      <c r="B1469" t="e">
        <f>#REF!</f>
        <v>#REF!</v>
      </c>
      <c r="C1469" t="e">
        <f>#REF!</f>
        <v>#REF!</v>
      </c>
      <c r="D1469" t="e">
        <f>#REF!</f>
        <v>#REF!</v>
      </c>
      <c r="E1469" t="e">
        <f>#REF!</f>
        <v>#REF!</v>
      </c>
      <c r="G1469" t="e">
        <f t="shared" si="111"/>
        <v>#REF!</v>
      </c>
      <c r="H1469" t="e">
        <f t="shared" si="112"/>
        <v>#REF!</v>
      </c>
      <c r="I1469" s="141" t="e">
        <f t="shared" si="113"/>
        <v>#REF!</v>
      </c>
      <c r="J1469" t="e">
        <f t="shared" si="114"/>
        <v>#REF!</v>
      </c>
      <c r="K1469" s="141" t="e">
        <f t="shared" si="115"/>
        <v>#REF!</v>
      </c>
    </row>
    <row r="1470" spans="1:11" hidden="1" x14ac:dyDescent="0.25">
      <c r="A1470" t="e">
        <f>#REF!</f>
        <v>#REF!</v>
      </c>
      <c r="B1470" t="e">
        <f>#REF!</f>
        <v>#REF!</v>
      </c>
      <c r="C1470" t="e">
        <f>#REF!</f>
        <v>#REF!</v>
      </c>
      <c r="D1470" t="e">
        <f>#REF!</f>
        <v>#REF!</v>
      </c>
      <c r="E1470" t="e">
        <f>#REF!</f>
        <v>#REF!</v>
      </c>
      <c r="G1470" t="e">
        <f t="shared" si="111"/>
        <v>#REF!</v>
      </c>
      <c r="H1470" t="e">
        <f t="shared" si="112"/>
        <v>#REF!</v>
      </c>
      <c r="I1470" s="141" t="e">
        <f t="shared" si="113"/>
        <v>#REF!</v>
      </c>
      <c r="J1470" t="e">
        <f t="shared" si="114"/>
        <v>#REF!</v>
      </c>
      <c r="K1470" s="141" t="e">
        <f t="shared" si="115"/>
        <v>#REF!</v>
      </c>
    </row>
    <row r="1471" spans="1:11" hidden="1" x14ac:dyDescent="0.25">
      <c r="A1471" t="e">
        <f>#REF!</f>
        <v>#REF!</v>
      </c>
      <c r="B1471" t="e">
        <f>#REF!</f>
        <v>#REF!</v>
      </c>
      <c r="C1471" t="e">
        <f>#REF!</f>
        <v>#REF!</v>
      </c>
      <c r="D1471" t="e">
        <f>#REF!</f>
        <v>#REF!</v>
      </c>
      <c r="E1471" t="e">
        <f>#REF!</f>
        <v>#REF!</v>
      </c>
      <c r="G1471" t="e">
        <f t="shared" si="111"/>
        <v>#REF!</v>
      </c>
      <c r="H1471" t="e">
        <f t="shared" si="112"/>
        <v>#REF!</v>
      </c>
      <c r="I1471" s="141" t="e">
        <f t="shared" si="113"/>
        <v>#REF!</v>
      </c>
      <c r="J1471" t="e">
        <f t="shared" si="114"/>
        <v>#REF!</v>
      </c>
      <c r="K1471" s="141" t="e">
        <f t="shared" si="115"/>
        <v>#REF!</v>
      </c>
    </row>
    <row r="1472" spans="1:11" hidden="1" x14ac:dyDescent="0.25">
      <c r="A1472" t="e">
        <f>#REF!</f>
        <v>#REF!</v>
      </c>
      <c r="B1472" t="e">
        <f>#REF!</f>
        <v>#REF!</v>
      </c>
      <c r="C1472" t="e">
        <f>#REF!</f>
        <v>#REF!</v>
      </c>
      <c r="D1472" t="e">
        <f>#REF!</f>
        <v>#REF!</v>
      </c>
      <c r="E1472" t="e">
        <f>#REF!</f>
        <v>#REF!</v>
      </c>
      <c r="G1472" t="e">
        <f t="shared" si="111"/>
        <v>#REF!</v>
      </c>
      <c r="H1472" t="e">
        <f t="shared" si="112"/>
        <v>#REF!</v>
      </c>
      <c r="I1472" s="141" t="e">
        <f t="shared" si="113"/>
        <v>#REF!</v>
      </c>
      <c r="J1472" t="e">
        <f t="shared" si="114"/>
        <v>#REF!</v>
      </c>
      <c r="K1472" s="141" t="e">
        <f t="shared" si="115"/>
        <v>#REF!</v>
      </c>
    </row>
    <row r="1473" spans="1:11" hidden="1" x14ac:dyDescent="0.25">
      <c r="A1473" t="e">
        <f>#REF!</f>
        <v>#REF!</v>
      </c>
      <c r="B1473" t="e">
        <f>#REF!</f>
        <v>#REF!</v>
      </c>
      <c r="C1473" t="e">
        <f>#REF!</f>
        <v>#REF!</v>
      </c>
      <c r="D1473" t="e">
        <f>#REF!</f>
        <v>#REF!</v>
      </c>
      <c r="E1473" t="e">
        <f>#REF!</f>
        <v>#REF!</v>
      </c>
      <c r="G1473" t="e">
        <f t="shared" si="111"/>
        <v>#REF!</v>
      </c>
      <c r="H1473" t="e">
        <f t="shared" si="112"/>
        <v>#REF!</v>
      </c>
      <c r="I1473" s="141" t="e">
        <f t="shared" si="113"/>
        <v>#REF!</v>
      </c>
      <c r="J1473" t="e">
        <f t="shared" si="114"/>
        <v>#REF!</v>
      </c>
      <c r="K1473" s="141" t="e">
        <f t="shared" si="115"/>
        <v>#REF!</v>
      </c>
    </row>
    <row r="1474" spans="1:11" hidden="1" x14ac:dyDescent="0.25">
      <c r="A1474" t="e">
        <f>#REF!</f>
        <v>#REF!</v>
      </c>
      <c r="B1474" t="e">
        <f>#REF!</f>
        <v>#REF!</v>
      </c>
      <c r="C1474" t="e">
        <f>#REF!</f>
        <v>#REF!</v>
      </c>
      <c r="D1474" t="e">
        <f>#REF!</f>
        <v>#REF!</v>
      </c>
      <c r="E1474" t="e">
        <f>#REF!</f>
        <v>#REF!</v>
      </c>
      <c r="G1474" t="e">
        <f t="shared" ref="G1474:G1537" si="116">A1474</f>
        <v>#REF!</v>
      </c>
      <c r="H1474" t="e">
        <f t="shared" ref="H1474:H1537" si="117">B1474</f>
        <v>#REF!</v>
      </c>
      <c r="I1474" s="141" t="e">
        <f t="shared" ref="I1474:I1537" si="118">C1474</f>
        <v>#REF!</v>
      </c>
      <c r="J1474" t="e">
        <f t="shared" ref="J1474:J1537" si="119">D1474</f>
        <v>#REF!</v>
      </c>
      <c r="K1474" s="141" t="e">
        <f t="shared" ref="K1474:K1537" si="120">E1474</f>
        <v>#REF!</v>
      </c>
    </row>
    <row r="1475" spans="1:11" hidden="1" x14ac:dyDescent="0.25">
      <c r="A1475" t="e">
        <f>#REF!</f>
        <v>#REF!</v>
      </c>
      <c r="B1475" t="e">
        <f>#REF!</f>
        <v>#REF!</v>
      </c>
      <c r="C1475" t="e">
        <f>#REF!</f>
        <v>#REF!</v>
      </c>
      <c r="D1475" t="e">
        <f>#REF!</f>
        <v>#REF!</v>
      </c>
      <c r="E1475" t="e">
        <f>#REF!</f>
        <v>#REF!</v>
      </c>
      <c r="G1475" t="e">
        <f t="shared" si="116"/>
        <v>#REF!</v>
      </c>
      <c r="H1475" t="e">
        <f t="shared" si="117"/>
        <v>#REF!</v>
      </c>
      <c r="I1475" s="141" t="e">
        <f t="shared" si="118"/>
        <v>#REF!</v>
      </c>
      <c r="J1475" t="e">
        <f t="shared" si="119"/>
        <v>#REF!</v>
      </c>
      <c r="K1475" s="141" t="e">
        <f t="shared" si="120"/>
        <v>#REF!</v>
      </c>
    </row>
    <row r="1476" spans="1:11" hidden="1" x14ac:dyDescent="0.25">
      <c r="A1476" t="e">
        <f>#REF!</f>
        <v>#REF!</v>
      </c>
      <c r="B1476" t="e">
        <f>#REF!</f>
        <v>#REF!</v>
      </c>
      <c r="C1476" t="e">
        <f>#REF!</f>
        <v>#REF!</v>
      </c>
      <c r="D1476" t="e">
        <f>#REF!</f>
        <v>#REF!</v>
      </c>
      <c r="E1476" t="e">
        <f>#REF!</f>
        <v>#REF!</v>
      </c>
      <c r="G1476" t="e">
        <f t="shared" si="116"/>
        <v>#REF!</v>
      </c>
      <c r="H1476" t="e">
        <f t="shared" si="117"/>
        <v>#REF!</v>
      </c>
      <c r="I1476" s="141" t="e">
        <f t="shared" si="118"/>
        <v>#REF!</v>
      </c>
      <c r="J1476" t="e">
        <f t="shared" si="119"/>
        <v>#REF!</v>
      </c>
      <c r="K1476" s="141" t="e">
        <f t="shared" si="120"/>
        <v>#REF!</v>
      </c>
    </row>
    <row r="1477" spans="1:11" hidden="1" x14ac:dyDescent="0.25">
      <c r="A1477" t="e">
        <f>#REF!</f>
        <v>#REF!</v>
      </c>
      <c r="B1477" t="e">
        <f>#REF!</f>
        <v>#REF!</v>
      </c>
      <c r="C1477" t="e">
        <f>#REF!</f>
        <v>#REF!</v>
      </c>
      <c r="D1477" t="e">
        <f>#REF!</f>
        <v>#REF!</v>
      </c>
      <c r="E1477" t="e">
        <f>#REF!</f>
        <v>#REF!</v>
      </c>
      <c r="G1477" t="e">
        <f t="shared" si="116"/>
        <v>#REF!</v>
      </c>
      <c r="H1477" t="e">
        <f t="shared" si="117"/>
        <v>#REF!</v>
      </c>
      <c r="I1477" s="141" t="e">
        <f t="shared" si="118"/>
        <v>#REF!</v>
      </c>
      <c r="J1477" t="e">
        <f t="shared" si="119"/>
        <v>#REF!</v>
      </c>
      <c r="K1477" s="141" t="e">
        <f t="shared" si="120"/>
        <v>#REF!</v>
      </c>
    </row>
    <row r="1478" spans="1:11" hidden="1" x14ac:dyDescent="0.25">
      <c r="A1478" t="e">
        <f>#REF!</f>
        <v>#REF!</v>
      </c>
      <c r="B1478" t="e">
        <f>#REF!</f>
        <v>#REF!</v>
      </c>
      <c r="C1478" t="e">
        <f>#REF!</f>
        <v>#REF!</v>
      </c>
      <c r="D1478" t="e">
        <f>#REF!</f>
        <v>#REF!</v>
      </c>
      <c r="E1478" t="e">
        <f>#REF!</f>
        <v>#REF!</v>
      </c>
      <c r="G1478" t="e">
        <f t="shared" si="116"/>
        <v>#REF!</v>
      </c>
      <c r="H1478" t="e">
        <f t="shared" si="117"/>
        <v>#REF!</v>
      </c>
      <c r="I1478" s="141" t="e">
        <f t="shared" si="118"/>
        <v>#REF!</v>
      </c>
      <c r="J1478" t="e">
        <f t="shared" si="119"/>
        <v>#REF!</v>
      </c>
      <c r="K1478" s="141" t="e">
        <f t="shared" si="120"/>
        <v>#REF!</v>
      </c>
    </row>
    <row r="1479" spans="1:11" hidden="1" x14ac:dyDescent="0.25">
      <c r="A1479" t="e">
        <f>#REF!</f>
        <v>#REF!</v>
      </c>
      <c r="B1479" t="e">
        <f>#REF!</f>
        <v>#REF!</v>
      </c>
      <c r="C1479" t="e">
        <f>#REF!</f>
        <v>#REF!</v>
      </c>
      <c r="D1479" t="e">
        <f>#REF!</f>
        <v>#REF!</v>
      </c>
      <c r="E1479" t="e">
        <f>#REF!</f>
        <v>#REF!</v>
      </c>
      <c r="G1479" t="e">
        <f t="shared" si="116"/>
        <v>#REF!</v>
      </c>
      <c r="H1479" t="e">
        <f t="shared" si="117"/>
        <v>#REF!</v>
      </c>
      <c r="I1479" s="141" t="e">
        <f t="shared" si="118"/>
        <v>#REF!</v>
      </c>
      <c r="J1479" t="e">
        <f t="shared" si="119"/>
        <v>#REF!</v>
      </c>
      <c r="K1479" s="141" t="e">
        <f t="shared" si="120"/>
        <v>#REF!</v>
      </c>
    </row>
    <row r="1480" spans="1:11" hidden="1" x14ac:dyDescent="0.25">
      <c r="A1480" t="e">
        <f>#REF!</f>
        <v>#REF!</v>
      </c>
      <c r="B1480" t="e">
        <f>#REF!</f>
        <v>#REF!</v>
      </c>
      <c r="C1480" t="e">
        <f>#REF!</f>
        <v>#REF!</v>
      </c>
      <c r="D1480" t="e">
        <f>#REF!</f>
        <v>#REF!</v>
      </c>
      <c r="E1480" t="e">
        <f>#REF!</f>
        <v>#REF!</v>
      </c>
      <c r="G1480" t="e">
        <f t="shared" si="116"/>
        <v>#REF!</v>
      </c>
      <c r="H1480" t="e">
        <f t="shared" si="117"/>
        <v>#REF!</v>
      </c>
      <c r="I1480" s="141" t="e">
        <f t="shared" si="118"/>
        <v>#REF!</v>
      </c>
      <c r="J1480" t="e">
        <f t="shared" si="119"/>
        <v>#REF!</v>
      </c>
      <c r="K1480" s="141" t="e">
        <f t="shared" si="120"/>
        <v>#REF!</v>
      </c>
    </row>
    <row r="1481" spans="1:11" hidden="1" x14ac:dyDescent="0.25">
      <c r="A1481" t="e">
        <f>#REF!</f>
        <v>#REF!</v>
      </c>
      <c r="B1481" t="e">
        <f>#REF!</f>
        <v>#REF!</v>
      </c>
      <c r="C1481" t="e">
        <f>#REF!</f>
        <v>#REF!</v>
      </c>
      <c r="D1481" t="e">
        <f>#REF!</f>
        <v>#REF!</v>
      </c>
      <c r="E1481" t="e">
        <f>#REF!</f>
        <v>#REF!</v>
      </c>
      <c r="G1481" t="e">
        <f t="shared" si="116"/>
        <v>#REF!</v>
      </c>
      <c r="H1481" t="e">
        <f t="shared" si="117"/>
        <v>#REF!</v>
      </c>
      <c r="I1481" s="141" t="e">
        <f t="shared" si="118"/>
        <v>#REF!</v>
      </c>
      <c r="J1481" t="e">
        <f t="shared" si="119"/>
        <v>#REF!</v>
      </c>
      <c r="K1481" s="141" t="e">
        <f t="shared" si="120"/>
        <v>#REF!</v>
      </c>
    </row>
    <row r="1482" spans="1:11" hidden="1" x14ac:dyDescent="0.25">
      <c r="A1482" t="e">
        <f>#REF!</f>
        <v>#REF!</v>
      </c>
      <c r="B1482" t="e">
        <f>#REF!</f>
        <v>#REF!</v>
      </c>
      <c r="C1482" t="e">
        <f>#REF!</f>
        <v>#REF!</v>
      </c>
      <c r="D1482" t="e">
        <f>#REF!</f>
        <v>#REF!</v>
      </c>
      <c r="E1482" t="e">
        <f>#REF!</f>
        <v>#REF!</v>
      </c>
      <c r="G1482" t="e">
        <f t="shared" si="116"/>
        <v>#REF!</v>
      </c>
      <c r="H1482" t="e">
        <f t="shared" si="117"/>
        <v>#REF!</v>
      </c>
      <c r="I1482" s="141" t="e">
        <f t="shared" si="118"/>
        <v>#REF!</v>
      </c>
      <c r="J1482" t="e">
        <f t="shared" si="119"/>
        <v>#REF!</v>
      </c>
      <c r="K1482" s="141" t="e">
        <f t="shared" si="120"/>
        <v>#REF!</v>
      </c>
    </row>
    <row r="1483" spans="1:11" hidden="1" x14ac:dyDescent="0.25">
      <c r="A1483" t="e">
        <f>#REF!</f>
        <v>#REF!</v>
      </c>
      <c r="B1483" t="e">
        <f>#REF!</f>
        <v>#REF!</v>
      </c>
      <c r="C1483" t="e">
        <f>#REF!</f>
        <v>#REF!</v>
      </c>
      <c r="D1483" t="e">
        <f>#REF!</f>
        <v>#REF!</v>
      </c>
      <c r="E1483" t="e">
        <f>#REF!</f>
        <v>#REF!</v>
      </c>
      <c r="G1483" t="e">
        <f t="shared" si="116"/>
        <v>#REF!</v>
      </c>
      <c r="H1483" t="e">
        <f t="shared" si="117"/>
        <v>#REF!</v>
      </c>
      <c r="I1483" s="141" t="e">
        <f t="shared" si="118"/>
        <v>#REF!</v>
      </c>
      <c r="J1483" t="e">
        <f t="shared" si="119"/>
        <v>#REF!</v>
      </c>
      <c r="K1483" s="141" t="e">
        <f t="shared" si="120"/>
        <v>#REF!</v>
      </c>
    </row>
    <row r="1484" spans="1:11" hidden="1" x14ac:dyDescent="0.25">
      <c r="A1484" t="e">
        <f>#REF!</f>
        <v>#REF!</v>
      </c>
      <c r="B1484" t="e">
        <f>#REF!</f>
        <v>#REF!</v>
      </c>
      <c r="C1484" t="e">
        <f>#REF!</f>
        <v>#REF!</v>
      </c>
      <c r="D1484" t="e">
        <f>#REF!</f>
        <v>#REF!</v>
      </c>
      <c r="E1484" t="e">
        <f>#REF!</f>
        <v>#REF!</v>
      </c>
      <c r="G1484" t="e">
        <f t="shared" si="116"/>
        <v>#REF!</v>
      </c>
      <c r="H1484" t="e">
        <f t="shared" si="117"/>
        <v>#REF!</v>
      </c>
      <c r="I1484" s="141" t="e">
        <f t="shared" si="118"/>
        <v>#REF!</v>
      </c>
      <c r="J1484" t="e">
        <f t="shared" si="119"/>
        <v>#REF!</v>
      </c>
      <c r="K1484" s="141" t="e">
        <f t="shared" si="120"/>
        <v>#REF!</v>
      </c>
    </row>
    <row r="1485" spans="1:11" hidden="1" x14ac:dyDescent="0.25">
      <c r="A1485" t="e">
        <f>#REF!</f>
        <v>#REF!</v>
      </c>
      <c r="B1485" t="e">
        <f>#REF!</f>
        <v>#REF!</v>
      </c>
      <c r="C1485" t="e">
        <f>#REF!</f>
        <v>#REF!</v>
      </c>
      <c r="D1485" t="e">
        <f>#REF!</f>
        <v>#REF!</v>
      </c>
      <c r="E1485" t="e">
        <f>#REF!</f>
        <v>#REF!</v>
      </c>
      <c r="G1485" t="e">
        <f t="shared" si="116"/>
        <v>#REF!</v>
      </c>
      <c r="H1485" t="e">
        <f t="shared" si="117"/>
        <v>#REF!</v>
      </c>
      <c r="I1485" s="141" t="e">
        <f t="shared" si="118"/>
        <v>#REF!</v>
      </c>
      <c r="J1485" t="e">
        <f t="shared" si="119"/>
        <v>#REF!</v>
      </c>
      <c r="K1485" s="141" t="e">
        <f t="shared" si="120"/>
        <v>#REF!</v>
      </c>
    </row>
    <row r="1486" spans="1:11" hidden="1" x14ac:dyDescent="0.25">
      <c r="A1486" t="e">
        <f>#REF!</f>
        <v>#REF!</v>
      </c>
      <c r="B1486" t="e">
        <f>#REF!</f>
        <v>#REF!</v>
      </c>
      <c r="C1486" t="e">
        <f>#REF!</f>
        <v>#REF!</v>
      </c>
      <c r="D1486" t="e">
        <f>#REF!</f>
        <v>#REF!</v>
      </c>
      <c r="E1486" t="e">
        <f>#REF!</f>
        <v>#REF!</v>
      </c>
      <c r="G1486" t="e">
        <f t="shared" si="116"/>
        <v>#REF!</v>
      </c>
      <c r="H1486" t="e">
        <f t="shared" si="117"/>
        <v>#REF!</v>
      </c>
      <c r="I1486" s="141" t="e">
        <f t="shared" si="118"/>
        <v>#REF!</v>
      </c>
      <c r="J1486" t="e">
        <f t="shared" si="119"/>
        <v>#REF!</v>
      </c>
      <c r="K1486" s="141" t="e">
        <f t="shared" si="120"/>
        <v>#REF!</v>
      </c>
    </row>
    <row r="1487" spans="1:11" hidden="1" x14ac:dyDescent="0.25">
      <c r="A1487" t="e">
        <f>#REF!</f>
        <v>#REF!</v>
      </c>
      <c r="B1487" t="e">
        <f>#REF!</f>
        <v>#REF!</v>
      </c>
      <c r="C1487" t="e">
        <f>#REF!</f>
        <v>#REF!</v>
      </c>
      <c r="D1487" t="e">
        <f>#REF!</f>
        <v>#REF!</v>
      </c>
      <c r="E1487" t="e">
        <f>#REF!</f>
        <v>#REF!</v>
      </c>
      <c r="G1487" t="e">
        <f t="shared" si="116"/>
        <v>#REF!</v>
      </c>
      <c r="H1487" t="e">
        <f t="shared" si="117"/>
        <v>#REF!</v>
      </c>
      <c r="I1487" s="141" t="e">
        <f t="shared" si="118"/>
        <v>#REF!</v>
      </c>
      <c r="J1487" t="e">
        <f t="shared" si="119"/>
        <v>#REF!</v>
      </c>
      <c r="K1487" s="141" t="e">
        <f t="shared" si="120"/>
        <v>#REF!</v>
      </c>
    </row>
    <row r="1488" spans="1:11" hidden="1" x14ac:dyDescent="0.25">
      <c r="A1488" t="e">
        <f>#REF!</f>
        <v>#REF!</v>
      </c>
      <c r="B1488" t="e">
        <f>#REF!</f>
        <v>#REF!</v>
      </c>
      <c r="C1488" t="e">
        <f>#REF!</f>
        <v>#REF!</v>
      </c>
      <c r="D1488" t="e">
        <f>#REF!</f>
        <v>#REF!</v>
      </c>
      <c r="E1488" t="e">
        <f>#REF!</f>
        <v>#REF!</v>
      </c>
      <c r="G1488" t="e">
        <f t="shared" si="116"/>
        <v>#REF!</v>
      </c>
      <c r="H1488" t="e">
        <f t="shared" si="117"/>
        <v>#REF!</v>
      </c>
      <c r="I1488" s="141" t="e">
        <f t="shared" si="118"/>
        <v>#REF!</v>
      </c>
      <c r="J1488" t="e">
        <f t="shared" si="119"/>
        <v>#REF!</v>
      </c>
      <c r="K1488" s="141" t="e">
        <f t="shared" si="120"/>
        <v>#REF!</v>
      </c>
    </row>
    <row r="1489" spans="1:11" hidden="1" x14ac:dyDescent="0.25">
      <c r="A1489" t="e">
        <f>#REF!</f>
        <v>#REF!</v>
      </c>
      <c r="B1489" t="e">
        <f>#REF!</f>
        <v>#REF!</v>
      </c>
      <c r="C1489" t="e">
        <f>#REF!</f>
        <v>#REF!</v>
      </c>
      <c r="D1489" t="e">
        <f>#REF!</f>
        <v>#REF!</v>
      </c>
      <c r="E1489" t="e">
        <f>#REF!</f>
        <v>#REF!</v>
      </c>
      <c r="G1489" t="e">
        <f t="shared" si="116"/>
        <v>#REF!</v>
      </c>
      <c r="H1489" t="e">
        <f t="shared" si="117"/>
        <v>#REF!</v>
      </c>
      <c r="I1489" s="141" t="e">
        <f t="shared" si="118"/>
        <v>#REF!</v>
      </c>
      <c r="J1489" t="e">
        <f t="shared" si="119"/>
        <v>#REF!</v>
      </c>
      <c r="K1489" s="141" t="e">
        <f t="shared" si="120"/>
        <v>#REF!</v>
      </c>
    </row>
    <row r="1490" spans="1:11" hidden="1" x14ac:dyDescent="0.25">
      <c r="A1490" t="e">
        <f>#REF!</f>
        <v>#REF!</v>
      </c>
      <c r="B1490" t="e">
        <f>#REF!</f>
        <v>#REF!</v>
      </c>
      <c r="C1490" t="e">
        <f>#REF!</f>
        <v>#REF!</v>
      </c>
      <c r="D1490" t="e">
        <f>#REF!</f>
        <v>#REF!</v>
      </c>
      <c r="E1490" t="e">
        <f>#REF!</f>
        <v>#REF!</v>
      </c>
      <c r="G1490" t="e">
        <f t="shared" si="116"/>
        <v>#REF!</v>
      </c>
      <c r="H1490" t="e">
        <f t="shared" si="117"/>
        <v>#REF!</v>
      </c>
      <c r="I1490" s="141" t="e">
        <f t="shared" si="118"/>
        <v>#REF!</v>
      </c>
      <c r="J1490" t="e">
        <f t="shared" si="119"/>
        <v>#REF!</v>
      </c>
      <c r="K1490" s="141" t="e">
        <f t="shared" si="120"/>
        <v>#REF!</v>
      </c>
    </row>
    <row r="1491" spans="1:11" hidden="1" x14ac:dyDescent="0.25">
      <c r="A1491" t="e">
        <f>#REF!</f>
        <v>#REF!</v>
      </c>
      <c r="B1491" t="e">
        <f>#REF!</f>
        <v>#REF!</v>
      </c>
      <c r="C1491" t="e">
        <f>#REF!</f>
        <v>#REF!</v>
      </c>
      <c r="D1491" t="e">
        <f>#REF!</f>
        <v>#REF!</v>
      </c>
      <c r="E1491" t="e">
        <f>#REF!</f>
        <v>#REF!</v>
      </c>
      <c r="G1491" t="e">
        <f t="shared" si="116"/>
        <v>#REF!</v>
      </c>
      <c r="H1491" t="e">
        <f t="shared" si="117"/>
        <v>#REF!</v>
      </c>
      <c r="I1491" s="141" t="e">
        <f t="shared" si="118"/>
        <v>#REF!</v>
      </c>
      <c r="J1491" t="e">
        <f t="shared" si="119"/>
        <v>#REF!</v>
      </c>
      <c r="K1491" s="141" t="e">
        <f t="shared" si="120"/>
        <v>#REF!</v>
      </c>
    </row>
    <row r="1492" spans="1:11" hidden="1" x14ac:dyDescent="0.25">
      <c r="A1492" t="e">
        <f>#REF!</f>
        <v>#REF!</v>
      </c>
      <c r="B1492" t="e">
        <f>#REF!</f>
        <v>#REF!</v>
      </c>
      <c r="C1492" t="e">
        <f>#REF!</f>
        <v>#REF!</v>
      </c>
      <c r="D1492" t="e">
        <f>#REF!</f>
        <v>#REF!</v>
      </c>
      <c r="E1492" t="e">
        <f>#REF!</f>
        <v>#REF!</v>
      </c>
      <c r="G1492" t="e">
        <f t="shared" si="116"/>
        <v>#REF!</v>
      </c>
      <c r="H1492" t="e">
        <f t="shared" si="117"/>
        <v>#REF!</v>
      </c>
      <c r="I1492" s="141" t="e">
        <f t="shared" si="118"/>
        <v>#REF!</v>
      </c>
      <c r="J1492" t="e">
        <f t="shared" si="119"/>
        <v>#REF!</v>
      </c>
      <c r="K1492" s="141" t="e">
        <f t="shared" si="120"/>
        <v>#REF!</v>
      </c>
    </row>
    <row r="1493" spans="1:11" hidden="1" x14ac:dyDescent="0.25">
      <c r="A1493" t="e">
        <f>#REF!</f>
        <v>#REF!</v>
      </c>
      <c r="B1493" t="e">
        <f>#REF!</f>
        <v>#REF!</v>
      </c>
      <c r="C1493" t="e">
        <f>#REF!</f>
        <v>#REF!</v>
      </c>
      <c r="D1493" t="e">
        <f>#REF!</f>
        <v>#REF!</v>
      </c>
      <c r="E1493" t="e">
        <f>#REF!</f>
        <v>#REF!</v>
      </c>
      <c r="G1493" t="e">
        <f t="shared" si="116"/>
        <v>#REF!</v>
      </c>
      <c r="H1493" t="e">
        <f t="shared" si="117"/>
        <v>#REF!</v>
      </c>
      <c r="I1493" s="141" t="e">
        <f t="shared" si="118"/>
        <v>#REF!</v>
      </c>
      <c r="J1493" t="e">
        <f t="shared" si="119"/>
        <v>#REF!</v>
      </c>
      <c r="K1493" s="141" t="e">
        <f t="shared" si="120"/>
        <v>#REF!</v>
      </c>
    </row>
    <row r="1494" spans="1:11" hidden="1" x14ac:dyDescent="0.25">
      <c r="A1494" t="e">
        <f>#REF!</f>
        <v>#REF!</v>
      </c>
      <c r="B1494" t="e">
        <f>#REF!</f>
        <v>#REF!</v>
      </c>
      <c r="C1494" t="e">
        <f>#REF!</f>
        <v>#REF!</v>
      </c>
      <c r="D1494" t="e">
        <f>#REF!</f>
        <v>#REF!</v>
      </c>
      <c r="E1494" t="e">
        <f>#REF!</f>
        <v>#REF!</v>
      </c>
      <c r="G1494" t="e">
        <f t="shared" si="116"/>
        <v>#REF!</v>
      </c>
      <c r="H1494" t="e">
        <f t="shared" si="117"/>
        <v>#REF!</v>
      </c>
      <c r="I1494" s="141" t="e">
        <f t="shared" si="118"/>
        <v>#REF!</v>
      </c>
      <c r="J1494" t="e">
        <f t="shared" si="119"/>
        <v>#REF!</v>
      </c>
      <c r="K1494" s="141" t="e">
        <f t="shared" si="120"/>
        <v>#REF!</v>
      </c>
    </row>
    <row r="1495" spans="1:11" hidden="1" x14ac:dyDescent="0.25">
      <c r="A1495" t="e">
        <f>#REF!</f>
        <v>#REF!</v>
      </c>
      <c r="B1495" t="e">
        <f>#REF!</f>
        <v>#REF!</v>
      </c>
      <c r="C1495" t="e">
        <f>#REF!</f>
        <v>#REF!</v>
      </c>
      <c r="D1495" t="e">
        <f>#REF!</f>
        <v>#REF!</v>
      </c>
      <c r="E1495" t="e">
        <f>#REF!</f>
        <v>#REF!</v>
      </c>
      <c r="G1495" t="e">
        <f t="shared" si="116"/>
        <v>#REF!</v>
      </c>
      <c r="H1495" t="e">
        <f t="shared" si="117"/>
        <v>#REF!</v>
      </c>
      <c r="I1495" s="141" t="e">
        <f t="shared" si="118"/>
        <v>#REF!</v>
      </c>
      <c r="J1495" t="e">
        <f t="shared" si="119"/>
        <v>#REF!</v>
      </c>
      <c r="K1495" s="141" t="e">
        <f t="shared" si="120"/>
        <v>#REF!</v>
      </c>
    </row>
    <row r="1496" spans="1:11" hidden="1" x14ac:dyDescent="0.25">
      <c r="A1496" t="e">
        <f>#REF!</f>
        <v>#REF!</v>
      </c>
      <c r="B1496" t="e">
        <f>#REF!</f>
        <v>#REF!</v>
      </c>
      <c r="C1496" t="e">
        <f>#REF!</f>
        <v>#REF!</v>
      </c>
      <c r="D1496" t="e">
        <f>#REF!</f>
        <v>#REF!</v>
      </c>
      <c r="E1496" t="e">
        <f>#REF!</f>
        <v>#REF!</v>
      </c>
      <c r="G1496" t="e">
        <f t="shared" si="116"/>
        <v>#REF!</v>
      </c>
      <c r="H1496" t="e">
        <f t="shared" si="117"/>
        <v>#REF!</v>
      </c>
      <c r="I1496" s="141" t="e">
        <f t="shared" si="118"/>
        <v>#REF!</v>
      </c>
      <c r="J1496" t="e">
        <f t="shared" si="119"/>
        <v>#REF!</v>
      </c>
      <c r="K1496" s="141" t="e">
        <f t="shared" si="120"/>
        <v>#REF!</v>
      </c>
    </row>
    <row r="1497" spans="1:11" hidden="1" x14ac:dyDescent="0.25">
      <c r="A1497" t="e">
        <f>#REF!</f>
        <v>#REF!</v>
      </c>
      <c r="B1497" t="e">
        <f>#REF!</f>
        <v>#REF!</v>
      </c>
      <c r="C1497" t="e">
        <f>#REF!</f>
        <v>#REF!</v>
      </c>
      <c r="D1497" t="e">
        <f>#REF!</f>
        <v>#REF!</v>
      </c>
      <c r="E1497" t="e">
        <f>#REF!</f>
        <v>#REF!</v>
      </c>
      <c r="G1497" t="e">
        <f t="shared" si="116"/>
        <v>#REF!</v>
      </c>
      <c r="H1497" t="e">
        <f t="shared" si="117"/>
        <v>#REF!</v>
      </c>
      <c r="I1497" s="141" t="e">
        <f t="shared" si="118"/>
        <v>#REF!</v>
      </c>
      <c r="J1497" t="e">
        <f t="shared" si="119"/>
        <v>#REF!</v>
      </c>
      <c r="K1497" s="141" t="e">
        <f t="shared" si="120"/>
        <v>#REF!</v>
      </c>
    </row>
    <row r="1498" spans="1:11" hidden="1" x14ac:dyDescent="0.25">
      <c r="A1498" t="e">
        <f>#REF!</f>
        <v>#REF!</v>
      </c>
      <c r="B1498" t="e">
        <f>#REF!</f>
        <v>#REF!</v>
      </c>
      <c r="C1498" t="e">
        <f>#REF!</f>
        <v>#REF!</v>
      </c>
      <c r="D1498" t="e">
        <f>#REF!</f>
        <v>#REF!</v>
      </c>
      <c r="E1498" t="e">
        <f>#REF!</f>
        <v>#REF!</v>
      </c>
      <c r="G1498" t="e">
        <f t="shared" si="116"/>
        <v>#REF!</v>
      </c>
      <c r="H1498" t="e">
        <f t="shared" si="117"/>
        <v>#REF!</v>
      </c>
      <c r="I1498" s="141" t="e">
        <f t="shared" si="118"/>
        <v>#REF!</v>
      </c>
      <c r="J1498" t="e">
        <f t="shared" si="119"/>
        <v>#REF!</v>
      </c>
      <c r="K1498" s="141" t="e">
        <f t="shared" si="120"/>
        <v>#REF!</v>
      </c>
    </row>
    <row r="1499" spans="1:11" hidden="1" x14ac:dyDescent="0.25">
      <c r="A1499" t="e">
        <f>#REF!</f>
        <v>#REF!</v>
      </c>
      <c r="B1499" t="e">
        <f>#REF!</f>
        <v>#REF!</v>
      </c>
      <c r="C1499" t="e">
        <f>#REF!</f>
        <v>#REF!</v>
      </c>
      <c r="D1499" t="e">
        <f>#REF!</f>
        <v>#REF!</v>
      </c>
      <c r="E1499" t="e">
        <f>#REF!</f>
        <v>#REF!</v>
      </c>
      <c r="G1499" t="e">
        <f t="shared" si="116"/>
        <v>#REF!</v>
      </c>
      <c r="H1499" t="e">
        <f t="shared" si="117"/>
        <v>#REF!</v>
      </c>
      <c r="I1499" s="141" t="e">
        <f t="shared" si="118"/>
        <v>#REF!</v>
      </c>
      <c r="J1499" t="e">
        <f t="shared" si="119"/>
        <v>#REF!</v>
      </c>
      <c r="K1499" s="141" t="e">
        <f t="shared" si="120"/>
        <v>#REF!</v>
      </c>
    </row>
    <row r="1500" spans="1:11" hidden="1" x14ac:dyDescent="0.25">
      <c r="A1500" t="e">
        <f>#REF!</f>
        <v>#REF!</v>
      </c>
      <c r="B1500" t="e">
        <f>#REF!</f>
        <v>#REF!</v>
      </c>
      <c r="C1500" t="e">
        <f>#REF!</f>
        <v>#REF!</v>
      </c>
      <c r="D1500" t="e">
        <f>#REF!</f>
        <v>#REF!</v>
      </c>
      <c r="E1500" t="e">
        <f>#REF!</f>
        <v>#REF!</v>
      </c>
      <c r="G1500" t="e">
        <f t="shared" si="116"/>
        <v>#REF!</v>
      </c>
      <c r="H1500" t="e">
        <f t="shared" si="117"/>
        <v>#REF!</v>
      </c>
      <c r="I1500" s="141" t="e">
        <f t="shared" si="118"/>
        <v>#REF!</v>
      </c>
      <c r="J1500" t="e">
        <f t="shared" si="119"/>
        <v>#REF!</v>
      </c>
      <c r="K1500" s="141" t="e">
        <f t="shared" si="120"/>
        <v>#REF!</v>
      </c>
    </row>
    <row r="1501" spans="1:11" hidden="1" x14ac:dyDescent="0.25">
      <c r="A1501" t="e">
        <f>#REF!</f>
        <v>#REF!</v>
      </c>
      <c r="B1501" t="e">
        <f>#REF!</f>
        <v>#REF!</v>
      </c>
      <c r="C1501" t="e">
        <f>#REF!</f>
        <v>#REF!</v>
      </c>
      <c r="D1501" t="e">
        <f>#REF!</f>
        <v>#REF!</v>
      </c>
      <c r="E1501" t="e">
        <f>#REF!</f>
        <v>#REF!</v>
      </c>
      <c r="G1501" t="e">
        <f t="shared" si="116"/>
        <v>#REF!</v>
      </c>
      <c r="H1501" t="e">
        <f t="shared" si="117"/>
        <v>#REF!</v>
      </c>
      <c r="I1501" s="141" t="e">
        <f t="shared" si="118"/>
        <v>#REF!</v>
      </c>
      <c r="J1501" t="e">
        <f t="shared" si="119"/>
        <v>#REF!</v>
      </c>
      <c r="K1501" s="141" t="e">
        <f t="shared" si="120"/>
        <v>#REF!</v>
      </c>
    </row>
    <row r="1502" spans="1:11" hidden="1" x14ac:dyDescent="0.25">
      <c r="A1502" t="e">
        <f>#REF!</f>
        <v>#REF!</v>
      </c>
      <c r="B1502" t="e">
        <f>#REF!</f>
        <v>#REF!</v>
      </c>
      <c r="C1502" t="e">
        <f>#REF!</f>
        <v>#REF!</v>
      </c>
      <c r="D1502" t="e">
        <f>#REF!</f>
        <v>#REF!</v>
      </c>
      <c r="E1502" t="e">
        <f>#REF!</f>
        <v>#REF!</v>
      </c>
      <c r="G1502" t="e">
        <f t="shared" si="116"/>
        <v>#REF!</v>
      </c>
      <c r="H1502" t="e">
        <f t="shared" si="117"/>
        <v>#REF!</v>
      </c>
      <c r="I1502" s="141" t="e">
        <f t="shared" si="118"/>
        <v>#REF!</v>
      </c>
      <c r="J1502" t="e">
        <f t="shared" si="119"/>
        <v>#REF!</v>
      </c>
      <c r="K1502" s="141" t="e">
        <f t="shared" si="120"/>
        <v>#REF!</v>
      </c>
    </row>
    <row r="1503" spans="1:11" hidden="1" x14ac:dyDescent="0.25">
      <c r="A1503" t="e">
        <f>#REF!</f>
        <v>#REF!</v>
      </c>
      <c r="B1503" t="e">
        <f>#REF!</f>
        <v>#REF!</v>
      </c>
      <c r="C1503" t="e">
        <f>#REF!</f>
        <v>#REF!</v>
      </c>
      <c r="D1503" t="e">
        <f>#REF!</f>
        <v>#REF!</v>
      </c>
      <c r="E1503" t="e">
        <f>#REF!</f>
        <v>#REF!</v>
      </c>
      <c r="G1503" t="e">
        <f t="shared" si="116"/>
        <v>#REF!</v>
      </c>
      <c r="H1503" t="e">
        <f t="shared" si="117"/>
        <v>#REF!</v>
      </c>
      <c r="I1503" s="141" t="e">
        <f t="shared" si="118"/>
        <v>#REF!</v>
      </c>
      <c r="J1503" t="e">
        <f t="shared" si="119"/>
        <v>#REF!</v>
      </c>
      <c r="K1503" s="141" t="e">
        <f t="shared" si="120"/>
        <v>#REF!</v>
      </c>
    </row>
    <row r="1504" spans="1:11" hidden="1" x14ac:dyDescent="0.25">
      <c r="A1504" t="e">
        <f>#REF!</f>
        <v>#REF!</v>
      </c>
      <c r="B1504" t="e">
        <f>#REF!</f>
        <v>#REF!</v>
      </c>
      <c r="C1504" t="e">
        <f>#REF!</f>
        <v>#REF!</v>
      </c>
      <c r="D1504" t="e">
        <f>#REF!</f>
        <v>#REF!</v>
      </c>
      <c r="E1504" t="e">
        <f>#REF!</f>
        <v>#REF!</v>
      </c>
      <c r="G1504" t="e">
        <f t="shared" si="116"/>
        <v>#REF!</v>
      </c>
      <c r="H1504" t="e">
        <f t="shared" si="117"/>
        <v>#REF!</v>
      </c>
      <c r="I1504" s="141" t="e">
        <f t="shared" si="118"/>
        <v>#REF!</v>
      </c>
      <c r="J1504" t="e">
        <f t="shared" si="119"/>
        <v>#REF!</v>
      </c>
      <c r="K1504" s="141" t="e">
        <f t="shared" si="120"/>
        <v>#REF!</v>
      </c>
    </row>
    <row r="1505" spans="1:11" hidden="1" x14ac:dyDescent="0.25">
      <c r="A1505" t="e">
        <f>#REF!</f>
        <v>#REF!</v>
      </c>
      <c r="B1505" t="e">
        <f>#REF!</f>
        <v>#REF!</v>
      </c>
      <c r="C1505" t="e">
        <f>#REF!</f>
        <v>#REF!</v>
      </c>
      <c r="D1505" t="e">
        <f>#REF!</f>
        <v>#REF!</v>
      </c>
      <c r="E1505" t="e">
        <f>#REF!</f>
        <v>#REF!</v>
      </c>
      <c r="G1505" t="e">
        <f t="shared" si="116"/>
        <v>#REF!</v>
      </c>
      <c r="H1505" t="e">
        <f t="shared" si="117"/>
        <v>#REF!</v>
      </c>
      <c r="I1505" s="141" t="e">
        <f t="shared" si="118"/>
        <v>#REF!</v>
      </c>
      <c r="J1505" t="e">
        <f t="shared" si="119"/>
        <v>#REF!</v>
      </c>
      <c r="K1505" s="141" t="e">
        <f t="shared" si="120"/>
        <v>#REF!</v>
      </c>
    </row>
    <row r="1506" spans="1:11" hidden="1" x14ac:dyDescent="0.25">
      <c r="A1506" t="e">
        <f>#REF!</f>
        <v>#REF!</v>
      </c>
      <c r="B1506" t="e">
        <f>#REF!</f>
        <v>#REF!</v>
      </c>
      <c r="C1506" t="e">
        <f>#REF!</f>
        <v>#REF!</v>
      </c>
      <c r="D1506" t="e">
        <f>#REF!</f>
        <v>#REF!</v>
      </c>
      <c r="E1506" t="e">
        <f>#REF!</f>
        <v>#REF!</v>
      </c>
      <c r="G1506" t="e">
        <f t="shared" si="116"/>
        <v>#REF!</v>
      </c>
      <c r="H1506" t="e">
        <f t="shared" si="117"/>
        <v>#REF!</v>
      </c>
      <c r="I1506" s="141" t="e">
        <f t="shared" si="118"/>
        <v>#REF!</v>
      </c>
      <c r="J1506" t="e">
        <f t="shared" si="119"/>
        <v>#REF!</v>
      </c>
      <c r="K1506" s="141" t="e">
        <f t="shared" si="120"/>
        <v>#REF!</v>
      </c>
    </row>
    <row r="1507" spans="1:11" hidden="1" x14ac:dyDescent="0.25">
      <c r="A1507" t="e">
        <f>#REF!</f>
        <v>#REF!</v>
      </c>
      <c r="B1507" t="e">
        <f>#REF!</f>
        <v>#REF!</v>
      </c>
      <c r="C1507" t="e">
        <f>#REF!</f>
        <v>#REF!</v>
      </c>
      <c r="D1507" t="e">
        <f>#REF!</f>
        <v>#REF!</v>
      </c>
      <c r="E1507" t="e">
        <f>#REF!</f>
        <v>#REF!</v>
      </c>
      <c r="G1507" t="e">
        <f t="shared" si="116"/>
        <v>#REF!</v>
      </c>
      <c r="H1507" t="e">
        <f t="shared" si="117"/>
        <v>#REF!</v>
      </c>
      <c r="I1507" s="141" t="e">
        <f t="shared" si="118"/>
        <v>#REF!</v>
      </c>
      <c r="J1507" t="e">
        <f t="shared" si="119"/>
        <v>#REF!</v>
      </c>
      <c r="K1507" s="141" t="e">
        <f t="shared" si="120"/>
        <v>#REF!</v>
      </c>
    </row>
    <row r="1508" spans="1:11" hidden="1" x14ac:dyDescent="0.25">
      <c r="A1508" t="e">
        <f>#REF!</f>
        <v>#REF!</v>
      </c>
      <c r="B1508" t="e">
        <f>#REF!</f>
        <v>#REF!</v>
      </c>
      <c r="C1508" t="e">
        <f>#REF!</f>
        <v>#REF!</v>
      </c>
      <c r="D1508" t="e">
        <f>#REF!</f>
        <v>#REF!</v>
      </c>
      <c r="E1508" t="e">
        <f>#REF!</f>
        <v>#REF!</v>
      </c>
      <c r="G1508" t="e">
        <f t="shared" si="116"/>
        <v>#REF!</v>
      </c>
      <c r="H1508" t="e">
        <f t="shared" si="117"/>
        <v>#REF!</v>
      </c>
      <c r="I1508" s="141" t="e">
        <f t="shared" si="118"/>
        <v>#REF!</v>
      </c>
      <c r="J1508" t="e">
        <f t="shared" si="119"/>
        <v>#REF!</v>
      </c>
      <c r="K1508" s="141" t="e">
        <f t="shared" si="120"/>
        <v>#REF!</v>
      </c>
    </row>
    <row r="1509" spans="1:11" hidden="1" x14ac:dyDescent="0.25">
      <c r="A1509" t="e">
        <f>#REF!</f>
        <v>#REF!</v>
      </c>
      <c r="B1509" t="e">
        <f>#REF!</f>
        <v>#REF!</v>
      </c>
      <c r="C1509" t="e">
        <f>#REF!</f>
        <v>#REF!</v>
      </c>
      <c r="D1509" t="e">
        <f>#REF!</f>
        <v>#REF!</v>
      </c>
      <c r="E1509" t="e">
        <f>#REF!</f>
        <v>#REF!</v>
      </c>
      <c r="G1509" t="e">
        <f t="shared" si="116"/>
        <v>#REF!</v>
      </c>
      <c r="H1509" t="e">
        <f t="shared" si="117"/>
        <v>#REF!</v>
      </c>
      <c r="I1509" s="141" t="e">
        <f t="shared" si="118"/>
        <v>#REF!</v>
      </c>
      <c r="J1509" t="e">
        <f t="shared" si="119"/>
        <v>#REF!</v>
      </c>
      <c r="K1509" s="141" t="e">
        <f t="shared" si="120"/>
        <v>#REF!</v>
      </c>
    </row>
    <row r="1510" spans="1:11" hidden="1" x14ac:dyDescent="0.25">
      <c r="A1510" t="e">
        <f>#REF!</f>
        <v>#REF!</v>
      </c>
      <c r="B1510" t="e">
        <f>#REF!</f>
        <v>#REF!</v>
      </c>
      <c r="C1510" t="e">
        <f>#REF!</f>
        <v>#REF!</v>
      </c>
      <c r="D1510" t="e">
        <f>#REF!</f>
        <v>#REF!</v>
      </c>
      <c r="E1510" t="e">
        <f>#REF!</f>
        <v>#REF!</v>
      </c>
      <c r="G1510" t="e">
        <f t="shared" si="116"/>
        <v>#REF!</v>
      </c>
      <c r="H1510" t="e">
        <f t="shared" si="117"/>
        <v>#REF!</v>
      </c>
      <c r="I1510" s="141" t="e">
        <f t="shared" si="118"/>
        <v>#REF!</v>
      </c>
      <c r="J1510" t="e">
        <f t="shared" si="119"/>
        <v>#REF!</v>
      </c>
      <c r="K1510" s="141" t="e">
        <f t="shared" si="120"/>
        <v>#REF!</v>
      </c>
    </row>
    <row r="1511" spans="1:11" hidden="1" x14ac:dyDescent="0.25">
      <c r="A1511" t="e">
        <f>#REF!</f>
        <v>#REF!</v>
      </c>
      <c r="B1511" t="e">
        <f>#REF!</f>
        <v>#REF!</v>
      </c>
      <c r="C1511" t="e">
        <f>#REF!</f>
        <v>#REF!</v>
      </c>
      <c r="D1511" t="e">
        <f>#REF!</f>
        <v>#REF!</v>
      </c>
      <c r="E1511" t="e">
        <f>#REF!</f>
        <v>#REF!</v>
      </c>
      <c r="G1511" t="e">
        <f t="shared" si="116"/>
        <v>#REF!</v>
      </c>
      <c r="H1511" t="e">
        <f t="shared" si="117"/>
        <v>#REF!</v>
      </c>
      <c r="I1511" s="141" t="e">
        <f t="shared" si="118"/>
        <v>#REF!</v>
      </c>
      <c r="J1511" t="e">
        <f t="shared" si="119"/>
        <v>#REF!</v>
      </c>
      <c r="K1511" s="141" t="e">
        <f t="shared" si="120"/>
        <v>#REF!</v>
      </c>
    </row>
    <row r="1512" spans="1:11" hidden="1" x14ac:dyDescent="0.25">
      <c r="A1512" t="e">
        <f>#REF!</f>
        <v>#REF!</v>
      </c>
      <c r="B1512" t="e">
        <f>#REF!</f>
        <v>#REF!</v>
      </c>
      <c r="C1512" t="e">
        <f>#REF!</f>
        <v>#REF!</v>
      </c>
      <c r="D1512" t="e">
        <f>#REF!</f>
        <v>#REF!</v>
      </c>
      <c r="E1512" t="e">
        <f>#REF!</f>
        <v>#REF!</v>
      </c>
      <c r="G1512" t="e">
        <f t="shared" si="116"/>
        <v>#REF!</v>
      </c>
      <c r="H1512" t="e">
        <f t="shared" si="117"/>
        <v>#REF!</v>
      </c>
      <c r="I1512" s="141" t="e">
        <f t="shared" si="118"/>
        <v>#REF!</v>
      </c>
      <c r="J1512" t="e">
        <f t="shared" si="119"/>
        <v>#REF!</v>
      </c>
      <c r="K1512" s="141" t="e">
        <f t="shared" si="120"/>
        <v>#REF!</v>
      </c>
    </row>
    <row r="1513" spans="1:11" hidden="1" x14ac:dyDescent="0.25">
      <c r="A1513" t="e">
        <f>#REF!</f>
        <v>#REF!</v>
      </c>
      <c r="B1513" t="e">
        <f>#REF!</f>
        <v>#REF!</v>
      </c>
      <c r="C1513" t="e">
        <f>#REF!</f>
        <v>#REF!</v>
      </c>
      <c r="D1513" t="e">
        <f>#REF!</f>
        <v>#REF!</v>
      </c>
      <c r="E1513" t="e">
        <f>#REF!</f>
        <v>#REF!</v>
      </c>
      <c r="G1513" t="e">
        <f t="shared" si="116"/>
        <v>#REF!</v>
      </c>
      <c r="H1513" t="e">
        <f t="shared" si="117"/>
        <v>#REF!</v>
      </c>
      <c r="I1513" s="141" t="e">
        <f t="shared" si="118"/>
        <v>#REF!</v>
      </c>
      <c r="J1513" t="e">
        <f t="shared" si="119"/>
        <v>#REF!</v>
      </c>
      <c r="K1513" s="141" t="e">
        <f t="shared" si="120"/>
        <v>#REF!</v>
      </c>
    </row>
    <row r="1514" spans="1:11" hidden="1" x14ac:dyDescent="0.25">
      <c r="A1514" t="e">
        <f>#REF!</f>
        <v>#REF!</v>
      </c>
      <c r="B1514" t="e">
        <f>#REF!</f>
        <v>#REF!</v>
      </c>
      <c r="C1514" t="e">
        <f>#REF!</f>
        <v>#REF!</v>
      </c>
      <c r="D1514" t="e">
        <f>#REF!</f>
        <v>#REF!</v>
      </c>
      <c r="E1514" t="e">
        <f>#REF!</f>
        <v>#REF!</v>
      </c>
      <c r="G1514" t="e">
        <f t="shared" si="116"/>
        <v>#REF!</v>
      </c>
      <c r="H1514" t="e">
        <f t="shared" si="117"/>
        <v>#REF!</v>
      </c>
      <c r="I1514" s="141" t="e">
        <f t="shared" si="118"/>
        <v>#REF!</v>
      </c>
      <c r="J1514" t="e">
        <f t="shared" si="119"/>
        <v>#REF!</v>
      </c>
      <c r="K1514" s="141" t="e">
        <f t="shared" si="120"/>
        <v>#REF!</v>
      </c>
    </row>
    <row r="1515" spans="1:11" hidden="1" x14ac:dyDescent="0.25">
      <c r="A1515" t="e">
        <f>#REF!</f>
        <v>#REF!</v>
      </c>
      <c r="B1515" t="e">
        <f>#REF!</f>
        <v>#REF!</v>
      </c>
      <c r="C1515" t="e">
        <f>#REF!</f>
        <v>#REF!</v>
      </c>
      <c r="D1515" t="e">
        <f>#REF!</f>
        <v>#REF!</v>
      </c>
      <c r="E1515" t="e">
        <f>#REF!</f>
        <v>#REF!</v>
      </c>
      <c r="G1515" t="e">
        <f t="shared" si="116"/>
        <v>#REF!</v>
      </c>
      <c r="H1515" t="e">
        <f t="shared" si="117"/>
        <v>#REF!</v>
      </c>
      <c r="I1515" s="141" t="e">
        <f t="shared" si="118"/>
        <v>#REF!</v>
      </c>
      <c r="J1515" t="e">
        <f t="shared" si="119"/>
        <v>#REF!</v>
      </c>
      <c r="K1515" s="141" t="e">
        <f t="shared" si="120"/>
        <v>#REF!</v>
      </c>
    </row>
    <row r="1516" spans="1:11" hidden="1" x14ac:dyDescent="0.25">
      <c r="A1516" t="e">
        <f>#REF!</f>
        <v>#REF!</v>
      </c>
      <c r="B1516" t="e">
        <f>#REF!</f>
        <v>#REF!</v>
      </c>
      <c r="C1516" t="e">
        <f>#REF!</f>
        <v>#REF!</v>
      </c>
      <c r="D1516" t="e">
        <f>#REF!</f>
        <v>#REF!</v>
      </c>
      <c r="E1516" t="e">
        <f>#REF!</f>
        <v>#REF!</v>
      </c>
      <c r="G1516" t="e">
        <f t="shared" si="116"/>
        <v>#REF!</v>
      </c>
      <c r="H1516" t="e">
        <f t="shared" si="117"/>
        <v>#REF!</v>
      </c>
      <c r="I1516" s="141" t="e">
        <f t="shared" si="118"/>
        <v>#REF!</v>
      </c>
      <c r="J1516" t="e">
        <f t="shared" si="119"/>
        <v>#REF!</v>
      </c>
      <c r="K1516" s="141" t="e">
        <f t="shared" si="120"/>
        <v>#REF!</v>
      </c>
    </row>
    <row r="1517" spans="1:11" hidden="1" x14ac:dyDescent="0.25">
      <c r="A1517" t="e">
        <f>#REF!</f>
        <v>#REF!</v>
      </c>
      <c r="B1517" t="e">
        <f>#REF!</f>
        <v>#REF!</v>
      </c>
      <c r="C1517" t="e">
        <f>#REF!</f>
        <v>#REF!</v>
      </c>
      <c r="D1517" t="e">
        <f>#REF!</f>
        <v>#REF!</v>
      </c>
      <c r="E1517" t="e">
        <f>#REF!</f>
        <v>#REF!</v>
      </c>
      <c r="G1517" t="e">
        <f t="shared" si="116"/>
        <v>#REF!</v>
      </c>
      <c r="H1517" t="e">
        <f t="shared" si="117"/>
        <v>#REF!</v>
      </c>
      <c r="I1517" s="141" t="e">
        <f t="shared" si="118"/>
        <v>#REF!</v>
      </c>
      <c r="J1517" t="e">
        <f t="shared" si="119"/>
        <v>#REF!</v>
      </c>
      <c r="K1517" s="141" t="e">
        <f t="shared" si="120"/>
        <v>#REF!</v>
      </c>
    </row>
    <row r="1518" spans="1:11" hidden="1" x14ac:dyDescent="0.25">
      <c r="A1518" t="e">
        <f>#REF!</f>
        <v>#REF!</v>
      </c>
      <c r="B1518" t="e">
        <f>#REF!</f>
        <v>#REF!</v>
      </c>
      <c r="C1518" t="e">
        <f>#REF!</f>
        <v>#REF!</v>
      </c>
      <c r="D1518" t="e">
        <f>#REF!</f>
        <v>#REF!</v>
      </c>
      <c r="E1518" t="e">
        <f>#REF!</f>
        <v>#REF!</v>
      </c>
      <c r="G1518" t="e">
        <f t="shared" si="116"/>
        <v>#REF!</v>
      </c>
      <c r="H1518" t="e">
        <f t="shared" si="117"/>
        <v>#REF!</v>
      </c>
      <c r="I1518" s="141" t="e">
        <f t="shared" si="118"/>
        <v>#REF!</v>
      </c>
      <c r="J1518" t="e">
        <f t="shared" si="119"/>
        <v>#REF!</v>
      </c>
      <c r="K1518" s="141" t="e">
        <f t="shared" si="120"/>
        <v>#REF!</v>
      </c>
    </row>
    <row r="1519" spans="1:11" hidden="1" x14ac:dyDescent="0.25">
      <c r="A1519" t="e">
        <f>#REF!</f>
        <v>#REF!</v>
      </c>
      <c r="B1519" t="e">
        <f>#REF!</f>
        <v>#REF!</v>
      </c>
      <c r="C1519" t="e">
        <f>#REF!</f>
        <v>#REF!</v>
      </c>
      <c r="D1519" t="e">
        <f>#REF!</f>
        <v>#REF!</v>
      </c>
      <c r="E1519" t="e">
        <f>#REF!</f>
        <v>#REF!</v>
      </c>
      <c r="G1519" t="e">
        <f t="shared" si="116"/>
        <v>#REF!</v>
      </c>
      <c r="H1519" t="e">
        <f t="shared" si="117"/>
        <v>#REF!</v>
      </c>
      <c r="I1519" s="141" t="e">
        <f t="shared" si="118"/>
        <v>#REF!</v>
      </c>
      <c r="J1519" t="e">
        <f t="shared" si="119"/>
        <v>#REF!</v>
      </c>
      <c r="K1519" s="141" t="e">
        <f t="shared" si="120"/>
        <v>#REF!</v>
      </c>
    </row>
    <row r="1520" spans="1:11" hidden="1" x14ac:dyDescent="0.25">
      <c r="A1520" t="e">
        <f>#REF!</f>
        <v>#REF!</v>
      </c>
      <c r="B1520" t="e">
        <f>#REF!</f>
        <v>#REF!</v>
      </c>
      <c r="C1520" t="e">
        <f>#REF!</f>
        <v>#REF!</v>
      </c>
      <c r="D1520" t="e">
        <f>#REF!</f>
        <v>#REF!</v>
      </c>
      <c r="E1520" t="e">
        <f>#REF!</f>
        <v>#REF!</v>
      </c>
      <c r="G1520" t="e">
        <f t="shared" si="116"/>
        <v>#REF!</v>
      </c>
      <c r="H1520" t="e">
        <f t="shared" si="117"/>
        <v>#REF!</v>
      </c>
      <c r="I1520" s="141" t="e">
        <f t="shared" si="118"/>
        <v>#REF!</v>
      </c>
      <c r="J1520" t="e">
        <f t="shared" si="119"/>
        <v>#REF!</v>
      </c>
      <c r="K1520" s="141" t="e">
        <f t="shared" si="120"/>
        <v>#REF!</v>
      </c>
    </row>
    <row r="1521" spans="1:11" hidden="1" x14ac:dyDescent="0.25">
      <c r="A1521" t="e">
        <f>#REF!</f>
        <v>#REF!</v>
      </c>
      <c r="B1521" t="e">
        <f>#REF!</f>
        <v>#REF!</v>
      </c>
      <c r="C1521" t="e">
        <f>#REF!</f>
        <v>#REF!</v>
      </c>
      <c r="D1521" t="e">
        <f>#REF!</f>
        <v>#REF!</v>
      </c>
      <c r="E1521" t="e">
        <f>#REF!</f>
        <v>#REF!</v>
      </c>
      <c r="G1521" t="e">
        <f t="shared" si="116"/>
        <v>#REF!</v>
      </c>
      <c r="H1521" t="e">
        <f t="shared" si="117"/>
        <v>#REF!</v>
      </c>
      <c r="I1521" s="141" t="e">
        <f t="shared" si="118"/>
        <v>#REF!</v>
      </c>
      <c r="J1521" t="e">
        <f t="shared" si="119"/>
        <v>#REF!</v>
      </c>
      <c r="K1521" s="141" t="e">
        <f t="shared" si="120"/>
        <v>#REF!</v>
      </c>
    </row>
    <row r="1522" spans="1:11" hidden="1" x14ac:dyDescent="0.25">
      <c r="A1522" t="e">
        <f>#REF!</f>
        <v>#REF!</v>
      </c>
      <c r="B1522" t="e">
        <f>#REF!</f>
        <v>#REF!</v>
      </c>
      <c r="C1522" t="e">
        <f>#REF!</f>
        <v>#REF!</v>
      </c>
      <c r="D1522" t="e">
        <f>#REF!</f>
        <v>#REF!</v>
      </c>
      <c r="E1522" t="e">
        <f>#REF!</f>
        <v>#REF!</v>
      </c>
      <c r="G1522" t="e">
        <f t="shared" si="116"/>
        <v>#REF!</v>
      </c>
      <c r="H1522" t="e">
        <f t="shared" si="117"/>
        <v>#REF!</v>
      </c>
      <c r="I1522" s="141" t="e">
        <f t="shared" si="118"/>
        <v>#REF!</v>
      </c>
      <c r="J1522" t="e">
        <f t="shared" si="119"/>
        <v>#REF!</v>
      </c>
      <c r="K1522" s="141" t="e">
        <f t="shared" si="120"/>
        <v>#REF!</v>
      </c>
    </row>
    <row r="1523" spans="1:11" hidden="1" x14ac:dyDescent="0.25">
      <c r="A1523" t="e">
        <f>#REF!</f>
        <v>#REF!</v>
      </c>
      <c r="B1523" t="e">
        <f>#REF!</f>
        <v>#REF!</v>
      </c>
      <c r="C1523" t="e">
        <f>#REF!</f>
        <v>#REF!</v>
      </c>
      <c r="D1523" t="e">
        <f>#REF!</f>
        <v>#REF!</v>
      </c>
      <c r="E1523" t="e">
        <f>#REF!</f>
        <v>#REF!</v>
      </c>
      <c r="G1523" t="e">
        <f t="shared" si="116"/>
        <v>#REF!</v>
      </c>
      <c r="H1523" t="e">
        <f t="shared" si="117"/>
        <v>#REF!</v>
      </c>
      <c r="I1523" s="141" t="e">
        <f t="shared" si="118"/>
        <v>#REF!</v>
      </c>
      <c r="J1523" t="e">
        <f t="shared" si="119"/>
        <v>#REF!</v>
      </c>
      <c r="K1523" s="141" t="e">
        <f t="shared" si="120"/>
        <v>#REF!</v>
      </c>
    </row>
    <row r="1524" spans="1:11" hidden="1" x14ac:dyDescent="0.25">
      <c r="A1524" t="e">
        <f>#REF!</f>
        <v>#REF!</v>
      </c>
      <c r="B1524" t="e">
        <f>#REF!</f>
        <v>#REF!</v>
      </c>
      <c r="C1524" t="e">
        <f>#REF!</f>
        <v>#REF!</v>
      </c>
      <c r="D1524" t="e">
        <f>#REF!</f>
        <v>#REF!</v>
      </c>
      <c r="E1524" t="e">
        <f>#REF!</f>
        <v>#REF!</v>
      </c>
      <c r="G1524" t="e">
        <f t="shared" si="116"/>
        <v>#REF!</v>
      </c>
      <c r="H1524" t="e">
        <f t="shared" si="117"/>
        <v>#REF!</v>
      </c>
      <c r="I1524" s="141" t="e">
        <f t="shared" si="118"/>
        <v>#REF!</v>
      </c>
      <c r="J1524" t="e">
        <f t="shared" si="119"/>
        <v>#REF!</v>
      </c>
      <c r="K1524" s="141" t="e">
        <f t="shared" si="120"/>
        <v>#REF!</v>
      </c>
    </row>
    <row r="1525" spans="1:11" hidden="1" x14ac:dyDescent="0.25">
      <c r="A1525" t="e">
        <f>#REF!</f>
        <v>#REF!</v>
      </c>
      <c r="B1525" t="e">
        <f>#REF!</f>
        <v>#REF!</v>
      </c>
      <c r="C1525" t="e">
        <f>#REF!</f>
        <v>#REF!</v>
      </c>
      <c r="D1525" t="e">
        <f>#REF!</f>
        <v>#REF!</v>
      </c>
      <c r="E1525" t="e">
        <f>#REF!</f>
        <v>#REF!</v>
      </c>
      <c r="G1525" t="e">
        <f t="shared" si="116"/>
        <v>#REF!</v>
      </c>
      <c r="H1525" t="e">
        <f t="shared" si="117"/>
        <v>#REF!</v>
      </c>
      <c r="I1525" s="141" t="e">
        <f t="shared" si="118"/>
        <v>#REF!</v>
      </c>
      <c r="J1525" t="e">
        <f t="shared" si="119"/>
        <v>#REF!</v>
      </c>
      <c r="K1525" s="141" t="e">
        <f t="shared" si="120"/>
        <v>#REF!</v>
      </c>
    </row>
    <row r="1526" spans="1:11" hidden="1" x14ac:dyDescent="0.25">
      <c r="A1526" t="e">
        <f>#REF!</f>
        <v>#REF!</v>
      </c>
      <c r="B1526" t="e">
        <f>#REF!</f>
        <v>#REF!</v>
      </c>
      <c r="C1526" t="e">
        <f>#REF!</f>
        <v>#REF!</v>
      </c>
      <c r="D1526" t="e">
        <f>#REF!</f>
        <v>#REF!</v>
      </c>
      <c r="E1526" t="e">
        <f>#REF!</f>
        <v>#REF!</v>
      </c>
      <c r="G1526" t="e">
        <f t="shared" si="116"/>
        <v>#REF!</v>
      </c>
      <c r="H1526" t="e">
        <f t="shared" si="117"/>
        <v>#REF!</v>
      </c>
      <c r="I1526" s="141" t="e">
        <f t="shared" si="118"/>
        <v>#REF!</v>
      </c>
      <c r="J1526" t="e">
        <f t="shared" si="119"/>
        <v>#REF!</v>
      </c>
      <c r="K1526" s="141" t="e">
        <f t="shared" si="120"/>
        <v>#REF!</v>
      </c>
    </row>
    <row r="1527" spans="1:11" hidden="1" x14ac:dyDescent="0.25">
      <c r="A1527" t="e">
        <f>#REF!</f>
        <v>#REF!</v>
      </c>
      <c r="B1527" t="e">
        <f>#REF!</f>
        <v>#REF!</v>
      </c>
      <c r="C1527" t="e">
        <f>#REF!</f>
        <v>#REF!</v>
      </c>
      <c r="D1527" t="e">
        <f>#REF!</f>
        <v>#REF!</v>
      </c>
      <c r="E1527" t="e">
        <f>#REF!</f>
        <v>#REF!</v>
      </c>
      <c r="G1527" t="e">
        <f t="shared" si="116"/>
        <v>#REF!</v>
      </c>
      <c r="H1527" t="e">
        <f t="shared" si="117"/>
        <v>#REF!</v>
      </c>
      <c r="I1527" s="141" t="e">
        <f t="shared" si="118"/>
        <v>#REF!</v>
      </c>
      <c r="J1527" t="e">
        <f t="shared" si="119"/>
        <v>#REF!</v>
      </c>
      <c r="K1527" s="141" t="e">
        <f t="shared" si="120"/>
        <v>#REF!</v>
      </c>
    </row>
    <row r="1528" spans="1:11" hidden="1" x14ac:dyDescent="0.25">
      <c r="A1528" t="e">
        <f>#REF!</f>
        <v>#REF!</v>
      </c>
      <c r="B1528" t="e">
        <f>#REF!</f>
        <v>#REF!</v>
      </c>
      <c r="C1528" t="e">
        <f>#REF!</f>
        <v>#REF!</v>
      </c>
      <c r="D1528" t="e">
        <f>#REF!</f>
        <v>#REF!</v>
      </c>
      <c r="E1528" t="e">
        <f>#REF!</f>
        <v>#REF!</v>
      </c>
      <c r="G1528" t="e">
        <f t="shared" si="116"/>
        <v>#REF!</v>
      </c>
      <c r="H1528" t="e">
        <f t="shared" si="117"/>
        <v>#REF!</v>
      </c>
      <c r="I1528" s="141" t="e">
        <f t="shared" si="118"/>
        <v>#REF!</v>
      </c>
      <c r="J1528" t="e">
        <f t="shared" si="119"/>
        <v>#REF!</v>
      </c>
      <c r="K1528" s="141" t="e">
        <f t="shared" si="120"/>
        <v>#REF!</v>
      </c>
    </row>
    <row r="1529" spans="1:11" hidden="1" x14ac:dyDescent="0.25">
      <c r="A1529" t="e">
        <f>#REF!</f>
        <v>#REF!</v>
      </c>
      <c r="B1529" t="e">
        <f>#REF!</f>
        <v>#REF!</v>
      </c>
      <c r="C1529" t="e">
        <f>#REF!</f>
        <v>#REF!</v>
      </c>
      <c r="D1529" t="e">
        <f>#REF!</f>
        <v>#REF!</v>
      </c>
      <c r="E1529" t="e">
        <f>#REF!</f>
        <v>#REF!</v>
      </c>
      <c r="G1529" t="e">
        <f t="shared" si="116"/>
        <v>#REF!</v>
      </c>
      <c r="H1529" t="e">
        <f t="shared" si="117"/>
        <v>#REF!</v>
      </c>
      <c r="I1529" s="141" t="e">
        <f t="shared" si="118"/>
        <v>#REF!</v>
      </c>
      <c r="J1529" t="e">
        <f t="shared" si="119"/>
        <v>#REF!</v>
      </c>
      <c r="K1529" s="141" t="e">
        <f t="shared" si="120"/>
        <v>#REF!</v>
      </c>
    </row>
    <row r="1530" spans="1:11" hidden="1" x14ac:dyDescent="0.25">
      <c r="A1530" t="e">
        <f>#REF!</f>
        <v>#REF!</v>
      </c>
      <c r="B1530" t="e">
        <f>#REF!</f>
        <v>#REF!</v>
      </c>
      <c r="C1530" t="e">
        <f>#REF!</f>
        <v>#REF!</v>
      </c>
      <c r="D1530" t="e">
        <f>#REF!</f>
        <v>#REF!</v>
      </c>
      <c r="E1530" t="e">
        <f>#REF!</f>
        <v>#REF!</v>
      </c>
      <c r="G1530" t="e">
        <f t="shared" si="116"/>
        <v>#REF!</v>
      </c>
      <c r="H1530" t="e">
        <f t="shared" si="117"/>
        <v>#REF!</v>
      </c>
      <c r="I1530" s="141" t="e">
        <f t="shared" si="118"/>
        <v>#REF!</v>
      </c>
      <c r="J1530" t="e">
        <f t="shared" si="119"/>
        <v>#REF!</v>
      </c>
      <c r="K1530" s="141" t="e">
        <f t="shared" si="120"/>
        <v>#REF!</v>
      </c>
    </row>
    <row r="1531" spans="1:11" hidden="1" x14ac:dyDescent="0.25">
      <c r="A1531" t="e">
        <f>#REF!</f>
        <v>#REF!</v>
      </c>
      <c r="B1531" t="e">
        <f>#REF!</f>
        <v>#REF!</v>
      </c>
      <c r="C1531" t="e">
        <f>#REF!</f>
        <v>#REF!</v>
      </c>
      <c r="D1531" t="e">
        <f>#REF!</f>
        <v>#REF!</v>
      </c>
      <c r="E1531" t="e">
        <f>#REF!</f>
        <v>#REF!</v>
      </c>
      <c r="G1531" t="e">
        <f t="shared" si="116"/>
        <v>#REF!</v>
      </c>
      <c r="H1531" t="e">
        <f t="shared" si="117"/>
        <v>#REF!</v>
      </c>
      <c r="I1531" s="141" t="e">
        <f t="shared" si="118"/>
        <v>#REF!</v>
      </c>
      <c r="J1531" t="e">
        <f t="shared" si="119"/>
        <v>#REF!</v>
      </c>
      <c r="K1531" s="141" t="e">
        <f t="shared" si="120"/>
        <v>#REF!</v>
      </c>
    </row>
    <row r="1532" spans="1:11" hidden="1" x14ac:dyDescent="0.25">
      <c r="A1532" t="e">
        <f>#REF!</f>
        <v>#REF!</v>
      </c>
      <c r="B1532" t="e">
        <f>#REF!</f>
        <v>#REF!</v>
      </c>
      <c r="C1532" t="e">
        <f>#REF!</f>
        <v>#REF!</v>
      </c>
      <c r="D1532" t="e">
        <f>#REF!</f>
        <v>#REF!</v>
      </c>
      <c r="E1532" t="e">
        <f>#REF!</f>
        <v>#REF!</v>
      </c>
      <c r="G1532" t="e">
        <f t="shared" si="116"/>
        <v>#REF!</v>
      </c>
      <c r="H1532" t="e">
        <f t="shared" si="117"/>
        <v>#REF!</v>
      </c>
      <c r="I1532" s="141" t="e">
        <f t="shared" si="118"/>
        <v>#REF!</v>
      </c>
      <c r="J1532" t="e">
        <f t="shared" si="119"/>
        <v>#REF!</v>
      </c>
      <c r="K1532" s="141" t="e">
        <f t="shared" si="120"/>
        <v>#REF!</v>
      </c>
    </row>
    <row r="1533" spans="1:11" hidden="1" x14ac:dyDescent="0.25">
      <c r="A1533" t="e">
        <f>#REF!</f>
        <v>#REF!</v>
      </c>
      <c r="B1533" t="e">
        <f>#REF!</f>
        <v>#REF!</v>
      </c>
      <c r="C1533" t="e">
        <f>#REF!</f>
        <v>#REF!</v>
      </c>
      <c r="D1533" t="e">
        <f>#REF!</f>
        <v>#REF!</v>
      </c>
      <c r="E1533" t="e">
        <f>#REF!</f>
        <v>#REF!</v>
      </c>
      <c r="G1533" t="e">
        <f t="shared" si="116"/>
        <v>#REF!</v>
      </c>
      <c r="H1533" t="e">
        <f t="shared" si="117"/>
        <v>#REF!</v>
      </c>
      <c r="I1533" s="141" t="e">
        <f t="shared" si="118"/>
        <v>#REF!</v>
      </c>
      <c r="J1533" t="e">
        <f t="shared" si="119"/>
        <v>#REF!</v>
      </c>
      <c r="K1533" s="141" t="e">
        <f t="shared" si="120"/>
        <v>#REF!</v>
      </c>
    </row>
    <row r="1534" spans="1:11" hidden="1" x14ac:dyDescent="0.25">
      <c r="A1534" t="e">
        <f>#REF!</f>
        <v>#REF!</v>
      </c>
      <c r="B1534" t="e">
        <f>#REF!</f>
        <v>#REF!</v>
      </c>
      <c r="C1534" t="e">
        <f>#REF!</f>
        <v>#REF!</v>
      </c>
      <c r="D1534" t="e">
        <f>#REF!</f>
        <v>#REF!</v>
      </c>
      <c r="E1534" t="e">
        <f>#REF!</f>
        <v>#REF!</v>
      </c>
      <c r="G1534" t="e">
        <f t="shared" si="116"/>
        <v>#REF!</v>
      </c>
      <c r="H1534" t="e">
        <f t="shared" si="117"/>
        <v>#REF!</v>
      </c>
      <c r="I1534" s="141" t="e">
        <f t="shared" si="118"/>
        <v>#REF!</v>
      </c>
      <c r="J1534" t="e">
        <f t="shared" si="119"/>
        <v>#REF!</v>
      </c>
      <c r="K1534" s="141" t="e">
        <f t="shared" si="120"/>
        <v>#REF!</v>
      </c>
    </row>
    <row r="1535" spans="1:11" hidden="1" x14ac:dyDescent="0.25">
      <c r="A1535" t="e">
        <f>#REF!</f>
        <v>#REF!</v>
      </c>
      <c r="B1535" t="e">
        <f>#REF!</f>
        <v>#REF!</v>
      </c>
      <c r="C1535" t="e">
        <f>#REF!</f>
        <v>#REF!</v>
      </c>
      <c r="D1535" t="e">
        <f>#REF!</f>
        <v>#REF!</v>
      </c>
      <c r="E1535" t="e">
        <f>#REF!</f>
        <v>#REF!</v>
      </c>
      <c r="G1535" t="e">
        <f t="shared" si="116"/>
        <v>#REF!</v>
      </c>
      <c r="H1535" t="e">
        <f t="shared" si="117"/>
        <v>#REF!</v>
      </c>
      <c r="I1535" s="141" t="e">
        <f t="shared" si="118"/>
        <v>#REF!</v>
      </c>
      <c r="J1535" t="e">
        <f t="shared" si="119"/>
        <v>#REF!</v>
      </c>
      <c r="K1535" s="141" t="e">
        <f t="shared" si="120"/>
        <v>#REF!</v>
      </c>
    </row>
    <row r="1536" spans="1:11" hidden="1" x14ac:dyDescent="0.25">
      <c r="A1536" t="e">
        <f>#REF!</f>
        <v>#REF!</v>
      </c>
      <c r="B1536" t="e">
        <f>#REF!</f>
        <v>#REF!</v>
      </c>
      <c r="C1536" t="e">
        <f>#REF!</f>
        <v>#REF!</v>
      </c>
      <c r="D1536" t="e">
        <f>#REF!</f>
        <v>#REF!</v>
      </c>
      <c r="E1536" t="e">
        <f>#REF!</f>
        <v>#REF!</v>
      </c>
      <c r="G1536" t="e">
        <f t="shared" si="116"/>
        <v>#REF!</v>
      </c>
      <c r="H1536" t="e">
        <f t="shared" si="117"/>
        <v>#REF!</v>
      </c>
      <c r="I1536" s="141" t="e">
        <f t="shared" si="118"/>
        <v>#REF!</v>
      </c>
      <c r="J1536" t="e">
        <f t="shared" si="119"/>
        <v>#REF!</v>
      </c>
      <c r="K1536" s="141" t="e">
        <f t="shared" si="120"/>
        <v>#REF!</v>
      </c>
    </row>
    <row r="1537" spans="1:11" hidden="1" x14ac:dyDescent="0.25">
      <c r="A1537" t="e">
        <f>#REF!</f>
        <v>#REF!</v>
      </c>
      <c r="B1537" t="e">
        <f>#REF!</f>
        <v>#REF!</v>
      </c>
      <c r="C1537" t="e">
        <f>#REF!</f>
        <v>#REF!</v>
      </c>
      <c r="D1537" t="e">
        <f>#REF!</f>
        <v>#REF!</v>
      </c>
      <c r="E1537" t="e">
        <f>#REF!</f>
        <v>#REF!</v>
      </c>
      <c r="G1537" t="e">
        <f t="shared" si="116"/>
        <v>#REF!</v>
      </c>
      <c r="H1537" t="e">
        <f t="shared" si="117"/>
        <v>#REF!</v>
      </c>
      <c r="I1537" s="141" t="e">
        <f t="shared" si="118"/>
        <v>#REF!</v>
      </c>
      <c r="J1537" t="e">
        <f t="shared" si="119"/>
        <v>#REF!</v>
      </c>
      <c r="K1537" s="141" t="e">
        <f t="shared" si="120"/>
        <v>#REF!</v>
      </c>
    </row>
    <row r="1538" spans="1:11" hidden="1" x14ac:dyDescent="0.25">
      <c r="A1538" t="e">
        <f>#REF!</f>
        <v>#REF!</v>
      </c>
      <c r="B1538" t="e">
        <f>#REF!</f>
        <v>#REF!</v>
      </c>
      <c r="C1538" t="e">
        <f>#REF!</f>
        <v>#REF!</v>
      </c>
      <c r="D1538" t="e">
        <f>#REF!</f>
        <v>#REF!</v>
      </c>
      <c r="E1538" t="e">
        <f>#REF!</f>
        <v>#REF!</v>
      </c>
      <c r="G1538" t="e">
        <f t="shared" ref="G1538:G1601" si="121">A1538</f>
        <v>#REF!</v>
      </c>
      <c r="H1538" t="e">
        <f t="shared" ref="H1538:H1601" si="122">B1538</f>
        <v>#REF!</v>
      </c>
      <c r="I1538" s="141" t="e">
        <f t="shared" ref="I1538:I1601" si="123">C1538</f>
        <v>#REF!</v>
      </c>
      <c r="J1538" t="e">
        <f t="shared" ref="J1538:J1601" si="124">D1538</f>
        <v>#REF!</v>
      </c>
      <c r="K1538" s="141" t="e">
        <f t="shared" ref="K1538:K1601" si="125">E1538</f>
        <v>#REF!</v>
      </c>
    </row>
    <row r="1539" spans="1:11" hidden="1" x14ac:dyDescent="0.25">
      <c r="A1539" t="e">
        <f>#REF!</f>
        <v>#REF!</v>
      </c>
      <c r="B1539" t="e">
        <f>#REF!</f>
        <v>#REF!</v>
      </c>
      <c r="C1539" t="e">
        <f>#REF!</f>
        <v>#REF!</v>
      </c>
      <c r="D1539" t="e">
        <f>#REF!</f>
        <v>#REF!</v>
      </c>
      <c r="E1539" t="e">
        <f>#REF!</f>
        <v>#REF!</v>
      </c>
      <c r="G1539" t="e">
        <f t="shared" si="121"/>
        <v>#REF!</v>
      </c>
      <c r="H1539" t="e">
        <f t="shared" si="122"/>
        <v>#REF!</v>
      </c>
      <c r="I1539" s="141" t="e">
        <f t="shared" si="123"/>
        <v>#REF!</v>
      </c>
      <c r="J1539" t="e">
        <f t="shared" si="124"/>
        <v>#REF!</v>
      </c>
      <c r="K1539" s="141" t="e">
        <f t="shared" si="125"/>
        <v>#REF!</v>
      </c>
    </row>
    <row r="1540" spans="1:11" hidden="1" x14ac:dyDescent="0.25">
      <c r="A1540" t="e">
        <f>#REF!</f>
        <v>#REF!</v>
      </c>
      <c r="B1540" t="e">
        <f>#REF!</f>
        <v>#REF!</v>
      </c>
      <c r="C1540" t="e">
        <f>#REF!</f>
        <v>#REF!</v>
      </c>
      <c r="D1540" t="e">
        <f>#REF!</f>
        <v>#REF!</v>
      </c>
      <c r="E1540" t="e">
        <f>#REF!</f>
        <v>#REF!</v>
      </c>
      <c r="G1540" t="e">
        <f t="shared" si="121"/>
        <v>#REF!</v>
      </c>
      <c r="H1540" t="e">
        <f t="shared" si="122"/>
        <v>#REF!</v>
      </c>
      <c r="I1540" s="141" t="e">
        <f t="shared" si="123"/>
        <v>#REF!</v>
      </c>
      <c r="J1540" t="e">
        <f t="shared" si="124"/>
        <v>#REF!</v>
      </c>
      <c r="K1540" s="141" t="e">
        <f t="shared" si="125"/>
        <v>#REF!</v>
      </c>
    </row>
    <row r="1541" spans="1:11" hidden="1" x14ac:dyDescent="0.25">
      <c r="A1541" t="e">
        <f>#REF!</f>
        <v>#REF!</v>
      </c>
      <c r="B1541" t="e">
        <f>#REF!</f>
        <v>#REF!</v>
      </c>
      <c r="C1541" t="e">
        <f>#REF!</f>
        <v>#REF!</v>
      </c>
      <c r="D1541" t="e">
        <f>#REF!</f>
        <v>#REF!</v>
      </c>
      <c r="E1541" t="e">
        <f>#REF!</f>
        <v>#REF!</v>
      </c>
      <c r="G1541" t="e">
        <f t="shared" si="121"/>
        <v>#REF!</v>
      </c>
      <c r="H1541" t="e">
        <f t="shared" si="122"/>
        <v>#REF!</v>
      </c>
      <c r="I1541" s="141" t="e">
        <f t="shared" si="123"/>
        <v>#REF!</v>
      </c>
      <c r="J1541" t="e">
        <f t="shared" si="124"/>
        <v>#REF!</v>
      </c>
      <c r="K1541" s="141" t="e">
        <f t="shared" si="125"/>
        <v>#REF!</v>
      </c>
    </row>
    <row r="1542" spans="1:11" hidden="1" x14ac:dyDescent="0.25">
      <c r="A1542" t="e">
        <f>#REF!</f>
        <v>#REF!</v>
      </c>
      <c r="B1542" t="e">
        <f>#REF!</f>
        <v>#REF!</v>
      </c>
      <c r="C1542" t="e">
        <f>#REF!</f>
        <v>#REF!</v>
      </c>
      <c r="D1542" t="e">
        <f>#REF!</f>
        <v>#REF!</v>
      </c>
      <c r="E1542" t="e">
        <f>#REF!</f>
        <v>#REF!</v>
      </c>
      <c r="G1542" t="e">
        <f t="shared" si="121"/>
        <v>#REF!</v>
      </c>
      <c r="H1542" t="e">
        <f t="shared" si="122"/>
        <v>#REF!</v>
      </c>
      <c r="I1542" s="141" t="e">
        <f t="shared" si="123"/>
        <v>#REF!</v>
      </c>
      <c r="J1542" t="e">
        <f t="shared" si="124"/>
        <v>#REF!</v>
      </c>
      <c r="K1542" s="141" t="e">
        <f t="shared" si="125"/>
        <v>#REF!</v>
      </c>
    </row>
    <row r="1543" spans="1:11" hidden="1" x14ac:dyDescent="0.25">
      <c r="A1543" t="e">
        <f>#REF!</f>
        <v>#REF!</v>
      </c>
      <c r="B1543" t="e">
        <f>#REF!</f>
        <v>#REF!</v>
      </c>
      <c r="C1543" t="e">
        <f>#REF!</f>
        <v>#REF!</v>
      </c>
      <c r="D1543" t="e">
        <f>#REF!</f>
        <v>#REF!</v>
      </c>
      <c r="E1543" t="e">
        <f>#REF!</f>
        <v>#REF!</v>
      </c>
      <c r="G1543" t="e">
        <f t="shared" si="121"/>
        <v>#REF!</v>
      </c>
      <c r="H1543" t="e">
        <f t="shared" si="122"/>
        <v>#REF!</v>
      </c>
      <c r="I1543" s="141" t="e">
        <f t="shared" si="123"/>
        <v>#REF!</v>
      </c>
      <c r="J1543" t="e">
        <f t="shared" si="124"/>
        <v>#REF!</v>
      </c>
      <c r="K1543" s="141" t="e">
        <f t="shared" si="125"/>
        <v>#REF!</v>
      </c>
    </row>
    <row r="1544" spans="1:11" hidden="1" x14ac:dyDescent="0.25">
      <c r="A1544" t="e">
        <f>#REF!</f>
        <v>#REF!</v>
      </c>
      <c r="B1544" t="e">
        <f>#REF!</f>
        <v>#REF!</v>
      </c>
      <c r="C1544" t="e">
        <f>#REF!</f>
        <v>#REF!</v>
      </c>
      <c r="D1544" t="e">
        <f>#REF!</f>
        <v>#REF!</v>
      </c>
      <c r="E1544" t="e">
        <f>#REF!</f>
        <v>#REF!</v>
      </c>
      <c r="G1544" t="e">
        <f t="shared" si="121"/>
        <v>#REF!</v>
      </c>
      <c r="H1544" t="e">
        <f t="shared" si="122"/>
        <v>#REF!</v>
      </c>
      <c r="I1544" s="141" t="e">
        <f t="shared" si="123"/>
        <v>#REF!</v>
      </c>
      <c r="J1544" t="e">
        <f t="shared" si="124"/>
        <v>#REF!</v>
      </c>
      <c r="K1544" s="141" t="e">
        <f t="shared" si="125"/>
        <v>#REF!</v>
      </c>
    </row>
    <row r="1545" spans="1:11" hidden="1" x14ac:dyDescent="0.25">
      <c r="A1545" t="e">
        <f>#REF!</f>
        <v>#REF!</v>
      </c>
      <c r="B1545" t="e">
        <f>#REF!</f>
        <v>#REF!</v>
      </c>
      <c r="C1545" t="e">
        <f>#REF!</f>
        <v>#REF!</v>
      </c>
      <c r="D1545" t="e">
        <f>#REF!</f>
        <v>#REF!</v>
      </c>
      <c r="E1545" t="e">
        <f>#REF!</f>
        <v>#REF!</v>
      </c>
      <c r="G1545" t="e">
        <f t="shared" si="121"/>
        <v>#REF!</v>
      </c>
      <c r="H1545" t="e">
        <f t="shared" si="122"/>
        <v>#REF!</v>
      </c>
      <c r="I1545" s="141" t="e">
        <f t="shared" si="123"/>
        <v>#REF!</v>
      </c>
      <c r="J1545" t="e">
        <f t="shared" si="124"/>
        <v>#REF!</v>
      </c>
      <c r="K1545" s="141" t="e">
        <f t="shared" si="125"/>
        <v>#REF!</v>
      </c>
    </row>
    <row r="1546" spans="1:11" hidden="1" x14ac:dyDescent="0.25">
      <c r="A1546" t="e">
        <f>#REF!</f>
        <v>#REF!</v>
      </c>
      <c r="B1546" t="e">
        <f>#REF!</f>
        <v>#REF!</v>
      </c>
      <c r="C1546" t="e">
        <f>#REF!</f>
        <v>#REF!</v>
      </c>
      <c r="D1546" t="e">
        <f>#REF!</f>
        <v>#REF!</v>
      </c>
      <c r="E1546" t="e">
        <f>#REF!</f>
        <v>#REF!</v>
      </c>
      <c r="G1546" t="e">
        <f t="shared" si="121"/>
        <v>#REF!</v>
      </c>
      <c r="H1546" t="e">
        <f t="shared" si="122"/>
        <v>#REF!</v>
      </c>
      <c r="I1546" s="141" t="e">
        <f t="shared" si="123"/>
        <v>#REF!</v>
      </c>
      <c r="J1546" t="e">
        <f t="shared" si="124"/>
        <v>#REF!</v>
      </c>
      <c r="K1546" s="141" t="e">
        <f t="shared" si="125"/>
        <v>#REF!</v>
      </c>
    </row>
    <row r="1547" spans="1:11" hidden="1" x14ac:dyDescent="0.25">
      <c r="A1547" t="e">
        <f>#REF!</f>
        <v>#REF!</v>
      </c>
      <c r="B1547" t="e">
        <f>#REF!</f>
        <v>#REF!</v>
      </c>
      <c r="C1547" t="e">
        <f>#REF!</f>
        <v>#REF!</v>
      </c>
      <c r="D1547" t="e">
        <f>#REF!</f>
        <v>#REF!</v>
      </c>
      <c r="E1547" t="e">
        <f>#REF!</f>
        <v>#REF!</v>
      </c>
      <c r="G1547" t="e">
        <f t="shared" si="121"/>
        <v>#REF!</v>
      </c>
      <c r="H1547" t="e">
        <f t="shared" si="122"/>
        <v>#REF!</v>
      </c>
      <c r="I1547" s="141" t="e">
        <f t="shared" si="123"/>
        <v>#REF!</v>
      </c>
      <c r="J1547" t="e">
        <f t="shared" si="124"/>
        <v>#REF!</v>
      </c>
      <c r="K1547" s="141" t="e">
        <f t="shared" si="125"/>
        <v>#REF!</v>
      </c>
    </row>
    <row r="1548" spans="1:11" hidden="1" x14ac:dyDescent="0.25">
      <c r="A1548" t="e">
        <f>#REF!</f>
        <v>#REF!</v>
      </c>
      <c r="B1548" t="e">
        <f>#REF!</f>
        <v>#REF!</v>
      </c>
      <c r="C1548" t="e">
        <f>#REF!</f>
        <v>#REF!</v>
      </c>
      <c r="D1548" t="e">
        <f>#REF!</f>
        <v>#REF!</v>
      </c>
      <c r="E1548" t="e">
        <f>#REF!</f>
        <v>#REF!</v>
      </c>
      <c r="G1548" t="e">
        <f t="shared" si="121"/>
        <v>#REF!</v>
      </c>
      <c r="H1548" t="e">
        <f t="shared" si="122"/>
        <v>#REF!</v>
      </c>
      <c r="I1548" s="141" t="e">
        <f t="shared" si="123"/>
        <v>#REF!</v>
      </c>
      <c r="J1548" t="e">
        <f t="shared" si="124"/>
        <v>#REF!</v>
      </c>
      <c r="K1548" s="141" t="e">
        <f t="shared" si="125"/>
        <v>#REF!</v>
      </c>
    </row>
    <row r="1549" spans="1:11" hidden="1" x14ac:dyDescent="0.25">
      <c r="A1549" t="e">
        <f>#REF!</f>
        <v>#REF!</v>
      </c>
      <c r="B1549" t="e">
        <f>#REF!</f>
        <v>#REF!</v>
      </c>
      <c r="C1549" t="e">
        <f>#REF!</f>
        <v>#REF!</v>
      </c>
      <c r="D1549" t="e">
        <f>#REF!</f>
        <v>#REF!</v>
      </c>
      <c r="E1549" t="e">
        <f>#REF!</f>
        <v>#REF!</v>
      </c>
      <c r="G1549" t="e">
        <f t="shared" si="121"/>
        <v>#REF!</v>
      </c>
      <c r="H1549" t="e">
        <f t="shared" si="122"/>
        <v>#REF!</v>
      </c>
      <c r="I1549" s="141" t="e">
        <f t="shared" si="123"/>
        <v>#REF!</v>
      </c>
      <c r="J1549" t="e">
        <f t="shared" si="124"/>
        <v>#REF!</v>
      </c>
      <c r="K1549" s="141" t="e">
        <f t="shared" si="125"/>
        <v>#REF!</v>
      </c>
    </row>
    <row r="1550" spans="1:11" hidden="1" x14ac:dyDescent="0.25">
      <c r="A1550" t="e">
        <f>#REF!</f>
        <v>#REF!</v>
      </c>
      <c r="B1550" t="e">
        <f>#REF!</f>
        <v>#REF!</v>
      </c>
      <c r="C1550" t="e">
        <f>#REF!</f>
        <v>#REF!</v>
      </c>
      <c r="D1550" t="e">
        <f>#REF!</f>
        <v>#REF!</v>
      </c>
      <c r="E1550" t="e">
        <f>#REF!</f>
        <v>#REF!</v>
      </c>
      <c r="G1550" t="e">
        <f t="shared" si="121"/>
        <v>#REF!</v>
      </c>
      <c r="H1550" t="e">
        <f t="shared" si="122"/>
        <v>#REF!</v>
      </c>
      <c r="I1550" s="141" t="e">
        <f t="shared" si="123"/>
        <v>#REF!</v>
      </c>
      <c r="J1550" t="e">
        <f t="shared" si="124"/>
        <v>#REF!</v>
      </c>
      <c r="K1550" s="141" t="e">
        <f t="shared" si="125"/>
        <v>#REF!</v>
      </c>
    </row>
    <row r="1551" spans="1:11" hidden="1" x14ac:dyDescent="0.25">
      <c r="A1551" t="e">
        <f>#REF!</f>
        <v>#REF!</v>
      </c>
      <c r="B1551" t="e">
        <f>#REF!</f>
        <v>#REF!</v>
      </c>
      <c r="C1551" t="e">
        <f>#REF!</f>
        <v>#REF!</v>
      </c>
      <c r="D1551" t="e">
        <f>#REF!</f>
        <v>#REF!</v>
      </c>
      <c r="E1551" t="e">
        <f>#REF!</f>
        <v>#REF!</v>
      </c>
      <c r="G1551" t="e">
        <f t="shared" si="121"/>
        <v>#REF!</v>
      </c>
      <c r="H1551" t="e">
        <f t="shared" si="122"/>
        <v>#REF!</v>
      </c>
      <c r="I1551" s="141" t="e">
        <f t="shared" si="123"/>
        <v>#REF!</v>
      </c>
      <c r="J1551" t="e">
        <f t="shared" si="124"/>
        <v>#REF!</v>
      </c>
      <c r="K1551" s="141" t="e">
        <f t="shared" si="125"/>
        <v>#REF!</v>
      </c>
    </row>
    <row r="1552" spans="1:11" hidden="1" x14ac:dyDescent="0.25">
      <c r="A1552" t="e">
        <f>#REF!</f>
        <v>#REF!</v>
      </c>
      <c r="B1552" t="e">
        <f>#REF!</f>
        <v>#REF!</v>
      </c>
      <c r="C1552" t="e">
        <f>#REF!</f>
        <v>#REF!</v>
      </c>
      <c r="D1552" t="e">
        <f>#REF!</f>
        <v>#REF!</v>
      </c>
      <c r="E1552" t="e">
        <f>#REF!</f>
        <v>#REF!</v>
      </c>
      <c r="G1552" t="e">
        <f t="shared" si="121"/>
        <v>#REF!</v>
      </c>
      <c r="H1552" t="e">
        <f t="shared" si="122"/>
        <v>#REF!</v>
      </c>
      <c r="I1552" s="141" t="e">
        <f t="shared" si="123"/>
        <v>#REF!</v>
      </c>
      <c r="J1552" t="e">
        <f t="shared" si="124"/>
        <v>#REF!</v>
      </c>
      <c r="K1552" s="141" t="e">
        <f t="shared" si="125"/>
        <v>#REF!</v>
      </c>
    </row>
    <row r="1553" spans="1:11" hidden="1" x14ac:dyDescent="0.25">
      <c r="A1553" t="e">
        <f>#REF!</f>
        <v>#REF!</v>
      </c>
      <c r="B1553" t="e">
        <f>#REF!</f>
        <v>#REF!</v>
      </c>
      <c r="C1553" t="e">
        <f>#REF!</f>
        <v>#REF!</v>
      </c>
      <c r="D1553" t="e">
        <f>#REF!</f>
        <v>#REF!</v>
      </c>
      <c r="E1553" t="e">
        <f>#REF!</f>
        <v>#REF!</v>
      </c>
      <c r="G1553" t="e">
        <f t="shared" si="121"/>
        <v>#REF!</v>
      </c>
      <c r="H1553" t="e">
        <f t="shared" si="122"/>
        <v>#REF!</v>
      </c>
      <c r="I1553" s="141" t="e">
        <f t="shared" si="123"/>
        <v>#REF!</v>
      </c>
      <c r="J1553" t="e">
        <f t="shared" si="124"/>
        <v>#REF!</v>
      </c>
      <c r="K1553" s="141" t="e">
        <f t="shared" si="125"/>
        <v>#REF!</v>
      </c>
    </row>
    <row r="1554" spans="1:11" hidden="1" x14ac:dyDescent="0.25">
      <c r="A1554" t="e">
        <f>#REF!</f>
        <v>#REF!</v>
      </c>
      <c r="B1554" t="e">
        <f>#REF!</f>
        <v>#REF!</v>
      </c>
      <c r="C1554" t="e">
        <f>#REF!</f>
        <v>#REF!</v>
      </c>
      <c r="D1554" t="e">
        <f>#REF!</f>
        <v>#REF!</v>
      </c>
      <c r="E1554" t="e">
        <f>#REF!</f>
        <v>#REF!</v>
      </c>
      <c r="G1554" t="e">
        <f t="shared" si="121"/>
        <v>#REF!</v>
      </c>
      <c r="H1554" t="e">
        <f t="shared" si="122"/>
        <v>#REF!</v>
      </c>
      <c r="I1554" s="141" t="e">
        <f t="shared" si="123"/>
        <v>#REF!</v>
      </c>
      <c r="J1554" t="e">
        <f t="shared" si="124"/>
        <v>#REF!</v>
      </c>
      <c r="K1554" s="141" t="e">
        <f t="shared" si="125"/>
        <v>#REF!</v>
      </c>
    </row>
    <row r="1555" spans="1:11" hidden="1" x14ac:dyDescent="0.25">
      <c r="A1555" t="e">
        <f>#REF!</f>
        <v>#REF!</v>
      </c>
      <c r="B1555" t="e">
        <f>#REF!</f>
        <v>#REF!</v>
      </c>
      <c r="C1555" t="e">
        <f>#REF!</f>
        <v>#REF!</v>
      </c>
      <c r="D1555" t="e">
        <f>#REF!</f>
        <v>#REF!</v>
      </c>
      <c r="E1555" t="e">
        <f>#REF!</f>
        <v>#REF!</v>
      </c>
      <c r="G1555" t="e">
        <f t="shared" si="121"/>
        <v>#REF!</v>
      </c>
      <c r="H1555" t="e">
        <f t="shared" si="122"/>
        <v>#REF!</v>
      </c>
      <c r="I1555" s="141" t="e">
        <f t="shared" si="123"/>
        <v>#REF!</v>
      </c>
      <c r="J1555" t="e">
        <f t="shared" si="124"/>
        <v>#REF!</v>
      </c>
      <c r="K1555" s="141" t="e">
        <f t="shared" si="125"/>
        <v>#REF!</v>
      </c>
    </row>
    <row r="1556" spans="1:11" hidden="1" x14ac:dyDescent="0.25">
      <c r="A1556" t="e">
        <f>#REF!</f>
        <v>#REF!</v>
      </c>
      <c r="B1556" t="e">
        <f>#REF!</f>
        <v>#REF!</v>
      </c>
      <c r="C1556" t="e">
        <f>#REF!</f>
        <v>#REF!</v>
      </c>
      <c r="D1556" t="e">
        <f>#REF!</f>
        <v>#REF!</v>
      </c>
      <c r="E1556" t="e">
        <f>#REF!</f>
        <v>#REF!</v>
      </c>
      <c r="G1556" t="e">
        <f t="shared" si="121"/>
        <v>#REF!</v>
      </c>
      <c r="H1556" t="e">
        <f t="shared" si="122"/>
        <v>#REF!</v>
      </c>
      <c r="I1556" s="141" t="e">
        <f t="shared" si="123"/>
        <v>#REF!</v>
      </c>
      <c r="J1556" t="e">
        <f t="shared" si="124"/>
        <v>#REF!</v>
      </c>
      <c r="K1556" s="141" t="e">
        <f t="shared" si="125"/>
        <v>#REF!</v>
      </c>
    </row>
    <row r="1557" spans="1:11" hidden="1" x14ac:dyDescent="0.25">
      <c r="A1557" t="e">
        <f>#REF!</f>
        <v>#REF!</v>
      </c>
      <c r="B1557" t="e">
        <f>#REF!</f>
        <v>#REF!</v>
      </c>
      <c r="C1557" t="e">
        <f>#REF!</f>
        <v>#REF!</v>
      </c>
      <c r="D1557" t="e">
        <f>#REF!</f>
        <v>#REF!</v>
      </c>
      <c r="E1557" t="e">
        <f>#REF!</f>
        <v>#REF!</v>
      </c>
      <c r="G1557" t="e">
        <f t="shared" si="121"/>
        <v>#REF!</v>
      </c>
      <c r="H1557" t="e">
        <f t="shared" si="122"/>
        <v>#REF!</v>
      </c>
      <c r="I1557" s="141" t="e">
        <f t="shared" si="123"/>
        <v>#REF!</v>
      </c>
      <c r="J1557" t="e">
        <f t="shared" si="124"/>
        <v>#REF!</v>
      </c>
      <c r="K1557" s="141" t="e">
        <f t="shared" si="125"/>
        <v>#REF!</v>
      </c>
    </row>
    <row r="1558" spans="1:11" hidden="1" x14ac:dyDescent="0.25">
      <c r="A1558" t="e">
        <f>#REF!</f>
        <v>#REF!</v>
      </c>
      <c r="B1558" t="e">
        <f>#REF!</f>
        <v>#REF!</v>
      </c>
      <c r="C1558" t="e">
        <f>#REF!</f>
        <v>#REF!</v>
      </c>
      <c r="D1558" t="e">
        <f>#REF!</f>
        <v>#REF!</v>
      </c>
      <c r="E1558" t="e">
        <f>#REF!</f>
        <v>#REF!</v>
      </c>
      <c r="G1558" t="e">
        <f t="shared" si="121"/>
        <v>#REF!</v>
      </c>
      <c r="H1558" t="e">
        <f t="shared" si="122"/>
        <v>#REF!</v>
      </c>
      <c r="I1558" s="141" t="e">
        <f t="shared" si="123"/>
        <v>#REF!</v>
      </c>
      <c r="J1558" t="e">
        <f t="shared" si="124"/>
        <v>#REF!</v>
      </c>
      <c r="K1558" s="141" t="e">
        <f t="shared" si="125"/>
        <v>#REF!</v>
      </c>
    </row>
    <row r="1559" spans="1:11" hidden="1" x14ac:dyDescent="0.25">
      <c r="A1559" t="e">
        <f>#REF!</f>
        <v>#REF!</v>
      </c>
      <c r="B1559" t="e">
        <f>#REF!</f>
        <v>#REF!</v>
      </c>
      <c r="C1559" t="e">
        <f>#REF!</f>
        <v>#REF!</v>
      </c>
      <c r="D1559" t="e">
        <f>#REF!</f>
        <v>#REF!</v>
      </c>
      <c r="E1559" t="e">
        <f>#REF!</f>
        <v>#REF!</v>
      </c>
      <c r="G1559" t="e">
        <f t="shared" si="121"/>
        <v>#REF!</v>
      </c>
      <c r="H1559" t="e">
        <f t="shared" si="122"/>
        <v>#REF!</v>
      </c>
      <c r="I1559" s="141" t="e">
        <f t="shared" si="123"/>
        <v>#REF!</v>
      </c>
      <c r="J1559" t="e">
        <f t="shared" si="124"/>
        <v>#REF!</v>
      </c>
      <c r="K1559" s="141" t="e">
        <f t="shared" si="125"/>
        <v>#REF!</v>
      </c>
    </row>
    <row r="1560" spans="1:11" hidden="1" x14ac:dyDescent="0.25">
      <c r="A1560" t="e">
        <f>#REF!</f>
        <v>#REF!</v>
      </c>
      <c r="B1560" t="e">
        <f>#REF!</f>
        <v>#REF!</v>
      </c>
      <c r="C1560" t="e">
        <f>#REF!</f>
        <v>#REF!</v>
      </c>
      <c r="D1560" t="e">
        <f>#REF!</f>
        <v>#REF!</v>
      </c>
      <c r="E1560" t="e">
        <f>#REF!</f>
        <v>#REF!</v>
      </c>
      <c r="G1560" t="e">
        <f t="shared" si="121"/>
        <v>#REF!</v>
      </c>
      <c r="H1560" t="e">
        <f t="shared" si="122"/>
        <v>#REF!</v>
      </c>
      <c r="I1560" s="141" t="e">
        <f t="shared" si="123"/>
        <v>#REF!</v>
      </c>
      <c r="J1560" t="e">
        <f t="shared" si="124"/>
        <v>#REF!</v>
      </c>
      <c r="K1560" s="141" t="e">
        <f t="shared" si="125"/>
        <v>#REF!</v>
      </c>
    </row>
    <row r="1561" spans="1:11" hidden="1" x14ac:dyDescent="0.25">
      <c r="A1561" t="e">
        <f>#REF!</f>
        <v>#REF!</v>
      </c>
      <c r="B1561" t="e">
        <f>#REF!</f>
        <v>#REF!</v>
      </c>
      <c r="C1561" t="e">
        <f>#REF!</f>
        <v>#REF!</v>
      </c>
      <c r="D1561" t="e">
        <f>#REF!</f>
        <v>#REF!</v>
      </c>
      <c r="E1561" t="e">
        <f>#REF!</f>
        <v>#REF!</v>
      </c>
      <c r="G1561" t="e">
        <f t="shared" si="121"/>
        <v>#REF!</v>
      </c>
      <c r="H1561" t="e">
        <f t="shared" si="122"/>
        <v>#REF!</v>
      </c>
      <c r="I1561" s="141" t="e">
        <f t="shared" si="123"/>
        <v>#REF!</v>
      </c>
      <c r="J1561" t="e">
        <f t="shared" si="124"/>
        <v>#REF!</v>
      </c>
      <c r="K1561" s="141" t="e">
        <f t="shared" si="125"/>
        <v>#REF!</v>
      </c>
    </row>
    <row r="1562" spans="1:11" hidden="1" x14ac:dyDescent="0.25">
      <c r="A1562" t="e">
        <f>#REF!</f>
        <v>#REF!</v>
      </c>
      <c r="B1562" t="e">
        <f>#REF!</f>
        <v>#REF!</v>
      </c>
      <c r="C1562" t="e">
        <f>#REF!</f>
        <v>#REF!</v>
      </c>
      <c r="D1562" t="e">
        <f>#REF!</f>
        <v>#REF!</v>
      </c>
      <c r="E1562" t="e">
        <f>#REF!</f>
        <v>#REF!</v>
      </c>
      <c r="G1562" t="e">
        <f t="shared" si="121"/>
        <v>#REF!</v>
      </c>
      <c r="H1562" t="e">
        <f t="shared" si="122"/>
        <v>#REF!</v>
      </c>
      <c r="I1562" s="141" t="e">
        <f t="shared" si="123"/>
        <v>#REF!</v>
      </c>
      <c r="J1562" t="e">
        <f t="shared" si="124"/>
        <v>#REF!</v>
      </c>
      <c r="K1562" s="141" t="e">
        <f t="shared" si="125"/>
        <v>#REF!</v>
      </c>
    </row>
    <row r="1563" spans="1:11" hidden="1" x14ac:dyDescent="0.25">
      <c r="A1563" t="e">
        <f>#REF!</f>
        <v>#REF!</v>
      </c>
      <c r="B1563" t="e">
        <f>#REF!</f>
        <v>#REF!</v>
      </c>
      <c r="C1563" t="e">
        <f>#REF!</f>
        <v>#REF!</v>
      </c>
      <c r="D1563" t="e">
        <f>#REF!</f>
        <v>#REF!</v>
      </c>
      <c r="E1563" t="e">
        <f>#REF!</f>
        <v>#REF!</v>
      </c>
      <c r="G1563" t="e">
        <f t="shared" si="121"/>
        <v>#REF!</v>
      </c>
      <c r="H1563" t="e">
        <f t="shared" si="122"/>
        <v>#REF!</v>
      </c>
      <c r="I1563" s="141" t="e">
        <f t="shared" si="123"/>
        <v>#REF!</v>
      </c>
      <c r="J1563" t="e">
        <f t="shared" si="124"/>
        <v>#REF!</v>
      </c>
      <c r="K1563" s="141" t="e">
        <f t="shared" si="125"/>
        <v>#REF!</v>
      </c>
    </row>
    <row r="1564" spans="1:11" hidden="1" x14ac:dyDescent="0.25">
      <c r="A1564" t="e">
        <f>#REF!</f>
        <v>#REF!</v>
      </c>
      <c r="B1564" t="e">
        <f>#REF!</f>
        <v>#REF!</v>
      </c>
      <c r="C1564" t="e">
        <f>#REF!</f>
        <v>#REF!</v>
      </c>
      <c r="D1564" t="e">
        <f>#REF!</f>
        <v>#REF!</v>
      </c>
      <c r="E1564" t="e">
        <f>#REF!</f>
        <v>#REF!</v>
      </c>
      <c r="G1564" t="e">
        <f t="shared" si="121"/>
        <v>#REF!</v>
      </c>
      <c r="H1564" t="e">
        <f t="shared" si="122"/>
        <v>#REF!</v>
      </c>
      <c r="I1564" s="141" t="e">
        <f t="shared" si="123"/>
        <v>#REF!</v>
      </c>
      <c r="J1564" t="e">
        <f t="shared" si="124"/>
        <v>#REF!</v>
      </c>
      <c r="K1564" s="141" t="e">
        <f t="shared" si="125"/>
        <v>#REF!</v>
      </c>
    </row>
    <row r="1565" spans="1:11" hidden="1" x14ac:dyDescent="0.25">
      <c r="A1565" t="e">
        <f>#REF!</f>
        <v>#REF!</v>
      </c>
      <c r="B1565" t="e">
        <f>#REF!</f>
        <v>#REF!</v>
      </c>
      <c r="C1565" t="e">
        <f>#REF!</f>
        <v>#REF!</v>
      </c>
      <c r="D1565" t="e">
        <f>#REF!</f>
        <v>#REF!</v>
      </c>
      <c r="E1565" t="e">
        <f>#REF!</f>
        <v>#REF!</v>
      </c>
      <c r="G1565" t="e">
        <f t="shared" si="121"/>
        <v>#REF!</v>
      </c>
      <c r="H1565" t="e">
        <f t="shared" si="122"/>
        <v>#REF!</v>
      </c>
      <c r="I1565" s="141" t="e">
        <f t="shared" si="123"/>
        <v>#REF!</v>
      </c>
      <c r="J1565" t="e">
        <f t="shared" si="124"/>
        <v>#REF!</v>
      </c>
      <c r="K1565" s="141" t="e">
        <f t="shared" si="125"/>
        <v>#REF!</v>
      </c>
    </row>
    <row r="1566" spans="1:11" hidden="1" x14ac:dyDescent="0.25">
      <c r="A1566" t="e">
        <f>#REF!</f>
        <v>#REF!</v>
      </c>
      <c r="B1566" t="e">
        <f>#REF!</f>
        <v>#REF!</v>
      </c>
      <c r="C1566" t="e">
        <f>#REF!</f>
        <v>#REF!</v>
      </c>
      <c r="D1566" t="e">
        <f>#REF!</f>
        <v>#REF!</v>
      </c>
      <c r="E1566" t="e">
        <f>#REF!</f>
        <v>#REF!</v>
      </c>
      <c r="G1566" t="e">
        <f t="shared" si="121"/>
        <v>#REF!</v>
      </c>
      <c r="H1566" t="e">
        <f t="shared" si="122"/>
        <v>#REF!</v>
      </c>
      <c r="I1566" s="141" t="e">
        <f t="shared" si="123"/>
        <v>#REF!</v>
      </c>
      <c r="J1566" t="e">
        <f t="shared" si="124"/>
        <v>#REF!</v>
      </c>
      <c r="K1566" s="141" t="e">
        <f t="shared" si="125"/>
        <v>#REF!</v>
      </c>
    </row>
    <row r="1567" spans="1:11" hidden="1" x14ac:dyDescent="0.25">
      <c r="A1567" t="e">
        <f>#REF!</f>
        <v>#REF!</v>
      </c>
      <c r="B1567" t="e">
        <f>#REF!</f>
        <v>#REF!</v>
      </c>
      <c r="C1567" t="e">
        <f>#REF!</f>
        <v>#REF!</v>
      </c>
      <c r="D1567" t="e">
        <f>#REF!</f>
        <v>#REF!</v>
      </c>
      <c r="E1567" t="e">
        <f>#REF!</f>
        <v>#REF!</v>
      </c>
      <c r="G1567" t="e">
        <f t="shared" si="121"/>
        <v>#REF!</v>
      </c>
      <c r="H1567" t="e">
        <f t="shared" si="122"/>
        <v>#REF!</v>
      </c>
      <c r="I1567" s="141" t="e">
        <f t="shared" si="123"/>
        <v>#REF!</v>
      </c>
      <c r="J1567" t="e">
        <f t="shared" si="124"/>
        <v>#REF!</v>
      </c>
      <c r="K1567" s="141" t="e">
        <f t="shared" si="125"/>
        <v>#REF!</v>
      </c>
    </row>
    <row r="1568" spans="1:11" hidden="1" x14ac:dyDescent="0.25">
      <c r="A1568" t="e">
        <f>#REF!</f>
        <v>#REF!</v>
      </c>
      <c r="B1568" t="e">
        <f>#REF!</f>
        <v>#REF!</v>
      </c>
      <c r="C1568" t="e">
        <f>#REF!</f>
        <v>#REF!</v>
      </c>
      <c r="D1568" t="e">
        <f>#REF!</f>
        <v>#REF!</v>
      </c>
      <c r="E1568" t="e">
        <f>#REF!</f>
        <v>#REF!</v>
      </c>
      <c r="G1568" t="e">
        <f t="shared" si="121"/>
        <v>#REF!</v>
      </c>
      <c r="H1568" t="e">
        <f t="shared" si="122"/>
        <v>#REF!</v>
      </c>
      <c r="I1568" s="141" t="e">
        <f t="shared" si="123"/>
        <v>#REF!</v>
      </c>
      <c r="J1568" t="e">
        <f t="shared" si="124"/>
        <v>#REF!</v>
      </c>
      <c r="K1568" s="141" t="e">
        <f t="shared" si="125"/>
        <v>#REF!</v>
      </c>
    </row>
    <row r="1569" spans="1:11" hidden="1" x14ac:dyDescent="0.25">
      <c r="A1569" t="e">
        <f>#REF!</f>
        <v>#REF!</v>
      </c>
      <c r="B1569" t="e">
        <f>#REF!</f>
        <v>#REF!</v>
      </c>
      <c r="C1569" t="e">
        <f>#REF!</f>
        <v>#REF!</v>
      </c>
      <c r="D1569" t="e">
        <f>#REF!</f>
        <v>#REF!</v>
      </c>
      <c r="E1569" t="e">
        <f>#REF!</f>
        <v>#REF!</v>
      </c>
      <c r="G1569" t="e">
        <f t="shared" si="121"/>
        <v>#REF!</v>
      </c>
      <c r="H1569" t="e">
        <f t="shared" si="122"/>
        <v>#REF!</v>
      </c>
      <c r="I1569" s="141" t="e">
        <f t="shared" si="123"/>
        <v>#REF!</v>
      </c>
      <c r="J1569" t="e">
        <f t="shared" si="124"/>
        <v>#REF!</v>
      </c>
      <c r="K1569" s="141" t="e">
        <f t="shared" si="125"/>
        <v>#REF!</v>
      </c>
    </row>
    <row r="1570" spans="1:11" hidden="1" x14ac:dyDescent="0.25">
      <c r="A1570" t="e">
        <f>#REF!</f>
        <v>#REF!</v>
      </c>
      <c r="B1570" t="e">
        <f>#REF!</f>
        <v>#REF!</v>
      </c>
      <c r="C1570" t="e">
        <f>#REF!</f>
        <v>#REF!</v>
      </c>
      <c r="D1570" t="e">
        <f>#REF!</f>
        <v>#REF!</v>
      </c>
      <c r="E1570" t="e">
        <f>#REF!</f>
        <v>#REF!</v>
      </c>
      <c r="G1570" t="e">
        <f t="shared" si="121"/>
        <v>#REF!</v>
      </c>
      <c r="H1570" t="e">
        <f t="shared" si="122"/>
        <v>#REF!</v>
      </c>
      <c r="I1570" s="141" t="e">
        <f t="shared" si="123"/>
        <v>#REF!</v>
      </c>
      <c r="J1570" t="e">
        <f t="shared" si="124"/>
        <v>#REF!</v>
      </c>
      <c r="K1570" s="141" t="e">
        <f t="shared" si="125"/>
        <v>#REF!</v>
      </c>
    </row>
    <row r="1571" spans="1:11" hidden="1" x14ac:dyDescent="0.25">
      <c r="A1571" t="e">
        <f>#REF!</f>
        <v>#REF!</v>
      </c>
      <c r="B1571" t="e">
        <f>#REF!</f>
        <v>#REF!</v>
      </c>
      <c r="C1571" t="e">
        <f>#REF!</f>
        <v>#REF!</v>
      </c>
      <c r="D1571" t="e">
        <f>#REF!</f>
        <v>#REF!</v>
      </c>
      <c r="E1571" t="e">
        <f>#REF!</f>
        <v>#REF!</v>
      </c>
      <c r="G1571" t="e">
        <f t="shared" si="121"/>
        <v>#REF!</v>
      </c>
      <c r="H1571" t="e">
        <f t="shared" si="122"/>
        <v>#REF!</v>
      </c>
      <c r="I1571" s="141" t="e">
        <f t="shared" si="123"/>
        <v>#REF!</v>
      </c>
      <c r="J1571" t="e">
        <f t="shared" si="124"/>
        <v>#REF!</v>
      </c>
      <c r="K1571" s="141" t="e">
        <f t="shared" si="125"/>
        <v>#REF!</v>
      </c>
    </row>
    <row r="1572" spans="1:11" hidden="1" x14ac:dyDescent="0.25">
      <c r="A1572" t="e">
        <f>#REF!</f>
        <v>#REF!</v>
      </c>
      <c r="B1572" t="e">
        <f>#REF!</f>
        <v>#REF!</v>
      </c>
      <c r="C1572" t="e">
        <f>#REF!</f>
        <v>#REF!</v>
      </c>
      <c r="D1572" t="e">
        <f>#REF!</f>
        <v>#REF!</v>
      </c>
      <c r="E1572" t="e">
        <f>#REF!</f>
        <v>#REF!</v>
      </c>
      <c r="G1572" t="e">
        <f t="shared" si="121"/>
        <v>#REF!</v>
      </c>
      <c r="H1572" t="e">
        <f t="shared" si="122"/>
        <v>#REF!</v>
      </c>
      <c r="I1572" s="141" t="e">
        <f t="shared" si="123"/>
        <v>#REF!</v>
      </c>
      <c r="J1572" t="e">
        <f t="shared" si="124"/>
        <v>#REF!</v>
      </c>
      <c r="K1572" s="141" t="e">
        <f t="shared" si="125"/>
        <v>#REF!</v>
      </c>
    </row>
    <row r="1573" spans="1:11" hidden="1" x14ac:dyDescent="0.25">
      <c r="A1573" t="e">
        <f>#REF!</f>
        <v>#REF!</v>
      </c>
      <c r="B1573" t="e">
        <f>#REF!</f>
        <v>#REF!</v>
      </c>
      <c r="C1573" t="e">
        <f>#REF!</f>
        <v>#REF!</v>
      </c>
      <c r="D1573" t="e">
        <f>#REF!</f>
        <v>#REF!</v>
      </c>
      <c r="E1573" t="e">
        <f>#REF!</f>
        <v>#REF!</v>
      </c>
      <c r="G1573" t="e">
        <f t="shared" si="121"/>
        <v>#REF!</v>
      </c>
      <c r="H1573" t="e">
        <f t="shared" si="122"/>
        <v>#REF!</v>
      </c>
      <c r="I1573" s="141" t="e">
        <f t="shared" si="123"/>
        <v>#REF!</v>
      </c>
      <c r="J1573" t="e">
        <f t="shared" si="124"/>
        <v>#REF!</v>
      </c>
      <c r="K1573" s="141" t="e">
        <f t="shared" si="125"/>
        <v>#REF!</v>
      </c>
    </row>
    <row r="1574" spans="1:11" hidden="1" x14ac:dyDescent="0.25">
      <c r="A1574" t="e">
        <f>#REF!</f>
        <v>#REF!</v>
      </c>
      <c r="B1574" t="e">
        <f>#REF!</f>
        <v>#REF!</v>
      </c>
      <c r="C1574" t="e">
        <f>#REF!</f>
        <v>#REF!</v>
      </c>
      <c r="D1574" t="e">
        <f>#REF!</f>
        <v>#REF!</v>
      </c>
      <c r="E1574" t="e">
        <f>#REF!</f>
        <v>#REF!</v>
      </c>
      <c r="G1574" t="e">
        <f t="shared" si="121"/>
        <v>#REF!</v>
      </c>
      <c r="H1574" t="e">
        <f t="shared" si="122"/>
        <v>#REF!</v>
      </c>
      <c r="I1574" s="141" t="e">
        <f t="shared" si="123"/>
        <v>#REF!</v>
      </c>
      <c r="J1574" t="e">
        <f t="shared" si="124"/>
        <v>#REF!</v>
      </c>
      <c r="K1574" s="141" t="e">
        <f t="shared" si="125"/>
        <v>#REF!</v>
      </c>
    </row>
    <row r="1575" spans="1:11" hidden="1" x14ac:dyDescent="0.25">
      <c r="A1575" t="e">
        <f>#REF!</f>
        <v>#REF!</v>
      </c>
      <c r="B1575" t="e">
        <f>#REF!</f>
        <v>#REF!</v>
      </c>
      <c r="C1575" t="e">
        <f>#REF!</f>
        <v>#REF!</v>
      </c>
      <c r="D1575" t="e">
        <f>#REF!</f>
        <v>#REF!</v>
      </c>
      <c r="E1575" t="e">
        <f>#REF!</f>
        <v>#REF!</v>
      </c>
      <c r="G1575" t="e">
        <f t="shared" si="121"/>
        <v>#REF!</v>
      </c>
      <c r="H1575" t="e">
        <f t="shared" si="122"/>
        <v>#REF!</v>
      </c>
      <c r="I1575" s="141" t="e">
        <f t="shared" si="123"/>
        <v>#REF!</v>
      </c>
      <c r="J1575" t="e">
        <f t="shared" si="124"/>
        <v>#REF!</v>
      </c>
      <c r="K1575" s="141" t="e">
        <f t="shared" si="125"/>
        <v>#REF!</v>
      </c>
    </row>
    <row r="1576" spans="1:11" hidden="1" x14ac:dyDescent="0.25">
      <c r="A1576" t="e">
        <f>#REF!</f>
        <v>#REF!</v>
      </c>
      <c r="B1576" t="e">
        <f>#REF!</f>
        <v>#REF!</v>
      </c>
      <c r="C1576" t="e">
        <f>#REF!</f>
        <v>#REF!</v>
      </c>
      <c r="D1576" t="e">
        <f>#REF!</f>
        <v>#REF!</v>
      </c>
      <c r="E1576" t="e">
        <f>#REF!</f>
        <v>#REF!</v>
      </c>
      <c r="G1576" t="e">
        <f t="shared" si="121"/>
        <v>#REF!</v>
      </c>
      <c r="H1576" t="e">
        <f t="shared" si="122"/>
        <v>#REF!</v>
      </c>
      <c r="I1576" s="141" t="e">
        <f t="shared" si="123"/>
        <v>#REF!</v>
      </c>
      <c r="J1576" t="e">
        <f t="shared" si="124"/>
        <v>#REF!</v>
      </c>
      <c r="K1576" s="141" t="e">
        <f t="shared" si="125"/>
        <v>#REF!</v>
      </c>
    </row>
    <row r="1577" spans="1:11" hidden="1" x14ac:dyDescent="0.25">
      <c r="A1577" t="e">
        <f>#REF!</f>
        <v>#REF!</v>
      </c>
      <c r="B1577" t="e">
        <f>#REF!</f>
        <v>#REF!</v>
      </c>
      <c r="C1577" t="e">
        <f>#REF!</f>
        <v>#REF!</v>
      </c>
      <c r="D1577" t="e">
        <f>#REF!</f>
        <v>#REF!</v>
      </c>
      <c r="E1577" t="e">
        <f>#REF!</f>
        <v>#REF!</v>
      </c>
      <c r="G1577" t="e">
        <f t="shared" si="121"/>
        <v>#REF!</v>
      </c>
      <c r="H1577" t="e">
        <f t="shared" si="122"/>
        <v>#REF!</v>
      </c>
      <c r="I1577" s="141" t="e">
        <f t="shared" si="123"/>
        <v>#REF!</v>
      </c>
      <c r="J1577" t="e">
        <f t="shared" si="124"/>
        <v>#REF!</v>
      </c>
      <c r="K1577" s="141" t="e">
        <f t="shared" si="125"/>
        <v>#REF!</v>
      </c>
    </row>
    <row r="1578" spans="1:11" hidden="1" x14ac:dyDescent="0.25">
      <c r="A1578" t="e">
        <f>#REF!</f>
        <v>#REF!</v>
      </c>
      <c r="B1578" t="e">
        <f>#REF!</f>
        <v>#REF!</v>
      </c>
      <c r="C1578" t="e">
        <f>#REF!</f>
        <v>#REF!</v>
      </c>
      <c r="D1578" t="e">
        <f>#REF!</f>
        <v>#REF!</v>
      </c>
      <c r="E1578" t="e">
        <f>#REF!</f>
        <v>#REF!</v>
      </c>
      <c r="G1578" t="e">
        <f t="shared" si="121"/>
        <v>#REF!</v>
      </c>
      <c r="H1578" t="e">
        <f t="shared" si="122"/>
        <v>#REF!</v>
      </c>
      <c r="I1578" s="141" t="e">
        <f t="shared" si="123"/>
        <v>#REF!</v>
      </c>
      <c r="J1578" t="e">
        <f t="shared" si="124"/>
        <v>#REF!</v>
      </c>
      <c r="K1578" s="141" t="e">
        <f t="shared" si="125"/>
        <v>#REF!</v>
      </c>
    </row>
    <row r="1579" spans="1:11" hidden="1" x14ac:dyDescent="0.25">
      <c r="A1579" t="e">
        <f>#REF!</f>
        <v>#REF!</v>
      </c>
      <c r="B1579" t="e">
        <f>#REF!</f>
        <v>#REF!</v>
      </c>
      <c r="C1579" t="e">
        <f>#REF!</f>
        <v>#REF!</v>
      </c>
      <c r="D1579" t="e">
        <f>#REF!</f>
        <v>#REF!</v>
      </c>
      <c r="E1579" t="e">
        <f>#REF!</f>
        <v>#REF!</v>
      </c>
      <c r="G1579" t="e">
        <f t="shared" si="121"/>
        <v>#REF!</v>
      </c>
      <c r="H1579" t="e">
        <f t="shared" si="122"/>
        <v>#REF!</v>
      </c>
      <c r="I1579" s="141" t="e">
        <f t="shared" si="123"/>
        <v>#REF!</v>
      </c>
      <c r="J1579" t="e">
        <f t="shared" si="124"/>
        <v>#REF!</v>
      </c>
      <c r="K1579" s="141" t="e">
        <f t="shared" si="125"/>
        <v>#REF!</v>
      </c>
    </row>
    <row r="1580" spans="1:11" hidden="1" x14ac:dyDescent="0.25">
      <c r="A1580" t="e">
        <f>#REF!</f>
        <v>#REF!</v>
      </c>
      <c r="B1580" t="e">
        <f>#REF!</f>
        <v>#REF!</v>
      </c>
      <c r="C1580" t="e">
        <f>#REF!</f>
        <v>#REF!</v>
      </c>
      <c r="D1580" t="e">
        <f>#REF!</f>
        <v>#REF!</v>
      </c>
      <c r="E1580" t="e">
        <f>#REF!</f>
        <v>#REF!</v>
      </c>
      <c r="G1580" t="e">
        <f t="shared" si="121"/>
        <v>#REF!</v>
      </c>
      <c r="H1580" t="e">
        <f t="shared" si="122"/>
        <v>#REF!</v>
      </c>
      <c r="I1580" s="141" t="e">
        <f t="shared" si="123"/>
        <v>#REF!</v>
      </c>
      <c r="J1580" t="e">
        <f t="shared" si="124"/>
        <v>#REF!</v>
      </c>
      <c r="K1580" s="141" t="e">
        <f t="shared" si="125"/>
        <v>#REF!</v>
      </c>
    </row>
    <row r="1581" spans="1:11" hidden="1" x14ac:dyDescent="0.25">
      <c r="A1581" t="e">
        <f>#REF!</f>
        <v>#REF!</v>
      </c>
      <c r="B1581" t="e">
        <f>#REF!</f>
        <v>#REF!</v>
      </c>
      <c r="C1581" t="e">
        <f>#REF!</f>
        <v>#REF!</v>
      </c>
      <c r="D1581" t="e">
        <f>#REF!</f>
        <v>#REF!</v>
      </c>
      <c r="E1581" t="e">
        <f>#REF!</f>
        <v>#REF!</v>
      </c>
      <c r="G1581" t="e">
        <f t="shared" si="121"/>
        <v>#REF!</v>
      </c>
      <c r="H1581" t="e">
        <f t="shared" si="122"/>
        <v>#REF!</v>
      </c>
      <c r="I1581" s="141" t="e">
        <f t="shared" si="123"/>
        <v>#REF!</v>
      </c>
      <c r="J1581" t="e">
        <f t="shared" si="124"/>
        <v>#REF!</v>
      </c>
      <c r="K1581" s="141" t="e">
        <f t="shared" si="125"/>
        <v>#REF!</v>
      </c>
    </row>
    <row r="1582" spans="1:11" hidden="1" x14ac:dyDescent="0.25">
      <c r="A1582" t="e">
        <f>#REF!</f>
        <v>#REF!</v>
      </c>
      <c r="B1582" t="e">
        <f>#REF!</f>
        <v>#REF!</v>
      </c>
      <c r="C1582" t="e">
        <f>#REF!</f>
        <v>#REF!</v>
      </c>
      <c r="D1582" t="e">
        <f>#REF!</f>
        <v>#REF!</v>
      </c>
      <c r="E1582" t="e">
        <f>#REF!</f>
        <v>#REF!</v>
      </c>
      <c r="G1582" t="e">
        <f t="shared" si="121"/>
        <v>#REF!</v>
      </c>
      <c r="H1582" t="e">
        <f t="shared" si="122"/>
        <v>#REF!</v>
      </c>
      <c r="I1582" s="141" t="e">
        <f t="shared" si="123"/>
        <v>#REF!</v>
      </c>
      <c r="J1582" t="e">
        <f t="shared" si="124"/>
        <v>#REF!</v>
      </c>
      <c r="K1582" s="141" t="e">
        <f t="shared" si="125"/>
        <v>#REF!</v>
      </c>
    </row>
    <row r="1583" spans="1:11" hidden="1" x14ac:dyDescent="0.25">
      <c r="A1583" t="e">
        <f>#REF!</f>
        <v>#REF!</v>
      </c>
      <c r="B1583" t="e">
        <f>#REF!</f>
        <v>#REF!</v>
      </c>
      <c r="C1583" t="e">
        <f>#REF!</f>
        <v>#REF!</v>
      </c>
      <c r="D1583" t="e">
        <f>#REF!</f>
        <v>#REF!</v>
      </c>
      <c r="E1583" t="e">
        <f>#REF!</f>
        <v>#REF!</v>
      </c>
      <c r="G1583" t="e">
        <f t="shared" si="121"/>
        <v>#REF!</v>
      </c>
      <c r="H1583" t="e">
        <f t="shared" si="122"/>
        <v>#REF!</v>
      </c>
      <c r="I1583" s="141" t="e">
        <f t="shared" si="123"/>
        <v>#REF!</v>
      </c>
      <c r="J1583" t="e">
        <f t="shared" si="124"/>
        <v>#REF!</v>
      </c>
      <c r="K1583" s="141" t="e">
        <f t="shared" si="125"/>
        <v>#REF!</v>
      </c>
    </row>
    <row r="1584" spans="1:11" hidden="1" x14ac:dyDescent="0.25">
      <c r="A1584" t="e">
        <f>#REF!</f>
        <v>#REF!</v>
      </c>
      <c r="B1584" t="e">
        <f>#REF!</f>
        <v>#REF!</v>
      </c>
      <c r="C1584" t="e">
        <f>#REF!</f>
        <v>#REF!</v>
      </c>
      <c r="D1584" t="e">
        <f>#REF!</f>
        <v>#REF!</v>
      </c>
      <c r="E1584" t="e">
        <f>#REF!</f>
        <v>#REF!</v>
      </c>
      <c r="G1584" t="e">
        <f t="shared" si="121"/>
        <v>#REF!</v>
      </c>
      <c r="H1584" t="e">
        <f t="shared" si="122"/>
        <v>#REF!</v>
      </c>
      <c r="I1584" s="141" t="e">
        <f t="shared" si="123"/>
        <v>#REF!</v>
      </c>
      <c r="J1584" t="e">
        <f t="shared" si="124"/>
        <v>#REF!</v>
      </c>
      <c r="K1584" s="141" t="e">
        <f t="shared" si="125"/>
        <v>#REF!</v>
      </c>
    </row>
    <row r="1585" spans="1:11" hidden="1" x14ac:dyDescent="0.25">
      <c r="A1585" t="e">
        <f>#REF!</f>
        <v>#REF!</v>
      </c>
      <c r="B1585" t="e">
        <f>#REF!</f>
        <v>#REF!</v>
      </c>
      <c r="C1585" t="e">
        <f>#REF!</f>
        <v>#REF!</v>
      </c>
      <c r="D1585" t="e">
        <f>#REF!</f>
        <v>#REF!</v>
      </c>
      <c r="E1585" t="e">
        <f>#REF!</f>
        <v>#REF!</v>
      </c>
      <c r="G1585" t="e">
        <f t="shared" si="121"/>
        <v>#REF!</v>
      </c>
      <c r="H1585" t="e">
        <f t="shared" si="122"/>
        <v>#REF!</v>
      </c>
      <c r="I1585" s="141" t="e">
        <f t="shared" si="123"/>
        <v>#REF!</v>
      </c>
      <c r="J1585" t="e">
        <f t="shared" si="124"/>
        <v>#REF!</v>
      </c>
      <c r="K1585" s="141" t="e">
        <f t="shared" si="125"/>
        <v>#REF!</v>
      </c>
    </row>
    <row r="1586" spans="1:11" hidden="1" x14ac:dyDescent="0.25">
      <c r="A1586" t="e">
        <f>#REF!</f>
        <v>#REF!</v>
      </c>
      <c r="B1586" t="e">
        <f>#REF!</f>
        <v>#REF!</v>
      </c>
      <c r="C1586" t="e">
        <f>#REF!</f>
        <v>#REF!</v>
      </c>
      <c r="D1586" t="e">
        <f>#REF!</f>
        <v>#REF!</v>
      </c>
      <c r="E1586" t="e">
        <f>#REF!</f>
        <v>#REF!</v>
      </c>
      <c r="G1586" t="e">
        <f t="shared" si="121"/>
        <v>#REF!</v>
      </c>
      <c r="H1586" t="e">
        <f t="shared" si="122"/>
        <v>#REF!</v>
      </c>
      <c r="I1586" s="141" t="e">
        <f t="shared" si="123"/>
        <v>#REF!</v>
      </c>
      <c r="J1586" t="e">
        <f t="shared" si="124"/>
        <v>#REF!</v>
      </c>
      <c r="K1586" s="141" t="e">
        <f t="shared" si="125"/>
        <v>#REF!</v>
      </c>
    </row>
    <row r="1587" spans="1:11" hidden="1" x14ac:dyDescent="0.25">
      <c r="A1587" t="e">
        <f>#REF!</f>
        <v>#REF!</v>
      </c>
      <c r="B1587" t="e">
        <f>#REF!</f>
        <v>#REF!</v>
      </c>
      <c r="C1587" t="e">
        <f>#REF!</f>
        <v>#REF!</v>
      </c>
      <c r="D1587" t="e">
        <f>#REF!</f>
        <v>#REF!</v>
      </c>
      <c r="E1587" t="e">
        <f>#REF!</f>
        <v>#REF!</v>
      </c>
      <c r="G1587" t="e">
        <f t="shared" si="121"/>
        <v>#REF!</v>
      </c>
      <c r="H1587" t="e">
        <f t="shared" si="122"/>
        <v>#REF!</v>
      </c>
      <c r="I1587" s="141" t="e">
        <f t="shared" si="123"/>
        <v>#REF!</v>
      </c>
      <c r="J1587" t="e">
        <f t="shared" si="124"/>
        <v>#REF!</v>
      </c>
      <c r="K1587" s="141" t="e">
        <f t="shared" si="125"/>
        <v>#REF!</v>
      </c>
    </row>
    <row r="1588" spans="1:11" hidden="1" x14ac:dyDescent="0.25">
      <c r="A1588" t="e">
        <f>#REF!</f>
        <v>#REF!</v>
      </c>
      <c r="B1588" t="e">
        <f>#REF!</f>
        <v>#REF!</v>
      </c>
      <c r="C1588" t="e">
        <f>#REF!</f>
        <v>#REF!</v>
      </c>
      <c r="D1588" t="e">
        <f>#REF!</f>
        <v>#REF!</v>
      </c>
      <c r="E1588" t="e">
        <f>#REF!</f>
        <v>#REF!</v>
      </c>
      <c r="G1588" t="e">
        <f t="shared" si="121"/>
        <v>#REF!</v>
      </c>
      <c r="H1588" t="e">
        <f t="shared" si="122"/>
        <v>#REF!</v>
      </c>
      <c r="I1588" s="141" t="e">
        <f t="shared" si="123"/>
        <v>#REF!</v>
      </c>
      <c r="J1588" t="e">
        <f t="shared" si="124"/>
        <v>#REF!</v>
      </c>
      <c r="K1588" s="141" t="e">
        <f t="shared" si="125"/>
        <v>#REF!</v>
      </c>
    </row>
    <row r="1589" spans="1:11" hidden="1" x14ac:dyDescent="0.25">
      <c r="A1589" t="e">
        <f>#REF!</f>
        <v>#REF!</v>
      </c>
      <c r="B1589" t="e">
        <f>#REF!</f>
        <v>#REF!</v>
      </c>
      <c r="C1589" t="e">
        <f>#REF!</f>
        <v>#REF!</v>
      </c>
      <c r="D1589" t="e">
        <f>#REF!</f>
        <v>#REF!</v>
      </c>
      <c r="E1589" t="e">
        <f>#REF!</f>
        <v>#REF!</v>
      </c>
      <c r="G1589" t="e">
        <f t="shared" si="121"/>
        <v>#REF!</v>
      </c>
      <c r="H1589" t="e">
        <f t="shared" si="122"/>
        <v>#REF!</v>
      </c>
      <c r="I1589" s="141" t="e">
        <f t="shared" si="123"/>
        <v>#REF!</v>
      </c>
      <c r="J1589" t="e">
        <f t="shared" si="124"/>
        <v>#REF!</v>
      </c>
      <c r="K1589" s="141" t="e">
        <f t="shared" si="125"/>
        <v>#REF!</v>
      </c>
    </row>
    <row r="1590" spans="1:11" hidden="1" x14ac:dyDescent="0.25">
      <c r="A1590" t="e">
        <f>#REF!</f>
        <v>#REF!</v>
      </c>
      <c r="B1590" t="e">
        <f>#REF!</f>
        <v>#REF!</v>
      </c>
      <c r="C1590" t="e">
        <f>#REF!</f>
        <v>#REF!</v>
      </c>
      <c r="D1590" t="e">
        <f>#REF!</f>
        <v>#REF!</v>
      </c>
      <c r="E1590" t="e">
        <f>#REF!</f>
        <v>#REF!</v>
      </c>
      <c r="G1590" t="e">
        <f t="shared" si="121"/>
        <v>#REF!</v>
      </c>
      <c r="H1590" t="e">
        <f t="shared" si="122"/>
        <v>#REF!</v>
      </c>
      <c r="I1590" s="141" t="e">
        <f t="shared" si="123"/>
        <v>#REF!</v>
      </c>
      <c r="J1590" t="e">
        <f t="shared" si="124"/>
        <v>#REF!</v>
      </c>
      <c r="K1590" s="141" t="e">
        <f t="shared" si="125"/>
        <v>#REF!</v>
      </c>
    </row>
    <row r="1591" spans="1:11" hidden="1" x14ac:dyDescent="0.25">
      <c r="A1591" t="e">
        <f>#REF!</f>
        <v>#REF!</v>
      </c>
      <c r="B1591" t="e">
        <f>#REF!</f>
        <v>#REF!</v>
      </c>
      <c r="C1591" t="e">
        <f>#REF!</f>
        <v>#REF!</v>
      </c>
      <c r="D1591" t="e">
        <f>#REF!</f>
        <v>#REF!</v>
      </c>
      <c r="E1591" t="e">
        <f>#REF!</f>
        <v>#REF!</v>
      </c>
      <c r="G1591" t="e">
        <f t="shared" si="121"/>
        <v>#REF!</v>
      </c>
      <c r="H1591" t="e">
        <f t="shared" si="122"/>
        <v>#REF!</v>
      </c>
      <c r="I1591" s="141" t="e">
        <f t="shared" si="123"/>
        <v>#REF!</v>
      </c>
      <c r="J1591" t="e">
        <f t="shared" si="124"/>
        <v>#REF!</v>
      </c>
      <c r="K1591" s="141" t="e">
        <f t="shared" si="125"/>
        <v>#REF!</v>
      </c>
    </row>
    <row r="1592" spans="1:11" hidden="1" x14ac:dyDescent="0.25">
      <c r="A1592" t="e">
        <f>#REF!</f>
        <v>#REF!</v>
      </c>
      <c r="B1592" t="e">
        <f>#REF!</f>
        <v>#REF!</v>
      </c>
      <c r="C1592" t="e">
        <f>#REF!</f>
        <v>#REF!</v>
      </c>
      <c r="D1592" t="e">
        <f>#REF!</f>
        <v>#REF!</v>
      </c>
      <c r="E1592" t="e">
        <f>#REF!</f>
        <v>#REF!</v>
      </c>
      <c r="G1592" t="e">
        <f t="shared" si="121"/>
        <v>#REF!</v>
      </c>
      <c r="H1592" t="e">
        <f t="shared" si="122"/>
        <v>#REF!</v>
      </c>
      <c r="I1592" s="141" t="e">
        <f t="shared" si="123"/>
        <v>#REF!</v>
      </c>
      <c r="J1592" t="e">
        <f t="shared" si="124"/>
        <v>#REF!</v>
      </c>
      <c r="K1592" s="141" t="e">
        <f t="shared" si="125"/>
        <v>#REF!</v>
      </c>
    </row>
    <row r="1593" spans="1:11" hidden="1" x14ac:dyDescent="0.25">
      <c r="A1593" t="e">
        <f>#REF!</f>
        <v>#REF!</v>
      </c>
      <c r="B1593" t="e">
        <f>#REF!</f>
        <v>#REF!</v>
      </c>
      <c r="C1593" t="e">
        <f>#REF!</f>
        <v>#REF!</v>
      </c>
      <c r="D1593" t="e">
        <f>#REF!</f>
        <v>#REF!</v>
      </c>
      <c r="E1593" t="e">
        <f>#REF!</f>
        <v>#REF!</v>
      </c>
      <c r="G1593" t="e">
        <f t="shared" si="121"/>
        <v>#REF!</v>
      </c>
      <c r="H1593" t="e">
        <f t="shared" si="122"/>
        <v>#REF!</v>
      </c>
      <c r="I1593" s="141" t="e">
        <f t="shared" si="123"/>
        <v>#REF!</v>
      </c>
      <c r="J1593" t="e">
        <f t="shared" si="124"/>
        <v>#REF!</v>
      </c>
      <c r="K1593" s="141" t="e">
        <f t="shared" si="125"/>
        <v>#REF!</v>
      </c>
    </row>
    <row r="1594" spans="1:11" hidden="1" x14ac:dyDescent="0.25">
      <c r="A1594" t="e">
        <f>#REF!</f>
        <v>#REF!</v>
      </c>
      <c r="B1594" t="e">
        <f>#REF!</f>
        <v>#REF!</v>
      </c>
      <c r="C1594" t="e">
        <f>#REF!</f>
        <v>#REF!</v>
      </c>
      <c r="D1594" t="e">
        <f>#REF!</f>
        <v>#REF!</v>
      </c>
      <c r="E1594" t="e">
        <f>#REF!</f>
        <v>#REF!</v>
      </c>
      <c r="G1594" t="e">
        <f t="shared" si="121"/>
        <v>#REF!</v>
      </c>
      <c r="H1594" t="e">
        <f t="shared" si="122"/>
        <v>#REF!</v>
      </c>
      <c r="I1594" s="141" t="e">
        <f t="shared" si="123"/>
        <v>#REF!</v>
      </c>
      <c r="J1594" t="e">
        <f t="shared" si="124"/>
        <v>#REF!</v>
      </c>
      <c r="K1594" s="141" t="e">
        <f t="shared" si="125"/>
        <v>#REF!</v>
      </c>
    </row>
    <row r="1595" spans="1:11" hidden="1" x14ac:dyDescent="0.25">
      <c r="A1595" t="e">
        <f>#REF!</f>
        <v>#REF!</v>
      </c>
      <c r="B1595" t="e">
        <f>#REF!</f>
        <v>#REF!</v>
      </c>
      <c r="C1595" t="e">
        <f>#REF!</f>
        <v>#REF!</v>
      </c>
      <c r="D1595" t="e">
        <f>#REF!</f>
        <v>#REF!</v>
      </c>
      <c r="E1595" t="e">
        <f>#REF!</f>
        <v>#REF!</v>
      </c>
      <c r="G1595" t="e">
        <f t="shared" si="121"/>
        <v>#REF!</v>
      </c>
      <c r="H1595" t="e">
        <f t="shared" si="122"/>
        <v>#REF!</v>
      </c>
      <c r="I1595" s="141" t="e">
        <f t="shared" si="123"/>
        <v>#REF!</v>
      </c>
      <c r="J1595" t="e">
        <f t="shared" si="124"/>
        <v>#REF!</v>
      </c>
      <c r="K1595" s="141" t="e">
        <f t="shared" si="125"/>
        <v>#REF!</v>
      </c>
    </row>
    <row r="1596" spans="1:11" hidden="1" x14ac:dyDescent="0.25">
      <c r="A1596" t="e">
        <f>#REF!</f>
        <v>#REF!</v>
      </c>
      <c r="B1596" t="e">
        <f>#REF!</f>
        <v>#REF!</v>
      </c>
      <c r="C1596" t="e">
        <f>#REF!</f>
        <v>#REF!</v>
      </c>
      <c r="D1596" t="e">
        <f>#REF!</f>
        <v>#REF!</v>
      </c>
      <c r="E1596" t="e">
        <f>#REF!</f>
        <v>#REF!</v>
      </c>
      <c r="G1596" t="e">
        <f t="shared" si="121"/>
        <v>#REF!</v>
      </c>
      <c r="H1596" t="e">
        <f t="shared" si="122"/>
        <v>#REF!</v>
      </c>
      <c r="I1596" s="141" t="e">
        <f t="shared" si="123"/>
        <v>#REF!</v>
      </c>
      <c r="J1596" t="e">
        <f t="shared" si="124"/>
        <v>#REF!</v>
      </c>
      <c r="K1596" s="141" t="e">
        <f t="shared" si="125"/>
        <v>#REF!</v>
      </c>
    </row>
    <row r="1597" spans="1:11" hidden="1" x14ac:dyDescent="0.25">
      <c r="A1597" t="e">
        <f>#REF!</f>
        <v>#REF!</v>
      </c>
      <c r="B1597" t="e">
        <f>#REF!</f>
        <v>#REF!</v>
      </c>
      <c r="C1597" t="e">
        <f>#REF!</f>
        <v>#REF!</v>
      </c>
      <c r="D1597" t="e">
        <f>#REF!</f>
        <v>#REF!</v>
      </c>
      <c r="E1597" t="e">
        <f>#REF!</f>
        <v>#REF!</v>
      </c>
      <c r="G1597" t="e">
        <f t="shared" si="121"/>
        <v>#REF!</v>
      </c>
      <c r="H1597" t="e">
        <f t="shared" si="122"/>
        <v>#REF!</v>
      </c>
      <c r="I1597" s="141" t="e">
        <f t="shared" si="123"/>
        <v>#REF!</v>
      </c>
      <c r="J1597" t="e">
        <f t="shared" si="124"/>
        <v>#REF!</v>
      </c>
      <c r="K1597" s="141" t="e">
        <f t="shared" si="125"/>
        <v>#REF!</v>
      </c>
    </row>
    <row r="1598" spans="1:11" hidden="1" x14ac:dyDescent="0.25">
      <c r="A1598" t="e">
        <f>#REF!</f>
        <v>#REF!</v>
      </c>
      <c r="B1598" t="e">
        <f>#REF!</f>
        <v>#REF!</v>
      </c>
      <c r="C1598" t="e">
        <f>#REF!</f>
        <v>#REF!</v>
      </c>
      <c r="D1598" t="e">
        <f>#REF!</f>
        <v>#REF!</v>
      </c>
      <c r="E1598" t="e">
        <f>#REF!</f>
        <v>#REF!</v>
      </c>
      <c r="G1598" t="e">
        <f t="shared" si="121"/>
        <v>#REF!</v>
      </c>
      <c r="H1598" t="e">
        <f t="shared" si="122"/>
        <v>#REF!</v>
      </c>
      <c r="I1598" s="141" t="e">
        <f t="shared" si="123"/>
        <v>#REF!</v>
      </c>
      <c r="J1598" t="e">
        <f t="shared" si="124"/>
        <v>#REF!</v>
      </c>
      <c r="K1598" s="141" t="e">
        <f t="shared" si="125"/>
        <v>#REF!</v>
      </c>
    </row>
    <row r="1599" spans="1:11" hidden="1" x14ac:dyDescent="0.25">
      <c r="A1599" t="e">
        <f>#REF!</f>
        <v>#REF!</v>
      </c>
      <c r="B1599" t="e">
        <f>#REF!</f>
        <v>#REF!</v>
      </c>
      <c r="C1599" t="e">
        <f>#REF!</f>
        <v>#REF!</v>
      </c>
      <c r="D1599" t="e">
        <f>#REF!</f>
        <v>#REF!</v>
      </c>
      <c r="E1599" t="e">
        <f>#REF!</f>
        <v>#REF!</v>
      </c>
      <c r="G1599" t="e">
        <f t="shared" si="121"/>
        <v>#REF!</v>
      </c>
      <c r="H1599" t="e">
        <f t="shared" si="122"/>
        <v>#REF!</v>
      </c>
      <c r="I1599" s="141" t="e">
        <f t="shared" si="123"/>
        <v>#REF!</v>
      </c>
      <c r="J1599" t="e">
        <f t="shared" si="124"/>
        <v>#REF!</v>
      </c>
      <c r="K1599" s="141" t="e">
        <f t="shared" si="125"/>
        <v>#REF!</v>
      </c>
    </row>
    <row r="1600" spans="1:11" hidden="1" x14ac:dyDescent="0.25">
      <c r="A1600" t="e">
        <f>#REF!</f>
        <v>#REF!</v>
      </c>
      <c r="B1600" t="e">
        <f>#REF!</f>
        <v>#REF!</v>
      </c>
      <c r="C1600" t="e">
        <f>#REF!</f>
        <v>#REF!</v>
      </c>
      <c r="D1600" t="e">
        <f>#REF!</f>
        <v>#REF!</v>
      </c>
      <c r="E1600" t="e">
        <f>#REF!</f>
        <v>#REF!</v>
      </c>
      <c r="G1600" t="e">
        <f t="shared" si="121"/>
        <v>#REF!</v>
      </c>
      <c r="H1600" t="e">
        <f t="shared" si="122"/>
        <v>#REF!</v>
      </c>
      <c r="I1600" s="141" t="e">
        <f t="shared" si="123"/>
        <v>#REF!</v>
      </c>
      <c r="J1600" t="e">
        <f t="shared" si="124"/>
        <v>#REF!</v>
      </c>
      <c r="K1600" s="141" t="e">
        <f t="shared" si="125"/>
        <v>#REF!</v>
      </c>
    </row>
    <row r="1601" spans="1:11" hidden="1" x14ac:dyDescent="0.25">
      <c r="A1601" t="e">
        <f>#REF!</f>
        <v>#REF!</v>
      </c>
      <c r="B1601" t="e">
        <f>#REF!</f>
        <v>#REF!</v>
      </c>
      <c r="C1601" t="e">
        <f>#REF!</f>
        <v>#REF!</v>
      </c>
      <c r="D1601" t="e">
        <f>#REF!</f>
        <v>#REF!</v>
      </c>
      <c r="E1601" t="e">
        <f>#REF!</f>
        <v>#REF!</v>
      </c>
      <c r="G1601" t="e">
        <f t="shared" si="121"/>
        <v>#REF!</v>
      </c>
      <c r="H1601" t="e">
        <f t="shared" si="122"/>
        <v>#REF!</v>
      </c>
      <c r="I1601" s="141" t="e">
        <f t="shared" si="123"/>
        <v>#REF!</v>
      </c>
      <c r="J1601" t="e">
        <f t="shared" si="124"/>
        <v>#REF!</v>
      </c>
      <c r="K1601" s="141" t="e">
        <f t="shared" si="125"/>
        <v>#REF!</v>
      </c>
    </row>
    <row r="1602" spans="1:11" hidden="1" x14ac:dyDescent="0.25">
      <c r="A1602" t="e">
        <f>#REF!</f>
        <v>#REF!</v>
      </c>
      <c r="B1602" t="e">
        <f>#REF!</f>
        <v>#REF!</v>
      </c>
      <c r="C1602" t="e">
        <f>#REF!</f>
        <v>#REF!</v>
      </c>
      <c r="D1602" t="e">
        <f>#REF!</f>
        <v>#REF!</v>
      </c>
      <c r="E1602" t="e">
        <f>#REF!</f>
        <v>#REF!</v>
      </c>
      <c r="G1602" t="e">
        <f t="shared" ref="G1602:G1665" si="126">A1602</f>
        <v>#REF!</v>
      </c>
      <c r="H1602" t="e">
        <f t="shared" ref="H1602:H1665" si="127">B1602</f>
        <v>#REF!</v>
      </c>
      <c r="I1602" s="141" t="e">
        <f t="shared" ref="I1602:I1665" si="128">C1602</f>
        <v>#REF!</v>
      </c>
      <c r="J1602" t="e">
        <f t="shared" ref="J1602:J1665" si="129">D1602</f>
        <v>#REF!</v>
      </c>
      <c r="K1602" s="141" t="e">
        <f t="shared" ref="K1602:K1665" si="130">E1602</f>
        <v>#REF!</v>
      </c>
    </row>
    <row r="1603" spans="1:11" hidden="1" x14ac:dyDescent="0.25">
      <c r="A1603" t="e">
        <f>#REF!</f>
        <v>#REF!</v>
      </c>
      <c r="B1603" t="e">
        <f>#REF!</f>
        <v>#REF!</v>
      </c>
      <c r="C1603" t="e">
        <f>#REF!</f>
        <v>#REF!</v>
      </c>
      <c r="D1603" t="e">
        <f>#REF!</f>
        <v>#REF!</v>
      </c>
      <c r="E1603" t="e">
        <f>#REF!</f>
        <v>#REF!</v>
      </c>
      <c r="G1603" t="e">
        <f t="shared" si="126"/>
        <v>#REF!</v>
      </c>
      <c r="H1603" t="e">
        <f t="shared" si="127"/>
        <v>#REF!</v>
      </c>
      <c r="I1603" s="141" t="e">
        <f t="shared" si="128"/>
        <v>#REF!</v>
      </c>
      <c r="J1603" t="e">
        <f t="shared" si="129"/>
        <v>#REF!</v>
      </c>
      <c r="K1603" s="141" t="e">
        <f t="shared" si="130"/>
        <v>#REF!</v>
      </c>
    </row>
    <row r="1604" spans="1:11" hidden="1" x14ac:dyDescent="0.25">
      <c r="A1604" t="e">
        <f>#REF!</f>
        <v>#REF!</v>
      </c>
      <c r="B1604" t="e">
        <f>#REF!</f>
        <v>#REF!</v>
      </c>
      <c r="C1604" t="e">
        <f>#REF!</f>
        <v>#REF!</v>
      </c>
      <c r="D1604" t="e">
        <f>#REF!</f>
        <v>#REF!</v>
      </c>
      <c r="E1604" t="e">
        <f>#REF!</f>
        <v>#REF!</v>
      </c>
      <c r="G1604" t="e">
        <f t="shared" si="126"/>
        <v>#REF!</v>
      </c>
      <c r="H1604" t="e">
        <f t="shared" si="127"/>
        <v>#REF!</v>
      </c>
      <c r="I1604" s="141" t="e">
        <f t="shared" si="128"/>
        <v>#REF!</v>
      </c>
      <c r="J1604" t="e">
        <f t="shared" si="129"/>
        <v>#REF!</v>
      </c>
      <c r="K1604" s="141" t="e">
        <f t="shared" si="130"/>
        <v>#REF!</v>
      </c>
    </row>
    <row r="1605" spans="1:11" hidden="1" x14ac:dyDescent="0.25">
      <c r="A1605" t="e">
        <f>#REF!</f>
        <v>#REF!</v>
      </c>
      <c r="B1605" t="e">
        <f>#REF!</f>
        <v>#REF!</v>
      </c>
      <c r="C1605" t="e">
        <f>#REF!</f>
        <v>#REF!</v>
      </c>
      <c r="D1605" t="e">
        <f>#REF!</f>
        <v>#REF!</v>
      </c>
      <c r="E1605" t="e">
        <f>#REF!</f>
        <v>#REF!</v>
      </c>
      <c r="G1605" t="e">
        <f t="shared" si="126"/>
        <v>#REF!</v>
      </c>
      <c r="H1605" t="e">
        <f t="shared" si="127"/>
        <v>#REF!</v>
      </c>
      <c r="I1605" s="141" t="e">
        <f t="shared" si="128"/>
        <v>#REF!</v>
      </c>
      <c r="J1605" t="e">
        <f t="shared" si="129"/>
        <v>#REF!</v>
      </c>
      <c r="K1605" s="141" t="e">
        <f t="shared" si="130"/>
        <v>#REF!</v>
      </c>
    </row>
    <row r="1606" spans="1:11" hidden="1" x14ac:dyDescent="0.25">
      <c r="A1606" t="e">
        <f>#REF!</f>
        <v>#REF!</v>
      </c>
      <c r="B1606" t="e">
        <f>#REF!</f>
        <v>#REF!</v>
      </c>
      <c r="C1606" t="e">
        <f>#REF!</f>
        <v>#REF!</v>
      </c>
      <c r="D1606" t="e">
        <f>#REF!</f>
        <v>#REF!</v>
      </c>
      <c r="E1606" t="e">
        <f>#REF!</f>
        <v>#REF!</v>
      </c>
      <c r="G1606" t="e">
        <f t="shared" si="126"/>
        <v>#REF!</v>
      </c>
      <c r="H1606" t="e">
        <f t="shared" si="127"/>
        <v>#REF!</v>
      </c>
      <c r="I1606" s="141" t="e">
        <f t="shared" si="128"/>
        <v>#REF!</v>
      </c>
      <c r="J1606" t="e">
        <f t="shared" si="129"/>
        <v>#REF!</v>
      </c>
      <c r="K1606" s="141" t="e">
        <f t="shared" si="130"/>
        <v>#REF!</v>
      </c>
    </row>
    <row r="1607" spans="1:11" hidden="1" x14ac:dyDescent="0.25">
      <c r="A1607" t="e">
        <f>#REF!</f>
        <v>#REF!</v>
      </c>
      <c r="B1607" t="e">
        <f>#REF!</f>
        <v>#REF!</v>
      </c>
      <c r="C1607" t="e">
        <f>#REF!</f>
        <v>#REF!</v>
      </c>
      <c r="D1607" t="e">
        <f>#REF!</f>
        <v>#REF!</v>
      </c>
      <c r="E1607" t="e">
        <f>#REF!</f>
        <v>#REF!</v>
      </c>
      <c r="G1607" t="e">
        <f t="shared" si="126"/>
        <v>#REF!</v>
      </c>
      <c r="H1607" t="e">
        <f t="shared" si="127"/>
        <v>#REF!</v>
      </c>
      <c r="I1607" s="141" t="e">
        <f t="shared" si="128"/>
        <v>#REF!</v>
      </c>
      <c r="J1607" t="e">
        <f t="shared" si="129"/>
        <v>#REF!</v>
      </c>
      <c r="K1607" s="141" t="e">
        <f t="shared" si="130"/>
        <v>#REF!</v>
      </c>
    </row>
    <row r="1608" spans="1:11" hidden="1" x14ac:dyDescent="0.25">
      <c r="A1608" t="e">
        <f>#REF!</f>
        <v>#REF!</v>
      </c>
      <c r="B1608" t="e">
        <f>#REF!</f>
        <v>#REF!</v>
      </c>
      <c r="C1608" t="e">
        <f>#REF!</f>
        <v>#REF!</v>
      </c>
      <c r="D1608" t="e">
        <f>#REF!</f>
        <v>#REF!</v>
      </c>
      <c r="E1608" t="e">
        <f>#REF!</f>
        <v>#REF!</v>
      </c>
      <c r="G1608" t="e">
        <f t="shared" si="126"/>
        <v>#REF!</v>
      </c>
      <c r="H1608" t="e">
        <f t="shared" si="127"/>
        <v>#REF!</v>
      </c>
      <c r="I1608" s="141" t="e">
        <f t="shared" si="128"/>
        <v>#REF!</v>
      </c>
      <c r="J1608" t="e">
        <f t="shared" si="129"/>
        <v>#REF!</v>
      </c>
      <c r="K1608" s="141" t="e">
        <f t="shared" si="130"/>
        <v>#REF!</v>
      </c>
    </row>
    <row r="1609" spans="1:11" hidden="1" x14ac:dyDescent="0.25">
      <c r="A1609" t="e">
        <f>#REF!</f>
        <v>#REF!</v>
      </c>
      <c r="B1609" t="e">
        <f>#REF!</f>
        <v>#REF!</v>
      </c>
      <c r="C1609" t="e">
        <f>#REF!</f>
        <v>#REF!</v>
      </c>
      <c r="D1609" t="e">
        <f>#REF!</f>
        <v>#REF!</v>
      </c>
      <c r="E1609" t="e">
        <f>#REF!</f>
        <v>#REF!</v>
      </c>
      <c r="G1609" t="e">
        <f t="shared" si="126"/>
        <v>#REF!</v>
      </c>
      <c r="H1609" t="e">
        <f t="shared" si="127"/>
        <v>#REF!</v>
      </c>
      <c r="I1609" s="141" t="e">
        <f t="shared" si="128"/>
        <v>#REF!</v>
      </c>
      <c r="J1609" t="e">
        <f t="shared" si="129"/>
        <v>#REF!</v>
      </c>
      <c r="K1609" s="141" t="e">
        <f t="shared" si="130"/>
        <v>#REF!</v>
      </c>
    </row>
    <row r="1610" spans="1:11" hidden="1" x14ac:dyDescent="0.25">
      <c r="A1610" t="e">
        <f>#REF!</f>
        <v>#REF!</v>
      </c>
      <c r="B1610" t="e">
        <f>#REF!</f>
        <v>#REF!</v>
      </c>
      <c r="C1610" t="e">
        <f>#REF!</f>
        <v>#REF!</v>
      </c>
      <c r="D1610" t="e">
        <f>#REF!</f>
        <v>#REF!</v>
      </c>
      <c r="E1610" t="e">
        <f>#REF!</f>
        <v>#REF!</v>
      </c>
      <c r="G1610" t="e">
        <f t="shared" si="126"/>
        <v>#REF!</v>
      </c>
      <c r="H1610" t="e">
        <f t="shared" si="127"/>
        <v>#REF!</v>
      </c>
      <c r="I1610" s="141" t="e">
        <f t="shared" si="128"/>
        <v>#REF!</v>
      </c>
      <c r="J1610" t="e">
        <f t="shared" si="129"/>
        <v>#REF!</v>
      </c>
      <c r="K1610" s="141" t="e">
        <f t="shared" si="130"/>
        <v>#REF!</v>
      </c>
    </row>
    <row r="1611" spans="1:11" hidden="1" x14ac:dyDescent="0.25">
      <c r="A1611" t="e">
        <f>#REF!</f>
        <v>#REF!</v>
      </c>
      <c r="B1611" t="e">
        <f>#REF!</f>
        <v>#REF!</v>
      </c>
      <c r="C1611" t="e">
        <f>#REF!</f>
        <v>#REF!</v>
      </c>
      <c r="D1611" t="e">
        <f>#REF!</f>
        <v>#REF!</v>
      </c>
      <c r="E1611" t="e">
        <f>#REF!</f>
        <v>#REF!</v>
      </c>
      <c r="G1611" t="e">
        <f t="shared" si="126"/>
        <v>#REF!</v>
      </c>
      <c r="H1611" t="e">
        <f t="shared" si="127"/>
        <v>#REF!</v>
      </c>
      <c r="I1611" s="141" t="e">
        <f t="shared" si="128"/>
        <v>#REF!</v>
      </c>
      <c r="J1611" t="e">
        <f t="shared" si="129"/>
        <v>#REF!</v>
      </c>
      <c r="K1611" s="141" t="e">
        <f t="shared" si="130"/>
        <v>#REF!</v>
      </c>
    </row>
    <row r="1612" spans="1:11" hidden="1" x14ac:dyDescent="0.25">
      <c r="A1612" t="e">
        <f>#REF!</f>
        <v>#REF!</v>
      </c>
      <c r="B1612" t="e">
        <f>#REF!</f>
        <v>#REF!</v>
      </c>
      <c r="C1612" t="e">
        <f>#REF!</f>
        <v>#REF!</v>
      </c>
      <c r="D1612" t="e">
        <f>#REF!</f>
        <v>#REF!</v>
      </c>
      <c r="E1612" t="e">
        <f>#REF!</f>
        <v>#REF!</v>
      </c>
      <c r="G1612" t="e">
        <f t="shared" si="126"/>
        <v>#REF!</v>
      </c>
      <c r="H1612" t="e">
        <f t="shared" si="127"/>
        <v>#REF!</v>
      </c>
      <c r="I1612" s="141" t="e">
        <f t="shared" si="128"/>
        <v>#REF!</v>
      </c>
      <c r="J1612" t="e">
        <f t="shared" si="129"/>
        <v>#REF!</v>
      </c>
      <c r="K1612" s="141" t="e">
        <f t="shared" si="130"/>
        <v>#REF!</v>
      </c>
    </row>
    <row r="1613" spans="1:11" hidden="1" x14ac:dyDescent="0.25">
      <c r="A1613" t="e">
        <f>#REF!</f>
        <v>#REF!</v>
      </c>
      <c r="B1613" t="e">
        <f>#REF!</f>
        <v>#REF!</v>
      </c>
      <c r="C1613" t="e">
        <f>#REF!</f>
        <v>#REF!</v>
      </c>
      <c r="D1613" t="e">
        <f>#REF!</f>
        <v>#REF!</v>
      </c>
      <c r="E1613" t="e">
        <f>#REF!</f>
        <v>#REF!</v>
      </c>
      <c r="G1613" t="e">
        <f t="shared" si="126"/>
        <v>#REF!</v>
      </c>
      <c r="H1613" t="e">
        <f t="shared" si="127"/>
        <v>#REF!</v>
      </c>
      <c r="I1613" s="141" t="e">
        <f t="shared" si="128"/>
        <v>#REF!</v>
      </c>
      <c r="J1613" t="e">
        <f t="shared" si="129"/>
        <v>#REF!</v>
      </c>
      <c r="K1613" s="141" t="e">
        <f t="shared" si="130"/>
        <v>#REF!</v>
      </c>
    </row>
    <row r="1614" spans="1:11" hidden="1" x14ac:dyDescent="0.25">
      <c r="A1614" t="e">
        <f>#REF!</f>
        <v>#REF!</v>
      </c>
      <c r="B1614" t="e">
        <f>#REF!</f>
        <v>#REF!</v>
      </c>
      <c r="C1614" t="e">
        <f>#REF!</f>
        <v>#REF!</v>
      </c>
      <c r="D1614" t="e">
        <f>#REF!</f>
        <v>#REF!</v>
      </c>
      <c r="E1614" t="e">
        <f>#REF!</f>
        <v>#REF!</v>
      </c>
      <c r="G1614" t="e">
        <f t="shared" si="126"/>
        <v>#REF!</v>
      </c>
      <c r="H1614" t="e">
        <f t="shared" si="127"/>
        <v>#REF!</v>
      </c>
      <c r="I1614" s="141" t="e">
        <f t="shared" si="128"/>
        <v>#REF!</v>
      </c>
      <c r="J1614" t="e">
        <f t="shared" si="129"/>
        <v>#REF!</v>
      </c>
      <c r="K1614" s="141" t="e">
        <f t="shared" si="130"/>
        <v>#REF!</v>
      </c>
    </row>
    <row r="1615" spans="1:11" hidden="1" x14ac:dyDescent="0.25">
      <c r="A1615" t="e">
        <f>#REF!</f>
        <v>#REF!</v>
      </c>
      <c r="B1615" t="e">
        <f>#REF!</f>
        <v>#REF!</v>
      </c>
      <c r="C1615" t="e">
        <f>#REF!</f>
        <v>#REF!</v>
      </c>
      <c r="D1615" t="e">
        <f>#REF!</f>
        <v>#REF!</v>
      </c>
      <c r="E1615" t="e">
        <f>#REF!</f>
        <v>#REF!</v>
      </c>
      <c r="G1615" t="e">
        <f t="shared" si="126"/>
        <v>#REF!</v>
      </c>
      <c r="H1615" t="e">
        <f t="shared" si="127"/>
        <v>#REF!</v>
      </c>
      <c r="I1615" s="141" t="e">
        <f t="shared" si="128"/>
        <v>#REF!</v>
      </c>
      <c r="J1615" t="e">
        <f t="shared" si="129"/>
        <v>#REF!</v>
      </c>
      <c r="K1615" s="141" t="e">
        <f t="shared" si="130"/>
        <v>#REF!</v>
      </c>
    </row>
    <row r="1616" spans="1:11" hidden="1" x14ac:dyDescent="0.25">
      <c r="A1616" t="e">
        <f>#REF!</f>
        <v>#REF!</v>
      </c>
      <c r="B1616" t="e">
        <f>#REF!</f>
        <v>#REF!</v>
      </c>
      <c r="C1616" t="e">
        <f>#REF!</f>
        <v>#REF!</v>
      </c>
      <c r="D1616" t="e">
        <f>#REF!</f>
        <v>#REF!</v>
      </c>
      <c r="E1616" t="e">
        <f>#REF!</f>
        <v>#REF!</v>
      </c>
      <c r="G1616" t="e">
        <f t="shared" si="126"/>
        <v>#REF!</v>
      </c>
      <c r="H1616" t="e">
        <f t="shared" si="127"/>
        <v>#REF!</v>
      </c>
      <c r="I1616" s="141" t="e">
        <f t="shared" si="128"/>
        <v>#REF!</v>
      </c>
      <c r="J1616" t="e">
        <f t="shared" si="129"/>
        <v>#REF!</v>
      </c>
      <c r="K1616" s="141" t="e">
        <f t="shared" si="130"/>
        <v>#REF!</v>
      </c>
    </row>
    <row r="1617" spans="1:11" hidden="1" x14ac:dyDescent="0.25">
      <c r="A1617" t="e">
        <f>#REF!</f>
        <v>#REF!</v>
      </c>
      <c r="B1617" t="e">
        <f>#REF!</f>
        <v>#REF!</v>
      </c>
      <c r="C1617" t="e">
        <f>#REF!</f>
        <v>#REF!</v>
      </c>
      <c r="D1617" t="e">
        <f>#REF!</f>
        <v>#REF!</v>
      </c>
      <c r="E1617" t="e">
        <f>#REF!</f>
        <v>#REF!</v>
      </c>
      <c r="G1617" t="e">
        <f t="shared" si="126"/>
        <v>#REF!</v>
      </c>
      <c r="H1617" t="e">
        <f t="shared" si="127"/>
        <v>#REF!</v>
      </c>
      <c r="I1617" s="141" t="e">
        <f t="shared" si="128"/>
        <v>#REF!</v>
      </c>
      <c r="J1617" t="e">
        <f t="shared" si="129"/>
        <v>#REF!</v>
      </c>
      <c r="K1617" s="141" t="e">
        <f t="shared" si="130"/>
        <v>#REF!</v>
      </c>
    </row>
    <row r="1618" spans="1:11" hidden="1" x14ac:dyDescent="0.25">
      <c r="A1618" t="e">
        <f>#REF!</f>
        <v>#REF!</v>
      </c>
      <c r="B1618" t="e">
        <f>#REF!</f>
        <v>#REF!</v>
      </c>
      <c r="C1618" t="e">
        <f>#REF!</f>
        <v>#REF!</v>
      </c>
      <c r="D1618" t="e">
        <f>#REF!</f>
        <v>#REF!</v>
      </c>
      <c r="E1618" t="e">
        <f>#REF!</f>
        <v>#REF!</v>
      </c>
      <c r="G1618" t="e">
        <f t="shared" si="126"/>
        <v>#REF!</v>
      </c>
      <c r="H1618" t="e">
        <f t="shared" si="127"/>
        <v>#REF!</v>
      </c>
      <c r="I1618" s="141" t="e">
        <f t="shared" si="128"/>
        <v>#REF!</v>
      </c>
      <c r="J1618" t="e">
        <f t="shared" si="129"/>
        <v>#REF!</v>
      </c>
      <c r="K1618" s="141" t="e">
        <f t="shared" si="130"/>
        <v>#REF!</v>
      </c>
    </row>
    <row r="1619" spans="1:11" hidden="1" x14ac:dyDescent="0.25">
      <c r="A1619" t="e">
        <f>#REF!</f>
        <v>#REF!</v>
      </c>
      <c r="B1619" t="e">
        <f>#REF!</f>
        <v>#REF!</v>
      </c>
      <c r="C1619" t="e">
        <f>#REF!</f>
        <v>#REF!</v>
      </c>
      <c r="D1619" t="e">
        <f>#REF!</f>
        <v>#REF!</v>
      </c>
      <c r="E1619" t="e">
        <f>#REF!</f>
        <v>#REF!</v>
      </c>
      <c r="G1619" t="e">
        <f t="shared" si="126"/>
        <v>#REF!</v>
      </c>
      <c r="H1619" t="e">
        <f t="shared" si="127"/>
        <v>#REF!</v>
      </c>
      <c r="I1619" s="141" t="e">
        <f t="shared" si="128"/>
        <v>#REF!</v>
      </c>
      <c r="J1619" t="e">
        <f t="shared" si="129"/>
        <v>#REF!</v>
      </c>
      <c r="K1619" s="141" t="e">
        <f t="shared" si="130"/>
        <v>#REF!</v>
      </c>
    </row>
    <row r="1620" spans="1:11" hidden="1" x14ac:dyDescent="0.25">
      <c r="A1620" t="e">
        <f>#REF!</f>
        <v>#REF!</v>
      </c>
      <c r="B1620" t="e">
        <f>#REF!</f>
        <v>#REF!</v>
      </c>
      <c r="C1620" t="e">
        <f>#REF!</f>
        <v>#REF!</v>
      </c>
      <c r="D1620" t="e">
        <f>#REF!</f>
        <v>#REF!</v>
      </c>
      <c r="E1620" t="e">
        <f>#REF!</f>
        <v>#REF!</v>
      </c>
      <c r="G1620" t="e">
        <f t="shared" si="126"/>
        <v>#REF!</v>
      </c>
      <c r="H1620" t="e">
        <f t="shared" si="127"/>
        <v>#REF!</v>
      </c>
      <c r="I1620" s="141" t="e">
        <f t="shared" si="128"/>
        <v>#REF!</v>
      </c>
      <c r="J1620" t="e">
        <f t="shared" si="129"/>
        <v>#REF!</v>
      </c>
      <c r="K1620" s="141" t="e">
        <f t="shared" si="130"/>
        <v>#REF!</v>
      </c>
    </row>
    <row r="1621" spans="1:11" hidden="1" x14ac:dyDescent="0.25">
      <c r="A1621" t="e">
        <f>#REF!</f>
        <v>#REF!</v>
      </c>
      <c r="B1621" t="e">
        <f>#REF!</f>
        <v>#REF!</v>
      </c>
      <c r="C1621" t="e">
        <f>#REF!</f>
        <v>#REF!</v>
      </c>
      <c r="D1621" t="e">
        <f>#REF!</f>
        <v>#REF!</v>
      </c>
      <c r="E1621" t="e">
        <f>#REF!</f>
        <v>#REF!</v>
      </c>
      <c r="G1621" t="e">
        <f t="shared" si="126"/>
        <v>#REF!</v>
      </c>
      <c r="H1621" t="e">
        <f t="shared" si="127"/>
        <v>#REF!</v>
      </c>
      <c r="I1621" s="141" t="e">
        <f t="shared" si="128"/>
        <v>#REF!</v>
      </c>
      <c r="J1621" t="e">
        <f t="shared" si="129"/>
        <v>#REF!</v>
      </c>
      <c r="K1621" s="141" t="e">
        <f t="shared" si="130"/>
        <v>#REF!</v>
      </c>
    </row>
    <row r="1622" spans="1:11" hidden="1" x14ac:dyDescent="0.25">
      <c r="A1622" t="e">
        <f>#REF!</f>
        <v>#REF!</v>
      </c>
      <c r="B1622" t="e">
        <f>#REF!</f>
        <v>#REF!</v>
      </c>
      <c r="C1622" t="e">
        <f>#REF!</f>
        <v>#REF!</v>
      </c>
      <c r="D1622" t="e">
        <f>#REF!</f>
        <v>#REF!</v>
      </c>
      <c r="E1622" t="e">
        <f>#REF!</f>
        <v>#REF!</v>
      </c>
      <c r="G1622" t="e">
        <f t="shared" si="126"/>
        <v>#REF!</v>
      </c>
      <c r="H1622" t="e">
        <f t="shared" si="127"/>
        <v>#REF!</v>
      </c>
      <c r="I1622" s="141" t="e">
        <f t="shared" si="128"/>
        <v>#REF!</v>
      </c>
      <c r="J1622" t="e">
        <f t="shared" si="129"/>
        <v>#REF!</v>
      </c>
      <c r="K1622" s="141" t="e">
        <f t="shared" si="130"/>
        <v>#REF!</v>
      </c>
    </row>
    <row r="1623" spans="1:11" hidden="1" x14ac:dyDescent="0.25">
      <c r="A1623" t="e">
        <f>#REF!</f>
        <v>#REF!</v>
      </c>
      <c r="B1623" t="e">
        <f>#REF!</f>
        <v>#REF!</v>
      </c>
      <c r="C1623" t="e">
        <f>#REF!</f>
        <v>#REF!</v>
      </c>
      <c r="D1623" t="e">
        <f>#REF!</f>
        <v>#REF!</v>
      </c>
      <c r="E1623" t="e">
        <f>#REF!</f>
        <v>#REF!</v>
      </c>
      <c r="G1623" t="e">
        <f t="shared" si="126"/>
        <v>#REF!</v>
      </c>
      <c r="H1623" t="e">
        <f t="shared" si="127"/>
        <v>#REF!</v>
      </c>
      <c r="I1623" s="141" t="e">
        <f t="shared" si="128"/>
        <v>#REF!</v>
      </c>
      <c r="J1623" t="e">
        <f t="shared" si="129"/>
        <v>#REF!</v>
      </c>
      <c r="K1623" s="141" t="e">
        <f t="shared" si="130"/>
        <v>#REF!</v>
      </c>
    </row>
    <row r="1624" spans="1:11" hidden="1" x14ac:dyDescent="0.25">
      <c r="A1624" t="e">
        <f>#REF!</f>
        <v>#REF!</v>
      </c>
      <c r="B1624" t="e">
        <f>#REF!</f>
        <v>#REF!</v>
      </c>
      <c r="C1624" t="e">
        <f>#REF!</f>
        <v>#REF!</v>
      </c>
      <c r="D1624" t="e">
        <f>#REF!</f>
        <v>#REF!</v>
      </c>
      <c r="E1624" t="e">
        <f>#REF!</f>
        <v>#REF!</v>
      </c>
      <c r="G1624" t="e">
        <f t="shared" si="126"/>
        <v>#REF!</v>
      </c>
      <c r="H1624" t="e">
        <f t="shared" si="127"/>
        <v>#REF!</v>
      </c>
      <c r="I1624" s="141" t="e">
        <f t="shared" si="128"/>
        <v>#REF!</v>
      </c>
      <c r="J1624" t="e">
        <f t="shared" si="129"/>
        <v>#REF!</v>
      </c>
      <c r="K1624" s="141" t="e">
        <f t="shared" si="130"/>
        <v>#REF!</v>
      </c>
    </row>
    <row r="1625" spans="1:11" hidden="1" x14ac:dyDescent="0.25">
      <c r="A1625" t="e">
        <f>#REF!</f>
        <v>#REF!</v>
      </c>
      <c r="B1625" t="e">
        <f>#REF!</f>
        <v>#REF!</v>
      </c>
      <c r="C1625" t="e">
        <f>#REF!</f>
        <v>#REF!</v>
      </c>
      <c r="D1625" t="e">
        <f>#REF!</f>
        <v>#REF!</v>
      </c>
      <c r="E1625" t="e">
        <f>#REF!</f>
        <v>#REF!</v>
      </c>
      <c r="G1625" t="e">
        <f t="shared" si="126"/>
        <v>#REF!</v>
      </c>
      <c r="H1625" t="e">
        <f t="shared" si="127"/>
        <v>#REF!</v>
      </c>
      <c r="I1625" s="141" t="e">
        <f t="shared" si="128"/>
        <v>#REF!</v>
      </c>
      <c r="J1625" t="e">
        <f t="shared" si="129"/>
        <v>#REF!</v>
      </c>
      <c r="K1625" s="141" t="e">
        <f t="shared" si="130"/>
        <v>#REF!</v>
      </c>
    </row>
    <row r="1626" spans="1:11" hidden="1" x14ac:dyDescent="0.25">
      <c r="A1626" t="e">
        <f>#REF!</f>
        <v>#REF!</v>
      </c>
      <c r="B1626" t="e">
        <f>#REF!</f>
        <v>#REF!</v>
      </c>
      <c r="C1626" t="e">
        <f>#REF!</f>
        <v>#REF!</v>
      </c>
      <c r="D1626" t="e">
        <f>#REF!</f>
        <v>#REF!</v>
      </c>
      <c r="E1626" t="e">
        <f>#REF!</f>
        <v>#REF!</v>
      </c>
      <c r="G1626" t="e">
        <f t="shared" si="126"/>
        <v>#REF!</v>
      </c>
      <c r="H1626" t="e">
        <f t="shared" si="127"/>
        <v>#REF!</v>
      </c>
      <c r="I1626" s="141" t="e">
        <f t="shared" si="128"/>
        <v>#REF!</v>
      </c>
      <c r="J1626" t="e">
        <f t="shared" si="129"/>
        <v>#REF!</v>
      </c>
      <c r="K1626" s="141" t="e">
        <f t="shared" si="130"/>
        <v>#REF!</v>
      </c>
    </row>
    <row r="1627" spans="1:11" hidden="1" x14ac:dyDescent="0.25">
      <c r="A1627" t="e">
        <f>#REF!</f>
        <v>#REF!</v>
      </c>
      <c r="B1627" t="e">
        <f>#REF!</f>
        <v>#REF!</v>
      </c>
      <c r="C1627" t="e">
        <f>#REF!</f>
        <v>#REF!</v>
      </c>
      <c r="D1627" t="e">
        <f>#REF!</f>
        <v>#REF!</v>
      </c>
      <c r="E1627" t="e">
        <f>#REF!</f>
        <v>#REF!</v>
      </c>
      <c r="G1627" t="e">
        <f t="shared" si="126"/>
        <v>#REF!</v>
      </c>
      <c r="H1627" t="e">
        <f t="shared" si="127"/>
        <v>#REF!</v>
      </c>
      <c r="I1627" s="141" t="e">
        <f t="shared" si="128"/>
        <v>#REF!</v>
      </c>
      <c r="J1627" t="e">
        <f t="shared" si="129"/>
        <v>#REF!</v>
      </c>
      <c r="K1627" s="141" t="e">
        <f t="shared" si="130"/>
        <v>#REF!</v>
      </c>
    </row>
    <row r="1628" spans="1:11" hidden="1" x14ac:dyDescent="0.25">
      <c r="A1628" t="e">
        <f>#REF!</f>
        <v>#REF!</v>
      </c>
      <c r="B1628" t="e">
        <f>#REF!</f>
        <v>#REF!</v>
      </c>
      <c r="C1628" t="e">
        <f>#REF!</f>
        <v>#REF!</v>
      </c>
      <c r="D1628" t="e">
        <f>#REF!</f>
        <v>#REF!</v>
      </c>
      <c r="E1628" t="e">
        <f>#REF!</f>
        <v>#REF!</v>
      </c>
      <c r="G1628" t="e">
        <f t="shared" si="126"/>
        <v>#REF!</v>
      </c>
      <c r="H1628" t="e">
        <f t="shared" si="127"/>
        <v>#REF!</v>
      </c>
      <c r="I1628" s="141" t="e">
        <f t="shared" si="128"/>
        <v>#REF!</v>
      </c>
      <c r="J1628" t="e">
        <f t="shared" si="129"/>
        <v>#REF!</v>
      </c>
      <c r="K1628" s="141" t="e">
        <f t="shared" si="130"/>
        <v>#REF!</v>
      </c>
    </row>
    <row r="1629" spans="1:11" hidden="1" x14ac:dyDescent="0.25">
      <c r="A1629" t="e">
        <f>#REF!</f>
        <v>#REF!</v>
      </c>
      <c r="B1629" t="e">
        <f>#REF!</f>
        <v>#REF!</v>
      </c>
      <c r="C1629" t="e">
        <f>#REF!</f>
        <v>#REF!</v>
      </c>
      <c r="D1629" t="e">
        <f>#REF!</f>
        <v>#REF!</v>
      </c>
      <c r="E1629" t="e">
        <f>#REF!</f>
        <v>#REF!</v>
      </c>
      <c r="G1629" t="e">
        <f t="shared" si="126"/>
        <v>#REF!</v>
      </c>
      <c r="H1629" t="e">
        <f t="shared" si="127"/>
        <v>#REF!</v>
      </c>
      <c r="I1629" s="141" t="e">
        <f t="shared" si="128"/>
        <v>#REF!</v>
      </c>
      <c r="J1629" t="e">
        <f t="shared" si="129"/>
        <v>#REF!</v>
      </c>
      <c r="K1629" s="141" t="e">
        <f t="shared" si="130"/>
        <v>#REF!</v>
      </c>
    </row>
    <row r="1630" spans="1:11" hidden="1" x14ac:dyDescent="0.25">
      <c r="A1630" t="e">
        <f>#REF!</f>
        <v>#REF!</v>
      </c>
      <c r="B1630" t="e">
        <f>#REF!</f>
        <v>#REF!</v>
      </c>
      <c r="C1630" t="e">
        <f>#REF!</f>
        <v>#REF!</v>
      </c>
      <c r="D1630" t="e">
        <f>#REF!</f>
        <v>#REF!</v>
      </c>
      <c r="E1630" t="e">
        <f>#REF!</f>
        <v>#REF!</v>
      </c>
      <c r="G1630" t="e">
        <f t="shared" si="126"/>
        <v>#REF!</v>
      </c>
      <c r="H1630" t="e">
        <f t="shared" si="127"/>
        <v>#REF!</v>
      </c>
      <c r="I1630" s="141" t="e">
        <f t="shared" si="128"/>
        <v>#REF!</v>
      </c>
      <c r="J1630" t="e">
        <f t="shared" si="129"/>
        <v>#REF!</v>
      </c>
      <c r="K1630" s="141" t="e">
        <f t="shared" si="130"/>
        <v>#REF!</v>
      </c>
    </row>
    <row r="1631" spans="1:11" hidden="1" x14ac:dyDescent="0.25">
      <c r="A1631" t="e">
        <f>#REF!</f>
        <v>#REF!</v>
      </c>
      <c r="B1631" t="e">
        <f>#REF!</f>
        <v>#REF!</v>
      </c>
      <c r="C1631" t="e">
        <f>#REF!</f>
        <v>#REF!</v>
      </c>
      <c r="D1631" t="e">
        <f>#REF!</f>
        <v>#REF!</v>
      </c>
      <c r="E1631" t="e">
        <f>#REF!</f>
        <v>#REF!</v>
      </c>
      <c r="G1631" t="e">
        <f t="shared" si="126"/>
        <v>#REF!</v>
      </c>
      <c r="H1631" t="e">
        <f t="shared" si="127"/>
        <v>#REF!</v>
      </c>
      <c r="I1631" s="141" t="e">
        <f t="shared" si="128"/>
        <v>#REF!</v>
      </c>
      <c r="J1631" t="e">
        <f t="shared" si="129"/>
        <v>#REF!</v>
      </c>
      <c r="K1631" s="141" t="e">
        <f t="shared" si="130"/>
        <v>#REF!</v>
      </c>
    </row>
    <row r="1632" spans="1:11" hidden="1" x14ac:dyDescent="0.25">
      <c r="A1632" t="e">
        <f>#REF!</f>
        <v>#REF!</v>
      </c>
      <c r="B1632" t="e">
        <f>#REF!</f>
        <v>#REF!</v>
      </c>
      <c r="C1632" t="e">
        <f>#REF!</f>
        <v>#REF!</v>
      </c>
      <c r="D1632" t="e">
        <f>#REF!</f>
        <v>#REF!</v>
      </c>
      <c r="E1632" t="e">
        <f>#REF!</f>
        <v>#REF!</v>
      </c>
      <c r="G1632" t="e">
        <f t="shared" si="126"/>
        <v>#REF!</v>
      </c>
      <c r="H1632" t="e">
        <f t="shared" si="127"/>
        <v>#REF!</v>
      </c>
      <c r="I1632" s="141" t="e">
        <f t="shared" si="128"/>
        <v>#REF!</v>
      </c>
      <c r="J1632" t="e">
        <f t="shared" si="129"/>
        <v>#REF!</v>
      </c>
      <c r="K1632" s="141" t="e">
        <f t="shared" si="130"/>
        <v>#REF!</v>
      </c>
    </row>
    <row r="1633" spans="1:11" hidden="1" x14ac:dyDescent="0.25">
      <c r="A1633" t="e">
        <f>#REF!</f>
        <v>#REF!</v>
      </c>
      <c r="B1633" t="e">
        <f>#REF!</f>
        <v>#REF!</v>
      </c>
      <c r="C1633" t="e">
        <f>#REF!</f>
        <v>#REF!</v>
      </c>
      <c r="D1633" t="e">
        <f>#REF!</f>
        <v>#REF!</v>
      </c>
      <c r="E1633" t="e">
        <f>#REF!</f>
        <v>#REF!</v>
      </c>
      <c r="G1633" t="e">
        <f t="shared" si="126"/>
        <v>#REF!</v>
      </c>
      <c r="H1633" t="e">
        <f t="shared" si="127"/>
        <v>#REF!</v>
      </c>
      <c r="I1633" s="141" t="e">
        <f t="shared" si="128"/>
        <v>#REF!</v>
      </c>
      <c r="J1633" t="e">
        <f t="shared" si="129"/>
        <v>#REF!</v>
      </c>
      <c r="K1633" s="141" t="e">
        <f t="shared" si="130"/>
        <v>#REF!</v>
      </c>
    </row>
    <row r="1634" spans="1:11" hidden="1" x14ac:dyDescent="0.25">
      <c r="A1634" t="e">
        <f>#REF!</f>
        <v>#REF!</v>
      </c>
      <c r="B1634" t="e">
        <f>#REF!</f>
        <v>#REF!</v>
      </c>
      <c r="C1634" t="e">
        <f>#REF!</f>
        <v>#REF!</v>
      </c>
      <c r="D1634" t="e">
        <f>#REF!</f>
        <v>#REF!</v>
      </c>
      <c r="E1634" t="e">
        <f>#REF!</f>
        <v>#REF!</v>
      </c>
      <c r="G1634" t="e">
        <f t="shared" si="126"/>
        <v>#REF!</v>
      </c>
      <c r="H1634" t="e">
        <f t="shared" si="127"/>
        <v>#REF!</v>
      </c>
      <c r="I1634" s="141" t="e">
        <f t="shared" si="128"/>
        <v>#REF!</v>
      </c>
      <c r="J1634" t="e">
        <f t="shared" si="129"/>
        <v>#REF!</v>
      </c>
      <c r="K1634" s="141" t="e">
        <f t="shared" si="130"/>
        <v>#REF!</v>
      </c>
    </row>
    <row r="1635" spans="1:11" hidden="1" x14ac:dyDescent="0.25">
      <c r="A1635" t="e">
        <f>#REF!</f>
        <v>#REF!</v>
      </c>
      <c r="B1635" t="e">
        <f>#REF!</f>
        <v>#REF!</v>
      </c>
      <c r="C1635" t="e">
        <f>#REF!</f>
        <v>#REF!</v>
      </c>
      <c r="D1635" t="e">
        <f>#REF!</f>
        <v>#REF!</v>
      </c>
      <c r="E1635" t="e">
        <f>#REF!</f>
        <v>#REF!</v>
      </c>
      <c r="G1635" t="e">
        <f t="shared" si="126"/>
        <v>#REF!</v>
      </c>
      <c r="H1635" t="e">
        <f t="shared" si="127"/>
        <v>#REF!</v>
      </c>
      <c r="I1635" s="141" t="e">
        <f t="shared" si="128"/>
        <v>#REF!</v>
      </c>
      <c r="J1635" t="e">
        <f t="shared" si="129"/>
        <v>#REF!</v>
      </c>
      <c r="K1635" s="141" t="e">
        <f t="shared" si="130"/>
        <v>#REF!</v>
      </c>
    </row>
    <row r="1636" spans="1:11" hidden="1" x14ac:dyDescent="0.25">
      <c r="A1636" t="e">
        <f>#REF!</f>
        <v>#REF!</v>
      </c>
      <c r="B1636" t="e">
        <f>#REF!</f>
        <v>#REF!</v>
      </c>
      <c r="C1636" t="e">
        <f>#REF!</f>
        <v>#REF!</v>
      </c>
      <c r="D1636" t="e">
        <f>#REF!</f>
        <v>#REF!</v>
      </c>
      <c r="E1636" t="e">
        <f>#REF!</f>
        <v>#REF!</v>
      </c>
      <c r="G1636" t="e">
        <f t="shared" si="126"/>
        <v>#REF!</v>
      </c>
      <c r="H1636" t="e">
        <f t="shared" si="127"/>
        <v>#REF!</v>
      </c>
      <c r="I1636" s="141" t="e">
        <f t="shared" si="128"/>
        <v>#REF!</v>
      </c>
      <c r="J1636" t="e">
        <f t="shared" si="129"/>
        <v>#REF!</v>
      </c>
      <c r="K1636" s="141" t="e">
        <f t="shared" si="130"/>
        <v>#REF!</v>
      </c>
    </row>
    <row r="1637" spans="1:11" hidden="1" x14ac:dyDescent="0.25">
      <c r="A1637" t="e">
        <f>#REF!</f>
        <v>#REF!</v>
      </c>
      <c r="B1637" t="e">
        <f>#REF!</f>
        <v>#REF!</v>
      </c>
      <c r="C1637" t="e">
        <f>#REF!</f>
        <v>#REF!</v>
      </c>
      <c r="D1637" t="e">
        <f>#REF!</f>
        <v>#REF!</v>
      </c>
      <c r="E1637" t="e">
        <f>#REF!</f>
        <v>#REF!</v>
      </c>
      <c r="G1637" t="e">
        <f t="shared" si="126"/>
        <v>#REF!</v>
      </c>
      <c r="H1637" t="e">
        <f t="shared" si="127"/>
        <v>#REF!</v>
      </c>
      <c r="I1637" s="141" t="e">
        <f t="shared" si="128"/>
        <v>#REF!</v>
      </c>
      <c r="J1637" t="e">
        <f t="shared" si="129"/>
        <v>#REF!</v>
      </c>
      <c r="K1637" s="141" t="e">
        <f t="shared" si="130"/>
        <v>#REF!</v>
      </c>
    </row>
    <row r="1638" spans="1:11" hidden="1" x14ac:dyDescent="0.25">
      <c r="A1638" t="e">
        <f>#REF!</f>
        <v>#REF!</v>
      </c>
      <c r="B1638" t="e">
        <f>#REF!</f>
        <v>#REF!</v>
      </c>
      <c r="C1638" t="e">
        <f>#REF!</f>
        <v>#REF!</v>
      </c>
      <c r="D1638" t="e">
        <f>#REF!</f>
        <v>#REF!</v>
      </c>
      <c r="E1638" t="e">
        <f>#REF!</f>
        <v>#REF!</v>
      </c>
      <c r="G1638" t="e">
        <f t="shared" si="126"/>
        <v>#REF!</v>
      </c>
      <c r="H1638" t="e">
        <f t="shared" si="127"/>
        <v>#REF!</v>
      </c>
      <c r="I1638" s="141" t="e">
        <f t="shared" si="128"/>
        <v>#REF!</v>
      </c>
      <c r="J1638" t="e">
        <f t="shared" si="129"/>
        <v>#REF!</v>
      </c>
      <c r="K1638" s="141" t="e">
        <f t="shared" si="130"/>
        <v>#REF!</v>
      </c>
    </row>
    <row r="1639" spans="1:11" hidden="1" x14ac:dyDescent="0.25">
      <c r="A1639" t="e">
        <f>#REF!</f>
        <v>#REF!</v>
      </c>
      <c r="B1639" t="e">
        <f>#REF!</f>
        <v>#REF!</v>
      </c>
      <c r="C1639" t="e">
        <f>#REF!</f>
        <v>#REF!</v>
      </c>
      <c r="D1639" t="e">
        <f>#REF!</f>
        <v>#REF!</v>
      </c>
      <c r="E1639" t="e">
        <f>#REF!</f>
        <v>#REF!</v>
      </c>
      <c r="G1639" t="e">
        <f t="shared" si="126"/>
        <v>#REF!</v>
      </c>
      <c r="H1639" t="e">
        <f t="shared" si="127"/>
        <v>#REF!</v>
      </c>
      <c r="I1639" s="141" t="e">
        <f t="shared" si="128"/>
        <v>#REF!</v>
      </c>
      <c r="J1639" t="e">
        <f t="shared" si="129"/>
        <v>#REF!</v>
      </c>
      <c r="K1639" s="141" t="e">
        <f t="shared" si="130"/>
        <v>#REF!</v>
      </c>
    </row>
    <row r="1640" spans="1:11" hidden="1" x14ac:dyDescent="0.25">
      <c r="A1640" t="e">
        <f>#REF!</f>
        <v>#REF!</v>
      </c>
      <c r="B1640" t="e">
        <f>#REF!</f>
        <v>#REF!</v>
      </c>
      <c r="C1640" t="e">
        <f>#REF!</f>
        <v>#REF!</v>
      </c>
      <c r="D1640" t="e">
        <f>#REF!</f>
        <v>#REF!</v>
      </c>
      <c r="E1640" t="e">
        <f>#REF!</f>
        <v>#REF!</v>
      </c>
      <c r="G1640" t="e">
        <f t="shared" si="126"/>
        <v>#REF!</v>
      </c>
      <c r="H1640" t="e">
        <f t="shared" si="127"/>
        <v>#REF!</v>
      </c>
      <c r="I1640" s="141" t="e">
        <f t="shared" si="128"/>
        <v>#REF!</v>
      </c>
      <c r="J1640" t="e">
        <f t="shared" si="129"/>
        <v>#REF!</v>
      </c>
      <c r="K1640" s="141" t="e">
        <f t="shared" si="130"/>
        <v>#REF!</v>
      </c>
    </row>
    <row r="1641" spans="1:11" hidden="1" x14ac:dyDescent="0.25">
      <c r="A1641" t="e">
        <f>#REF!</f>
        <v>#REF!</v>
      </c>
      <c r="B1641" t="e">
        <f>#REF!</f>
        <v>#REF!</v>
      </c>
      <c r="C1641" t="e">
        <f>#REF!</f>
        <v>#REF!</v>
      </c>
      <c r="D1641" t="e">
        <f>#REF!</f>
        <v>#REF!</v>
      </c>
      <c r="E1641" t="e">
        <f>#REF!</f>
        <v>#REF!</v>
      </c>
      <c r="G1641" t="e">
        <f t="shared" si="126"/>
        <v>#REF!</v>
      </c>
      <c r="H1641" t="e">
        <f t="shared" si="127"/>
        <v>#REF!</v>
      </c>
      <c r="I1641" s="141" t="e">
        <f t="shared" si="128"/>
        <v>#REF!</v>
      </c>
      <c r="J1641" t="e">
        <f t="shared" si="129"/>
        <v>#REF!</v>
      </c>
      <c r="K1641" s="141" t="e">
        <f t="shared" si="130"/>
        <v>#REF!</v>
      </c>
    </row>
    <row r="1642" spans="1:11" hidden="1" x14ac:dyDescent="0.25">
      <c r="A1642" t="e">
        <f>#REF!</f>
        <v>#REF!</v>
      </c>
      <c r="B1642" t="e">
        <f>#REF!</f>
        <v>#REF!</v>
      </c>
      <c r="C1642" t="e">
        <f>#REF!</f>
        <v>#REF!</v>
      </c>
      <c r="D1642" t="e">
        <f>#REF!</f>
        <v>#REF!</v>
      </c>
      <c r="E1642" t="e">
        <f>#REF!</f>
        <v>#REF!</v>
      </c>
      <c r="G1642" t="e">
        <f t="shared" si="126"/>
        <v>#REF!</v>
      </c>
      <c r="H1642" t="e">
        <f t="shared" si="127"/>
        <v>#REF!</v>
      </c>
      <c r="I1642" s="141" t="e">
        <f t="shared" si="128"/>
        <v>#REF!</v>
      </c>
      <c r="J1642" t="e">
        <f t="shared" si="129"/>
        <v>#REF!</v>
      </c>
      <c r="K1642" s="141" t="e">
        <f t="shared" si="130"/>
        <v>#REF!</v>
      </c>
    </row>
    <row r="1643" spans="1:11" hidden="1" x14ac:dyDescent="0.25">
      <c r="A1643" t="e">
        <f>#REF!</f>
        <v>#REF!</v>
      </c>
      <c r="B1643" t="e">
        <f>#REF!</f>
        <v>#REF!</v>
      </c>
      <c r="C1643" t="e">
        <f>#REF!</f>
        <v>#REF!</v>
      </c>
      <c r="D1643" t="e">
        <f>#REF!</f>
        <v>#REF!</v>
      </c>
      <c r="E1643" t="e">
        <f>#REF!</f>
        <v>#REF!</v>
      </c>
      <c r="G1643" t="e">
        <f t="shared" si="126"/>
        <v>#REF!</v>
      </c>
      <c r="H1643" t="e">
        <f t="shared" si="127"/>
        <v>#REF!</v>
      </c>
      <c r="I1643" s="141" t="e">
        <f t="shared" si="128"/>
        <v>#REF!</v>
      </c>
      <c r="J1643" t="e">
        <f t="shared" si="129"/>
        <v>#REF!</v>
      </c>
      <c r="K1643" s="141" t="e">
        <f t="shared" si="130"/>
        <v>#REF!</v>
      </c>
    </row>
    <row r="1644" spans="1:11" hidden="1" x14ac:dyDescent="0.25">
      <c r="A1644" t="e">
        <f>#REF!</f>
        <v>#REF!</v>
      </c>
      <c r="B1644" t="e">
        <f>#REF!</f>
        <v>#REF!</v>
      </c>
      <c r="C1644" t="e">
        <f>#REF!</f>
        <v>#REF!</v>
      </c>
      <c r="D1644" t="e">
        <f>#REF!</f>
        <v>#REF!</v>
      </c>
      <c r="E1644" t="e">
        <f>#REF!</f>
        <v>#REF!</v>
      </c>
      <c r="G1644" t="e">
        <f t="shared" si="126"/>
        <v>#REF!</v>
      </c>
      <c r="H1644" t="e">
        <f t="shared" si="127"/>
        <v>#REF!</v>
      </c>
      <c r="I1644" s="141" t="e">
        <f t="shared" si="128"/>
        <v>#REF!</v>
      </c>
      <c r="J1644" t="e">
        <f t="shared" si="129"/>
        <v>#REF!</v>
      </c>
      <c r="K1644" s="141" t="e">
        <f t="shared" si="130"/>
        <v>#REF!</v>
      </c>
    </row>
    <row r="1645" spans="1:11" hidden="1" x14ac:dyDescent="0.25">
      <c r="A1645" t="e">
        <f>#REF!</f>
        <v>#REF!</v>
      </c>
      <c r="B1645" t="e">
        <f>#REF!</f>
        <v>#REF!</v>
      </c>
      <c r="C1645" t="e">
        <f>#REF!</f>
        <v>#REF!</v>
      </c>
      <c r="D1645" t="e">
        <f>#REF!</f>
        <v>#REF!</v>
      </c>
      <c r="E1645" t="e">
        <f>#REF!</f>
        <v>#REF!</v>
      </c>
      <c r="G1645" t="e">
        <f t="shared" si="126"/>
        <v>#REF!</v>
      </c>
      <c r="H1645" t="e">
        <f t="shared" si="127"/>
        <v>#REF!</v>
      </c>
      <c r="I1645" s="141" t="e">
        <f t="shared" si="128"/>
        <v>#REF!</v>
      </c>
      <c r="J1645" t="e">
        <f t="shared" si="129"/>
        <v>#REF!</v>
      </c>
      <c r="K1645" s="141" t="e">
        <f t="shared" si="130"/>
        <v>#REF!</v>
      </c>
    </row>
    <row r="1646" spans="1:11" hidden="1" x14ac:dyDescent="0.25">
      <c r="A1646" t="e">
        <f>#REF!</f>
        <v>#REF!</v>
      </c>
      <c r="B1646" t="e">
        <f>#REF!</f>
        <v>#REF!</v>
      </c>
      <c r="C1646" t="e">
        <f>#REF!</f>
        <v>#REF!</v>
      </c>
      <c r="D1646" t="e">
        <f>#REF!</f>
        <v>#REF!</v>
      </c>
      <c r="E1646" t="e">
        <f>#REF!</f>
        <v>#REF!</v>
      </c>
      <c r="G1646" t="e">
        <f t="shared" si="126"/>
        <v>#REF!</v>
      </c>
      <c r="H1646" t="e">
        <f t="shared" si="127"/>
        <v>#REF!</v>
      </c>
      <c r="I1646" s="141" t="e">
        <f t="shared" si="128"/>
        <v>#REF!</v>
      </c>
      <c r="J1646" t="e">
        <f t="shared" si="129"/>
        <v>#REF!</v>
      </c>
      <c r="K1646" s="141" t="e">
        <f t="shared" si="130"/>
        <v>#REF!</v>
      </c>
    </row>
    <row r="1647" spans="1:11" hidden="1" x14ac:dyDescent="0.25">
      <c r="A1647" t="e">
        <f>#REF!</f>
        <v>#REF!</v>
      </c>
      <c r="B1647" t="e">
        <f>#REF!</f>
        <v>#REF!</v>
      </c>
      <c r="C1647" t="e">
        <f>#REF!</f>
        <v>#REF!</v>
      </c>
      <c r="D1647" t="e">
        <f>#REF!</f>
        <v>#REF!</v>
      </c>
      <c r="E1647" t="e">
        <f>#REF!</f>
        <v>#REF!</v>
      </c>
      <c r="G1647" t="e">
        <f t="shared" si="126"/>
        <v>#REF!</v>
      </c>
      <c r="H1647" t="e">
        <f t="shared" si="127"/>
        <v>#REF!</v>
      </c>
      <c r="I1647" s="141" t="e">
        <f t="shared" si="128"/>
        <v>#REF!</v>
      </c>
      <c r="J1647" t="e">
        <f t="shared" si="129"/>
        <v>#REF!</v>
      </c>
      <c r="K1647" s="141" t="e">
        <f t="shared" si="130"/>
        <v>#REF!</v>
      </c>
    </row>
    <row r="1648" spans="1:11" hidden="1" x14ac:dyDescent="0.25">
      <c r="A1648" t="e">
        <f>#REF!</f>
        <v>#REF!</v>
      </c>
      <c r="B1648" t="e">
        <f>#REF!</f>
        <v>#REF!</v>
      </c>
      <c r="C1648" t="e">
        <f>#REF!</f>
        <v>#REF!</v>
      </c>
      <c r="D1648" t="e">
        <f>#REF!</f>
        <v>#REF!</v>
      </c>
      <c r="E1648" t="e">
        <f>#REF!</f>
        <v>#REF!</v>
      </c>
      <c r="G1648" t="e">
        <f t="shared" si="126"/>
        <v>#REF!</v>
      </c>
      <c r="H1648" t="e">
        <f t="shared" si="127"/>
        <v>#REF!</v>
      </c>
      <c r="I1648" s="141" t="e">
        <f t="shared" si="128"/>
        <v>#REF!</v>
      </c>
      <c r="J1648" t="e">
        <f t="shared" si="129"/>
        <v>#REF!</v>
      </c>
      <c r="K1648" s="141" t="e">
        <f t="shared" si="130"/>
        <v>#REF!</v>
      </c>
    </row>
    <row r="1649" spans="1:11" hidden="1" x14ac:dyDescent="0.25">
      <c r="A1649" t="e">
        <f>#REF!</f>
        <v>#REF!</v>
      </c>
      <c r="B1649" t="e">
        <f>#REF!</f>
        <v>#REF!</v>
      </c>
      <c r="C1649" t="e">
        <f>#REF!</f>
        <v>#REF!</v>
      </c>
      <c r="D1649" t="e">
        <f>#REF!</f>
        <v>#REF!</v>
      </c>
      <c r="E1649" t="e">
        <f>#REF!</f>
        <v>#REF!</v>
      </c>
      <c r="G1649" t="e">
        <f t="shared" si="126"/>
        <v>#REF!</v>
      </c>
      <c r="H1649" t="e">
        <f t="shared" si="127"/>
        <v>#REF!</v>
      </c>
      <c r="I1649" s="141" t="e">
        <f t="shared" si="128"/>
        <v>#REF!</v>
      </c>
      <c r="J1649" t="e">
        <f t="shared" si="129"/>
        <v>#REF!</v>
      </c>
      <c r="K1649" s="141" t="e">
        <f t="shared" si="130"/>
        <v>#REF!</v>
      </c>
    </row>
    <row r="1650" spans="1:11" hidden="1" x14ac:dyDescent="0.25">
      <c r="A1650" t="e">
        <f>#REF!</f>
        <v>#REF!</v>
      </c>
      <c r="B1650" t="e">
        <f>#REF!</f>
        <v>#REF!</v>
      </c>
      <c r="C1650" t="e">
        <f>#REF!</f>
        <v>#REF!</v>
      </c>
      <c r="D1650" t="e">
        <f>#REF!</f>
        <v>#REF!</v>
      </c>
      <c r="E1650" t="e">
        <f>#REF!</f>
        <v>#REF!</v>
      </c>
      <c r="G1650" t="e">
        <f t="shared" si="126"/>
        <v>#REF!</v>
      </c>
      <c r="H1650" t="e">
        <f t="shared" si="127"/>
        <v>#REF!</v>
      </c>
      <c r="I1650" s="141" t="e">
        <f t="shared" si="128"/>
        <v>#REF!</v>
      </c>
      <c r="J1650" t="e">
        <f t="shared" si="129"/>
        <v>#REF!</v>
      </c>
      <c r="K1650" s="141" t="e">
        <f t="shared" si="130"/>
        <v>#REF!</v>
      </c>
    </row>
    <row r="1651" spans="1:11" hidden="1" x14ac:dyDescent="0.25">
      <c r="A1651" t="e">
        <f>#REF!</f>
        <v>#REF!</v>
      </c>
      <c r="B1651" t="e">
        <f>#REF!</f>
        <v>#REF!</v>
      </c>
      <c r="C1651" t="e">
        <f>#REF!</f>
        <v>#REF!</v>
      </c>
      <c r="D1651" t="e">
        <f>#REF!</f>
        <v>#REF!</v>
      </c>
      <c r="E1651" t="e">
        <f>#REF!</f>
        <v>#REF!</v>
      </c>
      <c r="G1651" t="e">
        <f t="shared" si="126"/>
        <v>#REF!</v>
      </c>
      <c r="H1651" t="e">
        <f t="shared" si="127"/>
        <v>#REF!</v>
      </c>
      <c r="I1651" s="141" t="e">
        <f t="shared" si="128"/>
        <v>#REF!</v>
      </c>
      <c r="J1651" t="e">
        <f t="shared" si="129"/>
        <v>#REF!</v>
      </c>
      <c r="K1651" s="141" t="e">
        <f t="shared" si="130"/>
        <v>#REF!</v>
      </c>
    </row>
    <row r="1652" spans="1:11" hidden="1" x14ac:dyDescent="0.25">
      <c r="A1652" t="e">
        <f>#REF!</f>
        <v>#REF!</v>
      </c>
      <c r="B1652" t="e">
        <f>#REF!</f>
        <v>#REF!</v>
      </c>
      <c r="C1652" t="e">
        <f>#REF!</f>
        <v>#REF!</v>
      </c>
      <c r="D1652" t="e">
        <f>#REF!</f>
        <v>#REF!</v>
      </c>
      <c r="E1652" t="e">
        <f>#REF!</f>
        <v>#REF!</v>
      </c>
      <c r="G1652" t="e">
        <f t="shared" si="126"/>
        <v>#REF!</v>
      </c>
      <c r="H1652" t="e">
        <f t="shared" si="127"/>
        <v>#REF!</v>
      </c>
      <c r="I1652" s="141" t="e">
        <f t="shared" si="128"/>
        <v>#REF!</v>
      </c>
      <c r="J1652" t="e">
        <f t="shared" si="129"/>
        <v>#REF!</v>
      </c>
      <c r="K1652" s="141" t="e">
        <f t="shared" si="130"/>
        <v>#REF!</v>
      </c>
    </row>
    <row r="1653" spans="1:11" hidden="1" x14ac:dyDescent="0.25">
      <c r="A1653" t="e">
        <f>#REF!</f>
        <v>#REF!</v>
      </c>
      <c r="B1653" t="e">
        <f>#REF!</f>
        <v>#REF!</v>
      </c>
      <c r="C1653" t="e">
        <f>#REF!</f>
        <v>#REF!</v>
      </c>
      <c r="D1653" t="e">
        <f>#REF!</f>
        <v>#REF!</v>
      </c>
      <c r="E1653" t="e">
        <f>#REF!</f>
        <v>#REF!</v>
      </c>
      <c r="G1653" t="e">
        <f t="shared" si="126"/>
        <v>#REF!</v>
      </c>
      <c r="H1653" t="e">
        <f t="shared" si="127"/>
        <v>#REF!</v>
      </c>
      <c r="I1653" s="141" t="e">
        <f t="shared" si="128"/>
        <v>#REF!</v>
      </c>
      <c r="J1653" t="e">
        <f t="shared" si="129"/>
        <v>#REF!</v>
      </c>
      <c r="K1653" s="141" t="e">
        <f t="shared" si="130"/>
        <v>#REF!</v>
      </c>
    </row>
    <row r="1654" spans="1:11" hidden="1" x14ac:dyDescent="0.25">
      <c r="A1654" t="e">
        <f>#REF!</f>
        <v>#REF!</v>
      </c>
      <c r="B1654" t="e">
        <f>#REF!</f>
        <v>#REF!</v>
      </c>
      <c r="C1654" t="e">
        <f>#REF!</f>
        <v>#REF!</v>
      </c>
      <c r="D1654" t="e">
        <f>#REF!</f>
        <v>#REF!</v>
      </c>
      <c r="E1654" t="e">
        <f>#REF!</f>
        <v>#REF!</v>
      </c>
      <c r="G1654" t="e">
        <f t="shared" si="126"/>
        <v>#REF!</v>
      </c>
      <c r="H1654" t="e">
        <f t="shared" si="127"/>
        <v>#REF!</v>
      </c>
      <c r="I1654" s="141" t="e">
        <f t="shared" si="128"/>
        <v>#REF!</v>
      </c>
      <c r="J1654" t="e">
        <f t="shared" si="129"/>
        <v>#REF!</v>
      </c>
      <c r="K1654" s="141" t="e">
        <f t="shared" si="130"/>
        <v>#REF!</v>
      </c>
    </row>
    <row r="1655" spans="1:11" hidden="1" x14ac:dyDescent="0.25">
      <c r="A1655" t="e">
        <f>#REF!</f>
        <v>#REF!</v>
      </c>
      <c r="B1655" t="e">
        <f>#REF!</f>
        <v>#REF!</v>
      </c>
      <c r="C1655" t="e">
        <f>#REF!</f>
        <v>#REF!</v>
      </c>
      <c r="D1655" t="e">
        <f>#REF!</f>
        <v>#REF!</v>
      </c>
      <c r="E1655" t="e">
        <f>#REF!</f>
        <v>#REF!</v>
      </c>
      <c r="G1655" t="e">
        <f t="shared" si="126"/>
        <v>#REF!</v>
      </c>
      <c r="H1655" t="e">
        <f t="shared" si="127"/>
        <v>#REF!</v>
      </c>
      <c r="I1655" s="141" t="e">
        <f t="shared" si="128"/>
        <v>#REF!</v>
      </c>
      <c r="J1655" t="e">
        <f t="shared" si="129"/>
        <v>#REF!</v>
      </c>
      <c r="K1655" s="141" t="e">
        <f t="shared" si="130"/>
        <v>#REF!</v>
      </c>
    </row>
    <row r="1656" spans="1:11" hidden="1" x14ac:dyDescent="0.25">
      <c r="A1656" t="e">
        <f>#REF!</f>
        <v>#REF!</v>
      </c>
      <c r="B1656" t="e">
        <f>#REF!</f>
        <v>#REF!</v>
      </c>
      <c r="C1656" t="e">
        <f>#REF!</f>
        <v>#REF!</v>
      </c>
      <c r="D1656" t="e">
        <f>#REF!</f>
        <v>#REF!</v>
      </c>
      <c r="E1656" t="e">
        <f>#REF!</f>
        <v>#REF!</v>
      </c>
      <c r="G1656" t="e">
        <f t="shared" si="126"/>
        <v>#REF!</v>
      </c>
      <c r="H1656" t="e">
        <f t="shared" si="127"/>
        <v>#REF!</v>
      </c>
      <c r="I1656" s="141" t="e">
        <f t="shared" si="128"/>
        <v>#REF!</v>
      </c>
      <c r="J1656" t="e">
        <f t="shared" si="129"/>
        <v>#REF!</v>
      </c>
      <c r="K1656" s="141" t="e">
        <f t="shared" si="130"/>
        <v>#REF!</v>
      </c>
    </row>
    <row r="1657" spans="1:11" hidden="1" x14ac:dyDescent="0.25">
      <c r="A1657" t="e">
        <f>#REF!</f>
        <v>#REF!</v>
      </c>
      <c r="B1657" t="e">
        <f>#REF!</f>
        <v>#REF!</v>
      </c>
      <c r="C1657" t="e">
        <f>#REF!</f>
        <v>#REF!</v>
      </c>
      <c r="D1657" t="e">
        <f>#REF!</f>
        <v>#REF!</v>
      </c>
      <c r="E1657" t="e">
        <f>#REF!</f>
        <v>#REF!</v>
      </c>
      <c r="G1657" t="e">
        <f t="shared" si="126"/>
        <v>#REF!</v>
      </c>
      <c r="H1657" t="e">
        <f t="shared" si="127"/>
        <v>#REF!</v>
      </c>
      <c r="I1657" s="141" t="e">
        <f t="shared" si="128"/>
        <v>#REF!</v>
      </c>
      <c r="J1657" t="e">
        <f t="shared" si="129"/>
        <v>#REF!</v>
      </c>
      <c r="K1657" s="141" t="e">
        <f t="shared" si="130"/>
        <v>#REF!</v>
      </c>
    </row>
    <row r="1658" spans="1:11" hidden="1" x14ac:dyDescent="0.25">
      <c r="A1658" t="e">
        <f>#REF!</f>
        <v>#REF!</v>
      </c>
      <c r="B1658" t="e">
        <f>#REF!</f>
        <v>#REF!</v>
      </c>
      <c r="C1658" t="e">
        <f>#REF!</f>
        <v>#REF!</v>
      </c>
      <c r="D1658" t="e">
        <f>#REF!</f>
        <v>#REF!</v>
      </c>
      <c r="E1658" t="e">
        <f>#REF!</f>
        <v>#REF!</v>
      </c>
      <c r="G1658" t="e">
        <f t="shared" si="126"/>
        <v>#REF!</v>
      </c>
      <c r="H1658" t="e">
        <f t="shared" si="127"/>
        <v>#REF!</v>
      </c>
      <c r="I1658" s="141" t="e">
        <f t="shared" si="128"/>
        <v>#REF!</v>
      </c>
      <c r="J1658" t="e">
        <f t="shared" si="129"/>
        <v>#REF!</v>
      </c>
      <c r="K1658" s="141" t="e">
        <f t="shared" si="130"/>
        <v>#REF!</v>
      </c>
    </row>
    <row r="1659" spans="1:11" hidden="1" x14ac:dyDescent="0.25">
      <c r="A1659" t="e">
        <f>#REF!</f>
        <v>#REF!</v>
      </c>
      <c r="B1659" t="e">
        <f>#REF!</f>
        <v>#REF!</v>
      </c>
      <c r="C1659" t="e">
        <f>#REF!</f>
        <v>#REF!</v>
      </c>
      <c r="D1659" t="e">
        <f>#REF!</f>
        <v>#REF!</v>
      </c>
      <c r="E1659" t="e">
        <f>#REF!</f>
        <v>#REF!</v>
      </c>
      <c r="G1659" t="e">
        <f t="shared" si="126"/>
        <v>#REF!</v>
      </c>
      <c r="H1659" t="e">
        <f t="shared" si="127"/>
        <v>#REF!</v>
      </c>
      <c r="I1659" s="141" t="e">
        <f t="shared" si="128"/>
        <v>#REF!</v>
      </c>
      <c r="J1659" t="e">
        <f t="shared" si="129"/>
        <v>#REF!</v>
      </c>
      <c r="K1659" s="141" t="e">
        <f t="shared" si="130"/>
        <v>#REF!</v>
      </c>
    </row>
    <row r="1660" spans="1:11" hidden="1" x14ac:dyDescent="0.25">
      <c r="A1660" t="e">
        <f>#REF!</f>
        <v>#REF!</v>
      </c>
      <c r="B1660" t="e">
        <f>#REF!</f>
        <v>#REF!</v>
      </c>
      <c r="C1660" t="e">
        <f>#REF!</f>
        <v>#REF!</v>
      </c>
      <c r="D1660" t="e">
        <f>#REF!</f>
        <v>#REF!</v>
      </c>
      <c r="E1660" t="e">
        <f>#REF!</f>
        <v>#REF!</v>
      </c>
      <c r="G1660" t="e">
        <f t="shared" si="126"/>
        <v>#REF!</v>
      </c>
      <c r="H1660" t="e">
        <f t="shared" si="127"/>
        <v>#REF!</v>
      </c>
      <c r="I1660" s="141" t="e">
        <f t="shared" si="128"/>
        <v>#REF!</v>
      </c>
      <c r="J1660" t="e">
        <f t="shared" si="129"/>
        <v>#REF!</v>
      </c>
      <c r="K1660" s="141" t="e">
        <f t="shared" si="130"/>
        <v>#REF!</v>
      </c>
    </row>
    <row r="1661" spans="1:11" hidden="1" x14ac:dyDescent="0.25">
      <c r="A1661" t="e">
        <f>#REF!</f>
        <v>#REF!</v>
      </c>
      <c r="B1661" t="e">
        <f>#REF!</f>
        <v>#REF!</v>
      </c>
      <c r="C1661" t="e">
        <f>#REF!</f>
        <v>#REF!</v>
      </c>
      <c r="D1661" t="e">
        <f>#REF!</f>
        <v>#REF!</v>
      </c>
      <c r="E1661" t="e">
        <f>#REF!</f>
        <v>#REF!</v>
      </c>
      <c r="G1661" t="e">
        <f t="shared" si="126"/>
        <v>#REF!</v>
      </c>
      <c r="H1661" t="e">
        <f t="shared" si="127"/>
        <v>#REF!</v>
      </c>
      <c r="I1661" s="141" t="e">
        <f t="shared" si="128"/>
        <v>#REF!</v>
      </c>
      <c r="J1661" t="e">
        <f t="shared" si="129"/>
        <v>#REF!</v>
      </c>
      <c r="K1661" s="141" t="e">
        <f t="shared" si="130"/>
        <v>#REF!</v>
      </c>
    </row>
    <row r="1662" spans="1:11" hidden="1" x14ac:dyDescent="0.25">
      <c r="A1662" t="e">
        <f>#REF!</f>
        <v>#REF!</v>
      </c>
      <c r="B1662" t="e">
        <f>#REF!</f>
        <v>#REF!</v>
      </c>
      <c r="C1662" t="e">
        <f>#REF!</f>
        <v>#REF!</v>
      </c>
      <c r="D1662" t="e">
        <f>#REF!</f>
        <v>#REF!</v>
      </c>
      <c r="E1662" t="e">
        <f>#REF!</f>
        <v>#REF!</v>
      </c>
      <c r="G1662" t="e">
        <f t="shared" si="126"/>
        <v>#REF!</v>
      </c>
      <c r="H1662" t="e">
        <f t="shared" si="127"/>
        <v>#REF!</v>
      </c>
      <c r="I1662" s="141" t="e">
        <f t="shared" si="128"/>
        <v>#REF!</v>
      </c>
      <c r="J1662" t="e">
        <f t="shared" si="129"/>
        <v>#REF!</v>
      </c>
      <c r="K1662" s="141" t="e">
        <f t="shared" si="130"/>
        <v>#REF!</v>
      </c>
    </row>
    <row r="1663" spans="1:11" hidden="1" x14ac:dyDescent="0.25">
      <c r="A1663" t="e">
        <f>#REF!</f>
        <v>#REF!</v>
      </c>
      <c r="B1663" t="e">
        <f>#REF!</f>
        <v>#REF!</v>
      </c>
      <c r="C1663" t="e">
        <f>#REF!</f>
        <v>#REF!</v>
      </c>
      <c r="D1663" t="e">
        <f>#REF!</f>
        <v>#REF!</v>
      </c>
      <c r="E1663" t="e">
        <f>#REF!</f>
        <v>#REF!</v>
      </c>
      <c r="G1663" t="e">
        <f t="shared" si="126"/>
        <v>#REF!</v>
      </c>
      <c r="H1663" t="e">
        <f t="shared" si="127"/>
        <v>#REF!</v>
      </c>
      <c r="I1663" s="141" t="e">
        <f t="shared" si="128"/>
        <v>#REF!</v>
      </c>
      <c r="J1663" t="e">
        <f t="shared" si="129"/>
        <v>#REF!</v>
      </c>
      <c r="K1663" s="141" t="e">
        <f t="shared" si="130"/>
        <v>#REF!</v>
      </c>
    </row>
    <row r="1664" spans="1:11" hidden="1" x14ac:dyDescent="0.25">
      <c r="A1664" t="e">
        <f>#REF!</f>
        <v>#REF!</v>
      </c>
      <c r="B1664" t="e">
        <f>#REF!</f>
        <v>#REF!</v>
      </c>
      <c r="C1664" t="e">
        <f>#REF!</f>
        <v>#REF!</v>
      </c>
      <c r="D1664" t="e">
        <f>#REF!</f>
        <v>#REF!</v>
      </c>
      <c r="E1664" t="e">
        <f>#REF!</f>
        <v>#REF!</v>
      </c>
      <c r="G1664" t="e">
        <f t="shared" si="126"/>
        <v>#REF!</v>
      </c>
      <c r="H1664" t="e">
        <f t="shared" si="127"/>
        <v>#REF!</v>
      </c>
      <c r="I1664" s="141" t="e">
        <f t="shared" si="128"/>
        <v>#REF!</v>
      </c>
      <c r="J1664" t="e">
        <f t="shared" si="129"/>
        <v>#REF!</v>
      </c>
      <c r="K1664" s="141" t="e">
        <f t="shared" si="130"/>
        <v>#REF!</v>
      </c>
    </row>
    <row r="1665" spans="1:11" hidden="1" x14ac:dyDescent="0.25">
      <c r="A1665" t="e">
        <f>#REF!</f>
        <v>#REF!</v>
      </c>
      <c r="B1665" t="e">
        <f>#REF!</f>
        <v>#REF!</v>
      </c>
      <c r="C1665" t="e">
        <f>#REF!</f>
        <v>#REF!</v>
      </c>
      <c r="D1665" t="e">
        <f>#REF!</f>
        <v>#REF!</v>
      </c>
      <c r="E1665" t="e">
        <f>#REF!</f>
        <v>#REF!</v>
      </c>
      <c r="G1665" t="e">
        <f t="shared" si="126"/>
        <v>#REF!</v>
      </c>
      <c r="H1665" t="e">
        <f t="shared" si="127"/>
        <v>#REF!</v>
      </c>
      <c r="I1665" s="141" t="e">
        <f t="shared" si="128"/>
        <v>#REF!</v>
      </c>
      <c r="J1665" t="e">
        <f t="shared" si="129"/>
        <v>#REF!</v>
      </c>
      <c r="K1665" s="141" t="e">
        <f t="shared" si="130"/>
        <v>#REF!</v>
      </c>
    </row>
    <row r="1666" spans="1:11" hidden="1" x14ac:dyDescent="0.25">
      <c r="A1666" t="e">
        <f>#REF!</f>
        <v>#REF!</v>
      </c>
      <c r="B1666" t="e">
        <f>#REF!</f>
        <v>#REF!</v>
      </c>
      <c r="C1666" t="e">
        <f>#REF!</f>
        <v>#REF!</v>
      </c>
      <c r="D1666" t="e">
        <f>#REF!</f>
        <v>#REF!</v>
      </c>
      <c r="E1666" t="e">
        <f>#REF!</f>
        <v>#REF!</v>
      </c>
      <c r="G1666" t="e">
        <f t="shared" ref="G1666:G1729" si="131">A1666</f>
        <v>#REF!</v>
      </c>
      <c r="H1666" t="e">
        <f t="shared" ref="H1666:H1729" si="132">B1666</f>
        <v>#REF!</v>
      </c>
      <c r="I1666" s="141" t="e">
        <f t="shared" ref="I1666:I1729" si="133">C1666</f>
        <v>#REF!</v>
      </c>
      <c r="J1666" t="e">
        <f t="shared" ref="J1666:J1729" si="134">D1666</f>
        <v>#REF!</v>
      </c>
      <c r="K1666" s="141" t="e">
        <f t="shared" ref="K1666:K1729" si="135">E1666</f>
        <v>#REF!</v>
      </c>
    </row>
    <row r="1667" spans="1:11" hidden="1" x14ac:dyDescent="0.25">
      <c r="A1667" t="e">
        <f>#REF!</f>
        <v>#REF!</v>
      </c>
      <c r="B1667" t="e">
        <f>#REF!</f>
        <v>#REF!</v>
      </c>
      <c r="C1667" t="e">
        <f>#REF!</f>
        <v>#REF!</v>
      </c>
      <c r="D1667" t="e">
        <f>#REF!</f>
        <v>#REF!</v>
      </c>
      <c r="E1667" t="e">
        <f>#REF!</f>
        <v>#REF!</v>
      </c>
      <c r="G1667" t="e">
        <f t="shared" si="131"/>
        <v>#REF!</v>
      </c>
      <c r="H1667" t="e">
        <f t="shared" si="132"/>
        <v>#REF!</v>
      </c>
      <c r="I1667" s="141" t="e">
        <f t="shared" si="133"/>
        <v>#REF!</v>
      </c>
      <c r="J1667" t="e">
        <f t="shared" si="134"/>
        <v>#REF!</v>
      </c>
      <c r="K1667" s="141" t="e">
        <f t="shared" si="135"/>
        <v>#REF!</v>
      </c>
    </row>
    <row r="1668" spans="1:11" hidden="1" x14ac:dyDescent="0.25">
      <c r="A1668" t="e">
        <f>#REF!</f>
        <v>#REF!</v>
      </c>
      <c r="B1668" t="e">
        <f>#REF!</f>
        <v>#REF!</v>
      </c>
      <c r="C1668" t="e">
        <f>#REF!</f>
        <v>#REF!</v>
      </c>
      <c r="D1668" t="e">
        <f>#REF!</f>
        <v>#REF!</v>
      </c>
      <c r="E1668" t="e">
        <f>#REF!</f>
        <v>#REF!</v>
      </c>
      <c r="G1668" t="e">
        <f t="shared" si="131"/>
        <v>#REF!</v>
      </c>
      <c r="H1668" t="e">
        <f t="shared" si="132"/>
        <v>#REF!</v>
      </c>
      <c r="I1668" s="141" t="e">
        <f t="shared" si="133"/>
        <v>#REF!</v>
      </c>
      <c r="J1668" t="e">
        <f t="shared" si="134"/>
        <v>#REF!</v>
      </c>
      <c r="K1668" s="141" t="e">
        <f t="shared" si="135"/>
        <v>#REF!</v>
      </c>
    </row>
    <row r="1669" spans="1:11" hidden="1" x14ac:dyDescent="0.25">
      <c r="A1669" t="e">
        <f>#REF!</f>
        <v>#REF!</v>
      </c>
      <c r="B1669" t="e">
        <f>#REF!</f>
        <v>#REF!</v>
      </c>
      <c r="C1669" t="e">
        <f>#REF!</f>
        <v>#REF!</v>
      </c>
      <c r="D1669" t="e">
        <f>#REF!</f>
        <v>#REF!</v>
      </c>
      <c r="E1669" t="e">
        <f>#REF!</f>
        <v>#REF!</v>
      </c>
      <c r="G1669" t="e">
        <f t="shared" si="131"/>
        <v>#REF!</v>
      </c>
      <c r="H1669" t="e">
        <f t="shared" si="132"/>
        <v>#REF!</v>
      </c>
      <c r="I1669" s="141" t="e">
        <f t="shared" si="133"/>
        <v>#REF!</v>
      </c>
      <c r="J1669" t="e">
        <f t="shared" si="134"/>
        <v>#REF!</v>
      </c>
      <c r="K1669" s="141" t="e">
        <f t="shared" si="135"/>
        <v>#REF!</v>
      </c>
    </row>
    <row r="1670" spans="1:11" hidden="1" x14ac:dyDescent="0.25">
      <c r="A1670" t="e">
        <f>#REF!</f>
        <v>#REF!</v>
      </c>
      <c r="B1670" t="e">
        <f>#REF!</f>
        <v>#REF!</v>
      </c>
      <c r="C1670" t="e">
        <f>#REF!</f>
        <v>#REF!</v>
      </c>
      <c r="D1670" t="e">
        <f>#REF!</f>
        <v>#REF!</v>
      </c>
      <c r="E1670" t="e">
        <f>#REF!</f>
        <v>#REF!</v>
      </c>
      <c r="G1670" t="e">
        <f t="shared" si="131"/>
        <v>#REF!</v>
      </c>
      <c r="H1670" t="e">
        <f t="shared" si="132"/>
        <v>#REF!</v>
      </c>
      <c r="I1670" s="141" t="e">
        <f t="shared" si="133"/>
        <v>#REF!</v>
      </c>
      <c r="J1670" t="e">
        <f t="shared" si="134"/>
        <v>#REF!</v>
      </c>
      <c r="K1670" s="141" t="e">
        <f t="shared" si="135"/>
        <v>#REF!</v>
      </c>
    </row>
    <row r="1671" spans="1:11" hidden="1" x14ac:dyDescent="0.25">
      <c r="A1671" t="e">
        <f>#REF!</f>
        <v>#REF!</v>
      </c>
      <c r="B1671" t="e">
        <f>#REF!</f>
        <v>#REF!</v>
      </c>
      <c r="C1671" t="e">
        <f>#REF!</f>
        <v>#REF!</v>
      </c>
      <c r="D1671" t="e">
        <f>#REF!</f>
        <v>#REF!</v>
      </c>
      <c r="E1671" t="e">
        <f>#REF!</f>
        <v>#REF!</v>
      </c>
      <c r="G1671" t="e">
        <f t="shared" si="131"/>
        <v>#REF!</v>
      </c>
      <c r="H1671" t="e">
        <f t="shared" si="132"/>
        <v>#REF!</v>
      </c>
      <c r="I1671" s="141" t="e">
        <f t="shared" si="133"/>
        <v>#REF!</v>
      </c>
      <c r="J1671" t="e">
        <f t="shared" si="134"/>
        <v>#REF!</v>
      </c>
      <c r="K1671" s="141" t="e">
        <f t="shared" si="135"/>
        <v>#REF!</v>
      </c>
    </row>
    <row r="1672" spans="1:11" hidden="1" x14ac:dyDescent="0.25">
      <c r="A1672" t="e">
        <f>#REF!</f>
        <v>#REF!</v>
      </c>
      <c r="B1672" t="e">
        <f>#REF!</f>
        <v>#REF!</v>
      </c>
      <c r="C1672" t="e">
        <f>#REF!</f>
        <v>#REF!</v>
      </c>
      <c r="D1672" t="e">
        <f>#REF!</f>
        <v>#REF!</v>
      </c>
      <c r="E1672" t="e">
        <f>#REF!</f>
        <v>#REF!</v>
      </c>
      <c r="G1672" t="e">
        <f t="shared" si="131"/>
        <v>#REF!</v>
      </c>
      <c r="H1672" t="e">
        <f t="shared" si="132"/>
        <v>#REF!</v>
      </c>
      <c r="I1672" s="141" t="e">
        <f t="shared" si="133"/>
        <v>#REF!</v>
      </c>
      <c r="J1672" t="e">
        <f t="shared" si="134"/>
        <v>#REF!</v>
      </c>
      <c r="K1672" s="141" t="e">
        <f t="shared" si="135"/>
        <v>#REF!</v>
      </c>
    </row>
    <row r="1673" spans="1:11" hidden="1" x14ac:dyDescent="0.25">
      <c r="A1673" t="e">
        <f>#REF!</f>
        <v>#REF!</v>
      </c>
      <c r="B1673" t="e">
        <f>#REF!</f>
        <v>#REF!</v>
      </c>
      <c r="C1673" t="e">
        <f>#REF!</f>
        <v>#REF!</v>
      </c>
      <c r="D1673" t="e">
        <f>#REF!</f>
        <v>#REF!</v>
      </c>
      <c r="E1673" t="e">
        <f>#REF!</f>
        <v>#REF!</v>
      </c>
      <c r="G1673" t="e">
        <f t="shared" si="131"/>
        <v>#REF!</v>
      </c>
      <c r="H1673" t="e">
        <f t="shared" si="132"/>
        <v>#REF!</v>
      </c>
      <c r="I1673" s="141" t="e">
        <f t="shared" si="133"/>
        <v>#REF!</v>
      </c>
      <c r="J1673" t="e">
        <f t="shared" si="134"/>
        <v>#REF!</v>
      </c>
      <c r="K1673" s="141" t="e">
        <f t="shared" si="135"/>
        <v>#REF!</v>
      </c>
    </row>
    <row r="1674" spans="1:11" hidden="1" x14ac:dyDescent="0.25">
      <c r="A1674" t="e">
        <f>#REF!</f>
        <v>#REF!</v>
      </c>
      <c r="B1674" t="e">
        <f>#REF!</f>
        <v>#REF!</v>
      </c>
      <c r="C1674" t="e">
        <f>#REF!</f>
        <v>#REF!</v>
      </c>
      <c r="D1674" t="e">
        <f>#REF!</f>
        <v>#REF!</v>
      </c>
      <c r="E1674" t="e">
        <f>#REF!</f>
        <v>#REF!</v>
      </c>
      <c r="G1674" t="e">
        <f t="shared" si="131"/>
        <v>#REF!</v>
      </c>
      <c r="H1674" t="e">
        <f t="shared" si="132"/>
        <v>#REF!</v>
      </c>
      <c r="I1674" s="141" t="e">
        <f t="shared" si="133"/>
        <v>#REF!</v>
      </c>
      <c r="J1674" t="e">
        <f t="shared" si="134"/>
        <v>#REF!</v>
      </c>
      <c r="K1674" s="141" t="e">
        <f t="shared" si="135"/>
        <v>#REF!</v>
      </c>
    </row>
    <row r="1675" spans="1:11" hidden="1" x14ac:dyDescent="0.25">
      <c r="A1675" t="e">
        <f>#REF!</f>
        <v>#REF!</v>
      </c>
      <c r="B1675" t="e">
        <f>#REF!</f>
        <v>#REF!</v>
      </c>
      <c r="C1675" t="e">
        <f>#REF!</f>
        <v>#REF!</v>
      </c>
      <c r="D1675" t="e">
        <f>#REF!</f>
        <v>#REF!</v>
      </c>
      <c r="E1675" t="e">
        <f>#REF!</f>
        <v>#REF!</v>
      </c>
      <c r="G1675" t="e">
        <f t="shared" si="131"/>
        <v>#REF!</v>
      </c>
      <c r="H1675" t="e">
        <f t="shared" si="132"/>
        <v>#REF!</v>
      </c>
      <c r="I1675" s="141" t="e">
        <f t="shared" si="133"/>
        <v>#REF!</v>
      </c>
      <c r="J1675" t="e">
        <f t="shared" si="134"/>
        <v>#REF!</v>
      </c>
      <c r="K1675" s="141" t="e">
        <f t="shared" si="135"/>
        <v>#REF!</v>
      </c>
    </row>
    <row r="1676" spans="1:11" hidden="1" x14ac:dyDescent="0.25">
      <c r="A1676" t="e">
        <f>#REF!</f>
        <v>#REF!</v>
      </c>
      <c r="B1676" t="e">
        <f>#REF!</f>
        <v>#REF!</v>
      </c>
      <c r="C1676" t="e">
        <f>#REF!</f>
        <v>#REF!</v>
      </c>
      <c r="D1676" t="e">
        <f>#REF!</f>
        <v>#REF!</v>
      </c>
      <c r="E1676" t="e">
        <f>#REF!</f>
        <v>#REF!</v>
      </c>
      <c r="G1676" t="e">
        <f t="shared" si="131"/>
        <v>#REF!</v>
      </c>
      <c r="H1676" t="e">
        <f t="shared" si="132"/>
        <v>#REF!</v>
      </c>
      <c r="I1676" s="141" t="e">
        <f t="shared" si="133"/>
        <v>#REF!</v>
      </c>
      <c r="J1676" t="e">
        <f t="shared" si="134"/>
        <v>#REF!</v>
      </c>
      <c r="K1676" s="141" t="e">
        <f t="shared" si="135"/>
        <v>#REF!</v>
      </c>
    </row>
    <row r="1677" spans="1:11" hidden="1" x14ac:dyDescent="0.25">
      <c r="A1677" t="e">
        <f>#REF!</f>
        <v>#REF!</v>
      </c>
      <c r="B1677" t="e">
        <f>#REF!</f>
        <v>#REF!</v>
      </c>
      <c r="C1677" t="e">
        <f>#REF!</f>
        <v>#REF!</v>
      </c>
      <c r="D1677" t="e">
        <f>#REF!</f>
        <v>#REF!</v>
      </c>
      <c r="E1677" t="e">
        <f>#REF!</f>
        <v>#REF!</v>
      </c>
      <c r="G1677" t="e">
        <f t="shared" si="131"/>
        <v>#REF!</v>
      </c>
      <c r="H1677" t="e">
        <f t="shared" si="132"/>
        <v>#REF!</v>
      </c>
      <c r="I1677" s="141" t="e">
        <f t="shared" si="133"/>
        <v>#REF!</v>
      </c>
      <c r="J1677" t="e">
        <f t="shared" si="134"/>
        <v>#REF!</v>
      </c>
      <c r="K1677" s="141" t="e">
        <f t="shared" si="135"/>
        <v>#REF!</v>
      </c>
    </row>
    <row r="1678" spans="1:11" hidden="1" x14ac:dyDescent="0.25">
      <c r="A1678" t="e">
        <f>#REF!</f>
        <v>#REF!</v>
      </c>
      <c r="B1678" t="e">
        <f>#REF!</f>
        <v>#REF!</v>
      </c>
      <c r="C1678" t="e">
        <f>#REF!</f>
        <v>#REF!</v>
      </c>
      <c r="D1678" t="e">
        <f>#REF!</f>
        <v>#REF!</v>
      </c>
      <c r="E1678" t="e">
        <f>#REF!</f>
        <v>#REF!</v>
      </c>
      <c r="G1678" t="e">
        <f t="shared" si="131"/>
        <v>#REF!</v>
      </c>
      <c r="H1678" t="e">
        <f t="shared" si="132"/>
        <v>#REF!</v>
      </c>
      <c r="I1678" s="141" t="e">
        <f t="shared" si="133"/>
        <v>#REF!</v>
      </c>
      <c r="J1678" t="e">
        <f t="shared" si="134"/>
        <v>#REF!</v>
      </c>
      <c r="K1678" s="141" t="e">
        <f t="shared" si="135"/>
        <v>#REF!</v>
      </c>
    </row>
    <row r="1679" spans="1:11" hidden="1" x14ac:dyDescent="0.25">
      <c r="A1679" t="e">
        <f>#REF!</f>
        <v>#REF!</v>
      </c>
      <c r="B1679" t="e">
        <f>#REF!</f>
        <v>#REF!</v>
      </c>
      <c r="C1679" t="e">
        <f>#REF!</f>
        <v>#REF!</v>
      </c>
      <c r="D1679" t="e">
        <f>#REF!</f>
        <v>#REF!</v>
      </c>
      <c r="E1679" t="e">
        <f>#REF!</f>
        <v>#REF!</v>
      </c>
      <c r="G1679" t="e">
        <f t="shared" si="131"/>
        <v>#REF!</v>
      </c>
      <c r="H1679" t="e">
        <f t="shared" si="132"/>
        <v>#REF!</v>
      </c>
      <c r="I1679" s="141" t="e">
        <f t="shared" si="133"/>
        <v>#REF!</v>
      </c>
      <c r="J1679" t="e">
        <f t="shared" si="134"/>
        <v>#REF!</v>
      </c>
      <c r="K1679" s="141" t="e">
        <f t="shared" si="135"/>
        <v>#REF!</v>
      </c>
    </row>
    <row r="1680" spans="1:11" hidden="1" x14ac:dyDescent="0.25">
      <c r="A1680" t="e">
        <f>#REF!</f>
        <v>#REF!</v>
      </c>
      <c r="B1680" t="e">
        <f>#REF!</f>
        <v>#REF!</v>
      </c>
      <c r="C1680" t="e">
        <f>#REF!</f>
        <v>#REF!</v>
      </c>
      <c r="D1680" t="e">
        <f>#REF!</f>
        <v>#REF!</v>
      </c>
      <c r="E1680" t="e">
        <f>#REF!</f>
        <v>#REF!</v>
      </c>
      <c r="G1680" t="e">
        <f t="shared" si="131"/>
        <v>#REF!</v>
      </c>
      <c r="H1680" t="e">
        <f t="shared" si="132"/>
        <v>#REF!</v>
      </c>
      <c r="I1680" s="141" t="e">
        <f t="shared" si="133"/>
        <v>#REF!</v>
      </c>
      <c r="J1680" t="e">
        <f t="shared" si="134"/>
        <v>#REF!</v>
      </c>
      <c r="K1680" s="141" t="e">
        <f t="shared" si="135"/>
        <v>#REF!</v>
      </c>
    </row>
    <row r="1681" spans="1:11" hidden="1" x14ac:dyDescent="0.25">
      <c r="A1681" t="e">
        <f>#REF!</f>
        <v>#REF!</v>
      </c>
      <c r="B1681" t="e">
        <f>#REF!</f>
        <v>#REF!</v>
      </c>
      <c r="C1681" t="e">
        <f>#REF!</f>
        <v>#REF!</v>
      </c>
      <c r="D1681" t="e">
        <f>#REF!</f>
        <v>#REF!</v>
      </c>
      <c r="E1681" t="e">
        <f>#REF!</f>
        <v>#REF!</v>
      </c>
      <c r="G1681" t="e">
        <f t="shared" si="131"/>
        <v>#REF!</v>
      </c>
      <c r="H1681" t="e">
        <f t="shared" si="132"/>
        <v>#REF!</v>
      </c>
      <c r="I1681" s="141" t="e">
        <f t="shared" si="133"/>
        <v>#REF!</v>
      </c>
      <c r="J1681" t="e">
        <f t="shared" si="134"/>
        <v>#REF!</v>
      </c>
      <c r="K1681" s="141" t="e">
        <f t="shared" si="135"/>
        <v>#REF!</v>
      </c>
    </row>
    <row r="1682" spans="1:11" hidden="1" x14ac:dyDescent="0.25">
      <c r="A1682" t="e">
        <f>#REF!</f>
        <v>#REF!</v>
      </c>
      <c r="B1682" t="e">
        <f>#REF!</f>
        <v>#REF!</v>
      </c>
      <c r="C1682" t="e">
        <f>#REF!</f>
        <v>#REF!</v>
      </c>
      <c r="D1682" t="e">
        <f>#REF!</f>
        <v>#REF!</v>
      </c>
      <c r="E1682" t="e">
        <f>#REF!</f>
        <v>#REF!</v>
      </c>
      <c r="G1682" t="e">
        <f t="shared" si="131"/>
        <v>#REF!</v>
      </c>
      <c r="H1682" t="e">
        <f t="shared" si="132"/>
        <v>#REF!</v>
      </c>
      <c r="I1682" s="141" t="e">
        <f t="shared" si="133"/>
        <v>#REF!</v>
      </c>
      <c r="J1682" t="e">
        <f t="shared" si="134"/>
        <v>#REF!</v>
      </c>
      <c r="K1682" s="141" t="e">
        <f t="shared" si="135"/>
        <v>#REF!</v>
      </c>
    </row>
    <row r="1683" spans="1:11" hidden="1" x14ac:dyDescent="0.25">
      <c r="A1683" t="e">
        <f>#REF!</f>
        <v>#REF!</v>
      </c>
      <c r="B1683" t="e">
        <f>#REF!</f>
        <v>#REF!</v>
      </c>
      <c r="C1683" t="e">
        <f>#REF!</f>
        <v>#REF!</v>
      </c>
      <c r="D1683" t="e">
        <f>#REF!</f>
        <v>#REF!</v>
      </c>
      <c r="E1683" t="e">
        <f>#REF!</f>
        <v>#REF!</v>
      </c>
      <c r="G1683" t="e">
        <f t="shared" si="131"/>
        <v>#REF!</v>
      </c>
      <c r="H1683" t="e">
        <f t="shared" si="132"/>
        <v>#REF!</v>
      </c>
      <c r="I1683" s="141" t="e">
        <f t="shared" si="133"/>
        <v>#REF!</v>
      </c>
      <c r="J1683" t="e">
        <f t="shared" si="134"/>
        <v>#REF!</v>
      </c>
      <c r="K1683" s="141" t="e">
        <f t="shared" si="135"/>
        <v>#REF!</v>
      </c>
    </row>
    <row r="1684" spans="1:11" hidden="1" x14ac:dyDescent="0.25">
      <c r="A1684" t="e">
        <f>#REF!</f>
        <v>#REF!</v>
      </c>
      <c r="B1684" t="e">
        <f>#REF!</f>
        <v>#REF!</v>
      </c>
      <c r="C1684" t="e">
        <f>#REF!</f>
        <v>#REF!</v>
      </c>
      <c r="D1684" t="e">
        <f>#REF!</f>
        <v>#REF!</v>
      </c>
      <c r="E1684" t="e">
        <f>#REF!</f>
        <v>#REF!</v>
      </c>
      <c r="G1684" t="e">
        <f t="shared" si="131"/>
        <v>#REF!</v>
      </c>
      <c r="H1684" t="e">
        <f t="shared" si="132"/>
        <v>#REF!</v>
      </c>
      <c r="I1684" s="141" t="e">
        <f t="shared" si="133"/>
        <v>#REF!</v>
      </c>
      <c r="J1684" t="e">
        <f t="shared" si="134"/>
        <v>#REF!</v>
      </c>
      <c r="K1684" s="141" t="e">
        <f t="shared" si="135"/>
        <v>#REF!</v>
      </c>
    </row>
    <row r="1685" spans="1:11" hidden="1" x14ac:dyDescent="0.25">
      <c r="A1685" t="e">
        <f>#REF!</f>
        <v>#REF!</v>
      </c>
      <c r="B1685" t="e">
        <f>#REF!</f>
        <v>#REF!</v>
      </c>
      <c r="C1685" t="e">
        <f>#REF!</f>
        <v>#REF!</v>
      </c>
      <c r="D1685" t="e">
        <f>#REF!</f>
        <v>#REF!</v>
      </c>
      <c r="E1685" t="e">
        <f>#REF!</f>
        <v>#REF!</v>
      </c>
      <c r="G1685" t="e">
        <f t="shared" si="131"/>
        <v>#REF!</v>
      </c>
      <c r="H1685" t="e">
        <f t="shared" si="132"/>
        <v>#REF!</v>
      </c>
      <c r="I1685" s="141" t="e">
        <f t="shared" si="133"/>
        <v>#REF!</v>
      </c>
      <c r="J1685" t="e">
        <f t="shared" si="134"/>
        <v>#REF!</v>
      </c>
      <c r="K1685" s="141" t="e">
        <f t="shared" si="135"/>
        <v>#REF!</v>
      </c>
    </row>
    <row r="1686" spans="1:11" hidden="1" x14ac:dyDescent="0.25">
      <c r="A1686" t="e">
        <f>#REF!</f>
        <v>#REF!</v>
      </c>
      <c r="B1686" t="e">
        <f>#REF!</f>
        <v>#REF!</v>
      </c>
      <c r="C1686" t="e">
        <f>#REF!</f>
        <v>#REF!</v>
      </c>
      <c r="D1686" t="e">
        <f>#REF!</f>
        <v>#REF!</v>
      </c>
      <c r="E1686" t="e">
        <f>#REF!</f>
        <v>#REF!</v>
      </c>
      <c r="G1686" t="e">
        <f t="shared" si="131"/>
        <v>#REF!</v>
      </c>
      <c r="H1686" t="e">
        <f t="shared" si="132"/>
        <v>#REF!</v>
      </c>
      <c r="I1686" s="141" t="e">
        <f t="shared" si="133"/>
        <v>#REF!</v>
      </c>
      <c r="J1686" t="e">
        <f t="shared" si="134"/>
        <v>#REF!</v>
      </c>
      <c r="K1686" s="141" t="e">
        <f t="shared" si="135"/>
        <v>#REF!</v>
      </c>
    </row>
    <row r="1687" spans="1:11" hidden="1" x14ac:dyDescent="0.25">
      <c r="A1687" t="e">
        <f>#REF!</f>
        <v>#REF!</v>
      </c>
      <c r="B1687" t="e">
        <f>#REF!</f>
        <v>#REF!</v>
      </c>
      <c r="C1687" t="e">
        <f>#REF!</f>
        <v>#REF!</v>
      </c>
      <c r="D1687" t="e">
        <f>#REF!</f>
        <v>#REF!</v>
      </c>
      <c r="E1687" t="e">
        <f>#REF!</f>
        <v>#REF!</v>
      </c>
      <c r="G1687" t="e">
        <f t="shared" si="131"/>
        <v>#REF!</v>
      </c>
      <c r="H1687" t="e">
        <f t="shared" si="132"/>
        <v>#REF!</v>
      </c>
      <c r="I1687" s="141" t="e">
        <f t="shared" si="133"/>
        <v>#REF!</v>
      </c>
      <c r="J1687" t="e">
        <f t="shared" si="134"/>
        <v>#REF!</v>
      </c>
      <c r="K1687" s="141" t="e">
        <f t="shared" si="135"/>
        <v>#REF!</v>
      </c>
    </row>
    <row r="1688" spans="1:11" hidden="1" x14ac:dyDescent="0.25">
      <c r="A1688" t="e">
        <f>#REF!</f>
        <v>#REF!</v>
      </c>
      <c r="B1688" t="e">
        <f>#REF!</f>
        <v>#REF!</v>
      </c>
      <c r="C1688" t="e">
        <f>#REF!</f>
        <v>#REF!</v>
      </c>
      <c r="D1688" t="e">
        <f>#REF!</f>
        <v>#REF!</v>
      </c>
      <c r="E1688" t="e">
        <f>#REF!</f>
        <v>#REF!</v>
      </c>
      <c r="G1688" t="e">
        <f t="shared" si="131"/>
        <v>#REF!</v>
      </c>
      <c r="H1688" t="e">
        <f t="shared" si="132"/>
        <v>#REF!</v>
      </c>
      <c r="I1688" s="141" t="e">
        <f t="shared" si="133"/>
        <v>#REF!</v>
      </c>
      <c r="J1688" t="e">
        <f t="shared" si="134"/>
        <v>#REF!</v>
      </c>
      <c r="K1688" s="141" t="e">
        <f t="shared" si="135"/>
        <v>#REF!</v>
      </c>
    </row>
    <row r="1689" spans="1:11" hidden="1" x14ac:dyDescent="0.25">
      <c r="A1689" t="e">
        <f>#REF!</f>
        <v>#REF!</v>
      </c>
      <c r="B1689" t="e">
        <f>#REF!</f>
        <v>#REF!</v>
      </c>
      <c r="C1689" t="e">
        <f>#REF!</f>
        <v>#REF!</v>
      </c>
      <c r="D1689" t="e">
        <f>#REF!</f>
        <v>#REF!</v>
      </c>
      <c r="E1689" t="e">
        <f>#REF!</f>
        <v>#REF!</v>
      </c>
      <c r="G1689" t="e">
        <f t="shared" si="131"/>
        <v>#REF!</v>
      </c>
      <c r="H1689" t="e">
        <f t="shared" si="132"/>
        <v>#REF!</v>
      </c>
      <c r="I1689" s="141" t="e">
        <f t="shared" si="133"/>
        <v>#REF!</v>
      </c>
      <c r="J1689" t="e">
        <f t="shared" si="134"/>
        <v>#REF!</v>
      </c>
      <c r="K1689" s="141" t="e">
        <f t="shared" si="135"/>
        <v>#REF!</v>
      </c>
    </row>
    <row r="1690" spans="1:11" hidden="1" x14ac:dyDescent="0.25">
      <c r="A1690" t="e">
        <f>#REF!</f>
        <v>#REF!</v>
      </c>
      <c r="B1690" t="e">
        <f>#REF!</f>
        <v>#REF!</v>
      </c>
      <c r="C1690" t="e">
        <f>#REF!</f>
        <v>#REF!</v>
      </c>
      <c r="D1690" t="e">
        <f>#REF!</f>
        <v>#REF!</v>
      </c>
      <c r="E1690" t="e">
        <f>#REF!</f>
        <v>#REF!</v>
      </c>
      <c r="G1690" t="e">
        <f t="shared" si="131"/>
        <v>#REF!</v>
      </c>
      <c r="H1690" t="e">
        <f t="shared" si="132"/>
        <v>#REF!</v>
      </c>
      <c r="I1690" s="141" t="e">
        <f t="shared" si="133"/>
        <v>#REF!</v>
      </c>
      <c r="J1690" t="e">
        <f t="shared" si="134"/>
        <v>#REF!</v>
      </c>
      <c r="K1690" s="141" t="e">
        <f t="shared" si="135"/>
        <v>#REF!</v>
      </c>
    </row>
    <row r="1691" spans="1:11" hidden="1" x14ac:dyDescent="0.25">
      <c r="A1691" t="e">
        <f>#REF!</f>
        <v>#REF!</v>
      </c>
      <c r="B1691" t="e">
        <f>#REF!</f>
        <v>#REF!</v>
      </c>
      <c r="C1691" t="e">
        <f>#REF!</f>
        <v>#REF!</v>
      </c>
      <c r="D1691" t="e">
        <f>#REF!</f>
        <v>#REF!</v>
      </c>
      <c r="E1691" t="e">
        <f>#REF!</f>
        <v>#REF!</v>
      </c>
      <c r="G1691" t="e">
        <f t="shared" si="131"/>
        <v>#REF!</v>
      </c>
      <c r="H1691" t="e">
        <f t="shared" si="132"/>
        <v>#REF!</v>
      </c>
      <c r="I1691" s="141" t="e">
        <f t="shared" si="133"/>
        <v>#REF!</v>
      </c>
      <c r="J1691" t="e">
        <f t="shared" si="134"/>
        <v>#REF!</v>
      </c>
      <c r="K1691" s="141" t="e">
        <f t="shared" si="135"/>
        <v>#REF!</v>
      </c>
    </row>
    <row r="1692" spans="1:11" hidden="1" x14ac:dyDescent="0.25">
      <c r="A1692" t="e">
        <f>#REF!</f>
        <v>#REF!</v>
      </c>
      <c r="B1692" t="e">
        <f>#REF!</f>
        <v>#REF!</v>
      </c>
      <c r="C1692" t="e">
        <f>#REF!</f>
        <v>#REF!</v>
      </c>
      <c r="D1692" t="e">
        <f>#REF!</f>
        <v>#REF!</v>
      </c>
      <c r="E1692" t="e">
        <f>#REF!</f>
        <v>#REF!</v>
      </c>
      <c r="G1692" t="e">
        <f t="shared" si="131"/>
        <v>#REF!</v>
      </c>
      <c r="H1692" t="e">
        <f t="shared" si="132"/>
        <v>#REF!</v>
      </c>
      <c r="I1692" s="141" t="e">
        <f t="shared" si="133"/>
        <v>#REF!</v>
      </c>
      <c r="J1692" t="e">
        <f t="shared" si="134"/>
        <v>#REF!</v>
      </c>
      <c r="K1692" s="141" t="e">
        <f t="shared" si="135"/>
        <v>#REF!</v>
      </c>
    </row>
    <row r="1693" spans="1:11" hidden="1" x14ac:dyDescent="0.25">
      <c r="A1693" t="e">
        <f>#REF!</f>
        <v>#REF!</v>
      </c>
      <c r="B1693" t="e">
        <f>#REF!</f>
        <v>#REF!</v>
      </c>
      <c r="C1693" t="e">
        <f>#REF!</f>
        <v>#REF!</v>
      </c>
      <c r="D1693" t="e">
        <f>#REF!</f>
        <v>#REF!</v>
      </c>
      <c r="E1693" t="e">
        <f>#REF!</f>
        <v>#REF!</v>
      </c>
      <c r="G1693" t="e">
        <f t="shared" si="131"/>
        <v>#REF!</v>
      </c>
      <c r="H1693" t="e">
        <f t="shared" si="132"/>
        <v>#REF!</v>
      </c>
      <c r="I1693" s="141" t="e">
        <f t="shared" si="133"/>
        <v>#REF!</v>
      </c>
      <c r="J1693" t="e">
        <f t="shared" si="134"/>
        <v>#REF!</v>
      </c>
      <c r="K1693" s="141" t="e">
        <f t="shared" si="135"/>
        <v>#REF!</v>
      </c>
    </row>
    <row r="1694" spans="1:11" hidden="1" x14ac:dyDescent="0.25">
      <c r="A1694" t="e">
        <f>#REF!</f>
        <v>#REF!</v>
      </c>
      <c r="B1694" t="e">
        <f>#REF!</f>
        <v>#REF!</v>
      </c>
      <c r="C1694" t="e">
        <f>#REF!</f>
        <v>#REF!</v>
      </c>
      <c r="D1694" t="e">
        <f>#REF!</f>
        <v>#REF!</v>
      </c>
      <c r="E1694" t="e">
        <f>#REF!</f>
        <v>#REF!</v>
      </c>
      <c r="G1694" t="e">
        <f t="shared" si="131"/>
        <v>#REF!</v>
      </c>
      <c r="H1694" t="e">
        <f t="shared" si="132"/>
        <v>#REF!</v>
      </c>
      <c r="I1694" s="141" t="e">
        <f t="shared" si="133"/>
        <v>#REF!</v>
      </c>
      <c r="J1694" t="e">
        <f t="shared" si="134"/>
        <v>#REF!</v>
      </c>
      <c r="K1694" s="141" t="e">
        <f t="shared" si="135"/>
        <v>#REF!</v>
      </c>
    </row>
    <row r="1695" spans="1:11" hidden="1" x14ac:dyDescent="0.25">
      <c r="A1695" t="e">
        <f>#REF!</f>
        <v>#REF!</v>
      </c>
      <c r="B1695" t="e">
        <f>#REF!</f>
        <v>#REF!</v>
      </c>
      <c r="C1695" t="e">
        <f>#REF!</f>
        <v>#REF!</v>
      </c>
      <c r="D1695" t="e">
        <f>#REF!</f>
        <v>#REF!</v>
      </c>
      <c r="E1695" t="e">
        <f>#REF!</f>
        <v>#REF!</v>
      </c>
      <c r="G1695" t="e">
        <f t="shared" si="131"/>
        <v>#REF!</v>
      </c>
      <c r="H1695" t="e">
        <f t="shared" si="132"/>
        <v>#REF!</v>
      </c>
      <c r="I1695" s="141" t="e">
        <f t="shared" si="133"/>
        <v>#REF!</v>
      </c>
      <c r="J1695" t="e">
        <f t="shared" si="134"/>
        <v>#REF!</v>
      </c>
      <c r="K1695" s="141" t="e">
        <f t="shared" si="135"/>
        <v>#REF!</v>
      </c>
    </row>
    <row r="1696" spans="1:11" hidden="1" x14ac:dyDescent="0.25">
      <c r="A1696" t="e">
        <f>#REF!</f>
        <v>#REF!</v>
      </c>
      <c r="B1696" t="e">
        <f>#REF!</f>
        <v>#REF!</v>
      </c>
      <c r="C1696" t="e">
        <f>#REF!</f>
        <v>#REF!</v>
      </c>
      <c r="D1696" t="e">
        <f>#REF!</f>
        <v>#REF!</v>
      </c>
      <c r="E1696" t="e">
        <f>#REF!</f>
        <v>#REF!</v>
      </c>
      <c r="G1696" t="e">
        <f t="shared" si="131"/>
        <v>#REF!</v>
      </c>
      <c r="H1696" t="e">
        <f t="shared" si="132"/>
        <v>#REF!</v>
      </c>
      <c r="I1696" s="141" t="e">
        <f t="shared" si="133"/>
        <v>#REF!</v>
      </c>
      <c r="J1696" t="e">
        <f t="shared" si="134"/>
        <v>#REF!</v>
      </c>
      <c r="K1696" s="141" t="e">
        <f t="shared" si="135"/>
        <v>#REF!</v>
      </c>
    </row>
    <row r="1697" spans="1:11" hidden="1" x14ac:dyDescent="0.25">
      <c r="A1697" t="e">
        <f>#REF!</f>
        <v>#REF!</v>
      </c>
      <c r="B1697" t="e">
        <f>#REF!</f>
        <v>#REF!</v>
      </c>
      <c r="C1697" t="e">
        <f>#REF!</f>
        <v>#REF!</v>
      </c>
      <c r="D1697" t="e">
        <f>#REF!</f>
        <v>#REF!</v>
      </c>
      <c r="E1697" t="e">
        <f>#REF!</f>
        <v>#REF!</v>
      </c>
      <c r="G1697" t="e">
        <f t="shared" si="131"/>
        <v>#REF!</v>
      </c>
      <c r="H1697" t="e">
        <f t="shared" si="132"/>
        <v>#REF!</v>
      </c>
      <c r="I1697" s="141" t="e">
        <f t="shared" si="133"/>
        <v>#REF!</v>
      </c>
      <c r="J1697" t="e">
        <f t="shared" si="134"/>
        <v>#REF!</v>
      </c>
      <c r="K1697" s="141" t="e">
        <f t="shared" si="135"/>
        <v>#REF!</v>
      </c>
    </row>
    <row r="1698" spans="1:11" hidden="1" x14ac:dyDescent="0.25">
      <c r="A1698" t="e">
        <f>#REF!</f>
        <v>#REF!</v>
      </c>
      <c r="B1698" t="e">
        <f>#REF!</f>
        <v>#REF!</v>
      </c>
      <c r="C1698" t="e">
        <f>#REF!</f>
        <v>#REF!</v>
      </c>
      <c r="D1698" t="e">
        <f>#REF!</f>
        <v>#REF!</v>
      </c>
      <c r="E1698" t="e">
        <f>#REF!</f>
        <v>#REF!</v>
      </c>
      <c r="G1698" t="e">
        <f t="shared" si="131"/>
        <v>#REF!</v>
      </c>
      <c r="H1698" t="e">
        <f t="shared" si="132"/>
        <v>#REF!</v>
      </c>
      <c r="I1698" s="141" t="e">
        <f t="shared" si="133"/>
        <v>#REF!</v>
      </c>
      <c r="J1698" t="e">
        <f t="shared" si="134"/>
        <v>#REF!</v>
      </c>
      <c r="K1698" s="141" t="e">
        <f t="shared" si="135"/>
        <v>#REF!</v>
      </c>
    </row>
    <row r="1699" spans="1:11" hidden="1" x14ac:dyDescent="0.25">
      <c r="A1699" t="e">
        <f>#REF!</f>
        <v>#REF!</v>
      </c>
      <c r="B1699" t="e">
        <f>#REF!</f>
        <v>#REF!</v>
      </c>
      <c r="C1699" t="e">
        <f>#REF!</f>
        <v>#REF!</v>
      </c>
      <c r="D1699" t="e">
        <f>#REF!</f>
        <v>#REF!</v>
      </c>
      <c r="E1699" t="e">
        <f>#REF!</f>
        <v>#REF!</v>
      </c>
      <c r="G1699" t="e">
        <f t="shared" si="131"/>
        <v>#REF!</v>
      </c>
      <c r="H1699" t="e">
        <f t="shared" si="132"/>
        <v>#REF!</v>
      </c>
      <c r="I1699" s="141" t="e">
        <f t="shared" si="133"/>
        <v>#REF!</v>
      </c>
      <c r="J1699" t="e">
        <f t="shared" si="134"/>
        <v>#REF!</v>
      </c>
      <c r="K1699" s="141" t="e">
        <f t="shared" si="135"/>
        <v>#REF!</v>
      </c>
    </row>
    <row r="1700" spans="1:11" hidden="1" x14ac:dyDescent="0.25">
      <c r="A1700" t="e">
        <f>#REF!</f>
        <v>#REF!</v>
      </c>
      <c r="B1700" t="e">
        <f>#REF!</f>
        <v>#REF!</v>
      </c>
      <c r="C1700" t="e">
        <f>#REF!</f>
        <v>#REF!</v>
      </c>
      <c r="D1700" t="e">
        <f>#REF!</f>
        <v>#REF!</v>
      </c>
      <c r="E1700" t="e">
        <f>#REF!</f>
        <v>#REF!</v>
      </c>
      <c r="G1700" t="e">
        <f t="shared" si="131"/>
        <v>#REF!</v>
      </c>
      <c r="H1700" t="e">
        <f t="shared" si="132"/>
        <v>#REF!</v>
      </c>
      <c r="I1700" s="141" t="e">
        <f t="shared" si="133"/>
        <v>#REF!</v>
      </c>
      <c r="J1700" t="e">
        <f t="shared" si="134"/>
        <v>#REF!</v>
      </c>
      <c r="K1700" s="141" t="e">
        <f t="shared" si="135"/>
        <v>#REF!</v>
      </c>
    </row>
    <row r="1701" spans="1:11" hidden="1" x14ac:dyDescent="0.25">
      <c r="A1701" t="e">
        <f>#REF!</f>
        <v>#REF!</v>
      </c>
      <c r="B1701" t="e">
        <f>#REF!</f>
        <v>#REF!</v>
      </c>
      <c r="C1701" t="e">
        <f>#REF!</f>
        <v>#REF!</v>
      </c>
      <c r="D1701" t="e">
        <f>#REF!</f>
        <v>#REF!</v>
      </c>
      <c r="E1701" t="e">
        <f>#REF!</f>
        <v>#REF!</v>
      </c>
      <c r="G1701" t="e">
        <f t="shared" si="131"/>
        <v>#REF!</v>
      </c>
      <c r="H1701" t="e">
        <f t="shared" si="132"/>
        <v>#REF!</v>
      </c>
      <c r="I1701" s="141" t="e">
        <f t="shared" si="133"/>
        <v>#REF!</v>
      </c>
      <c r="J1701" t="e">
        <f t="shared" si="134"/>
        <v>#REF!</v>
      </c>
      <c r="K1701" s="141" t="e">
        <f t="shared" si="135"/>
        <v>#REF!</v>
      </c>
    </row>
    <row r="1702" spans="1:11" hidden="1" x14ac:dyDescent="0.25">
      <c r="A1702" t="e">
        <f>#REF!</f>
        <v>#REF!</v>
      </c>
      <c r="B1702" t="e">
        <f>#REF!</f>
        <v>#REF!</v>
      </c>
      <c r="C1702" t="e">
        <f>#REF!</f>
        <v>#REF!</v>
      </c>
      <c r="D1702" t="e">
        <f>#REF!</f>
        <v>#REF!</v>
      </c>
      <c r="E1702" t="e">
        <f>#REF!</f>
        <v>#REF!</v>
      </c>
      <c r="G1702" t="e">
        <f t="shared" si="131"/>
        <v>#REF!</v>
      </c>
      <c r="H1702" t="e">
        <f t="shared" si="132"/>
        <v>#REF!</v>
      </c>
      <c r="I1702" s="141" t="e">
        <f t="shared" si="133"/>
        <v>#REF!</v>
      </c>
      <c r="J1702" t="e">
        <f t="shared" si="134"/>
        <v>#REF!</v>
      </c>
      <c r="K1702" s="141" t="e">
        <f t="shared" si="135"/>
        <v>#REF!</v>
      </c>
    </row>
    <row r="1703" spans="1:11" hidden="1" x14ac:dyDescent="0.25">
      <c r="A1703" t="e">
        <f>#REF!</f>
        <v>#REF!</v>
      </c>
      <c r="B1703" t="e">
        <f>#REF!</f>
        <v>#REF!</v>
      </c>
      <c r="C1703" t="e">
        <f>#REF!</f>
        <v>#REF!</v>
      </c>
      <c r="D1703" t="e">
        <f>#REF!</f>
        <v>#REF!</v>
      </c>
      <c r="E1703" t="e">
        <f>#REF!</f>
        <v>#REF!</v>
      </c>
      <c r="G1703" t="e">
        <f t="shared" si="131"/>
        <v>#REF!</v>
      </c>
      <c r="H1703" t="e">
        <f t="shared" si="132"/>
        <v>#REF!</v>
      </c>
      <c r="I1703" s="141" t="e">
        <f t="shared" si="133"/>
        <v>#REF!</v>
      </c>
      <c r="J1703" t="e">
        <f t="shared" si="134"/>
        <v>#REF!</v>
      </c>
      <c r="K1703" s="141" t="e">
        <f t="shared" si="135"/>
        <v>#REF!</v>
      </c>
    </row>
    <row r="1704" spans="1:11" hidden="1" x14ac:dyDescent="0.25">
      <c r="A1704" t="e">
        <f>#REF!</f>
        <v>#REF!</v>
      </c>
      <c r="B1704" t="e">
        <f>#REF!</f>
        <v>#REF!</v>
      </c>
      <c r="C1704" t="e">
        <f>#REF!</f>
        <v>#REF!</v>
      </c>
      <c r="D1704" t="e">
        <f>#REF!</f>
        <v>#REF!</v>
      </c>
      <c r="E1704" t="e">
        <f>#REF!</f>
        <v>#REF!</v>
      </c>
      <c r="G1704" t="e">
        <f t="shared" si="131"/>
        <v>#REF!</v>
      </c>
      <c r="H1704" t="e">
        <f t="shared" si="132"/>
        <v>#REF!</v>
      </c>
      <c r="I1704" s="141" t="e">
        <f t="shared" si="133"/>
        <v>#REF!</v>
      </c>
      <c r="J1704" t="e">
        <f t="shared" si="134"/>
        <v>#REF!</v>
      </c>
      <c r="K1704" s="141" t="e">
        <f t="shared" si="135"/>
        <v>#REF!</v>
      </c>
    </row>
    <row r="1705" spans="1:11" hidden="1" x14ac:dyDescent="0.25">
      <c r="A1705" t="e">
        <f>#REF!</f>
        <v>#REF!</v>
      </c>
      <c r="B1705" t="e">
        <f>#REF!</f>
        <v>#REF!</v>
      </c>
      <c r="C1705" t="e">
        <f>#REF!</f>
        <v>#REF!</v>
      </c>
      <c r="D1705" t="e">
        <f>#REF!</f>
        <v>#REF!</v>
      </c>
      <c r="E1705" t="e">
        <f>#REF!</f>
        <v>#REF!</v>
      </c>
      <c r="G1705" t="e">
        <f t="shared" si="131"/>
        <v>#REF!</v>
      </c>
      <c r="H1705" t="e">
        <f t="shared" si="132"/>
        <v>#REF!</v>
      </c>
      <c r="I1705" s="141" t="e">
        <f t="shared" si="133"/>
        <v>#REF!</v>
      </c>
      <c r="J1705" t="e">
        <f t="shared" si="134"/>
        <v>#REF!</v>
      </c>
      <c r="K1705" s="141" t="e">
        <f t="shared" si="135"/>
        <v>#REF!</v>
      </c>
    </row>
    <row r="1706" spans="1:11" hidden="1" x14ac:dyDescent="0.25">
      <c r="A1706" t="e">
        <f>#REF!</f>
        <v>#REF!</v>
      </c>
      <c r="B1706" t="e">
        <f>#REF!</f>
        <v>#REF!</v>
      </c>
      <c r="C1706" t="e">
        <f>#REF!</f>
        <v>#REF!</v>
      </c>
      <c r="D1706" t="e">
        <f>#REF!</f>
        <v>#REF!</v>
      </c>
      <c r="E1706" t="e">
        <f>#REF!</f>
        <v>#REF!</v>
      </c>
      <c r="G1706" t="e">
        <f t="shared" si="131"/>
        <v>#REF!</v>
      </c>
      <c r="H1706" t="e">
        <f t="shared" si="132"/>
        <v>#REF!</v>
      </c>
      <c r="I1706" s="141" t="e">
        <f t="shared" si="133"/>
        <v>#REF!</v>
      </c>
      <c r="J1706" t="e">
        <f t="shared" si="134"/>
        <v>#REF!</v>
      </c>
      <c r="K1706" s="141" t="e">
        <f t="shared" si="135"/>
        <v>#REF!</v>
      </c>
    </row>
    <row r="1707" spans="1:11" hidden="1" x14ac:dyDescent="0.25">
      <c r="A1707" t="e">
        <f>#REF!</f>
        <v>#REF!</v>
      </c>
      <c r="B1707" t="e">
        <f>#REF!</f>
        <v>#REF!</v>
      </c>
      <c r="C1707" t="e">
        <f>#REF!</f>
        <v>#REF!</v>
      </c>
      <c r="D1707" t="e">
        <f>#REF!</f>
        <v>#REF!</v>
      </c>
      <c r="E1707" t="e">
        <f>#REF!</f>
        <v>#REF!</v>
      </c>
      <c r="G1707" t="e">
        <f t="shared" si="131"/>
        <v>#REF!</v>
      </c>
      <c r="H1707" t="e">
        <f t="shared" si="132"/>
        <v>#REF!</v>
      </c>
      <c r="I1707" s="141" t="e">
        <f t="shared" si="133"/>
        <v>#REF!</v>
      </c>
      <c r="J1707" t="e">
        <f t="shared" si="134"/>
        <v>#REF!</v>
      </c>
      <c r="K1707" s="141" t="e">
        <f t="shared" si="135"/>
        <v>#REF!</v>
      </c>
    </row>
    <row r="1708" spans="1:11" hidden="1" x14ac:dyDescent="0.25">
      <c r="A1708" t="e">
        <f>#REF!</f>
        <v>#REF!</v>
      </c>
      <c r="B1708" t="e">
        <f>#REF!</f>
        <v>#REF!</v>
      </c>
      <c r="C1708" t="e">
        <f>#REF!</f>
        <v>#REF!</v>
      </c>
      <c r="D1708" t="e">
        <f>#REF!</f>
        <v>#REF!</v>
      </c>
      <c r="E1708" t="e">
        <f>#REF!</f>
        <v>#REF!</v>
      </c>
      <c r="G1708" t="e">
        <f t="shared" si="131"/>
        <v>#REF!</v>
      </c>
      <c r="H1708" t="e">
        <f t="shared" si="132"/>
        <v>#REF!</v>
      </c>
      <c r="I1708" s="141" t="e">
        <f t="shared" si="133"/>
        <v>#REF!</v>
      </c>
      <c r="J1708" t="e">
        <f t="shared" si="134"/>
        <v>#REF!</v>
      </c>
      <c r="K1708" s="141" t="e">
        <f t="shared" si="135"/>
        <v>#REF!</v>
      </c>
    </row>
    <row r="1709" spans="1:11" hidden="1" x14ac:dyDescent="0.25">
      <c r="A1709" t="e">
        <f>#REF!</f>
        <v>#REF!</v>
      </c>
      <c r="B1709" t="e">
        <f>#REF!</f>
        <v>#REF!</v>
      </c>
      <c r="C1709" t="e">
        <f>#REF!</f>
        <v>#REF!</v>
      </c>
      <c r="D1709" t="e">
        <f>#REF!</f>
        <v>#REF!</v>
      </c>
      <c r="E1709" t="e">
        <f>#REF!</f>
        <v>#REF!</v>
      </c>
      <c r="G1709" t="e">
        <f t="shared" si="131"/>
        <v>#REF!</v>
      </c>
      <c r="H1709" t="e">
        <f t="shared" si="132"/>
        <v>#REF!</v>
      </c>
      <c r="I1709" s="141" t="e">
        <f t="shared" si="133"/>
        <v>#REF!</v>
      </c>
      <c r="J1709" t="e">
        <f t="shared" si="134"/>
        <v>#REF!</v>
      </c>
      <c r="K1709" s="141" t="e">
        <f t="shared" si="135"/>
        <v>#REF!</v>
      </c>
    </row>
    <row r="1710" spans="1:11" hidden="1" x14ac:dyDescent="0.25">
      <c r="A1710" t="e">
        <f>#REF!</f>
        <v>#REF!</v>
      </c>
      <c r="B1710" t="e">
        <f>#REF!</f>
        <v>#REF!</v>
      </c>
      <c r="C1710" t="e">
        <f>#REF!</f>
        <v>#REF!</v>
      </c>
      <c r="D1710" t="e">
        <f>#REF!</f>
        <v>#REF!</v>
      </c>
      <c r="E1710" t="e">
        <f>#REF!</f>
        <v>#REF!</v>
      </c>
      <c r="G1710" t="e">
        <f t="shared" si="131"/>
        <v>#REF!</v>
      </c>
      <c r="H1710" t="e">
        <f t="shared" si="132"/>
        <v>#REF!</v>
      </c>
      <c r="I1710" s="141" t="e">
        <f t="shared" si="133"/>
        <v>#REF!</v>
      </c>
      <c r="J1710" t="e">
        <f t="shared" si="134"/>
        <v>#REF!</v>
      </c>
      <c r="K1710" s="141" t="e">
        <f t="shared" si="135"/>
        <v>#REF!</v>
      </c>
    </row>
    <row r="1711" spans="1:11" hidden="1" x14ac:dyDescent="0.25">
      <c r="A1711" t="e">
        <f>#REF!</f>
        <v>#REF!</v>
      </c>
      <c r="B1711" t="e">
        <f>#REF!</f>
        <v>#REF!</v>
      </c>
      <c r="C1711" t="e">
        <f>#REF!</f>
        <v>#REF!</v>
      </c>
      <c r="D1711" t="e">
        <f>#REF!</f>
        <v>#REF!</v>
      </c>
      <c r="E1711" t="e">
        <f>#REF!</f>
        <v>#REF!</v>
      </c>
      <c r="G1711" t="e">
        <f t="shared" si="131"/>
        <v>#REF!</v>
      </c>
      <c r="H1711" t="e">
        <f t="shared" si="132"/>
        <v>#REF!</v>
      </c>
      <c r="I1711" s="141" t="e">
        <f t="shared" si="133"/>
        <v>#REF!</v>
      </c>
      <c r="J1711" t="e">
        <f t="shared" si="134"/>
        <v>#REF!</v>
      </c>
      <c r="K1711" s="141" t="e">
        <f t="shared" si="135"/>
        <v>#REF!</v>
      </c>
    </row>
    <row r="1712" spans="1:11" hidden="1" x14ac:dyDescent="0.25">
      <c r="A1712" t="e">
        <f>#REF!</f>
        <v>#REF!</v>
      </c>
      <c r="B1712" t="e">
        <f>#REF!</f>
        <v>#REF!</v>
      </c>
      <c r="C1712" t="e">
        <f>#REF!</f>
        <v>#REF!</v>
      </c>
      <c r="D1712" t="e">
        <f>#REF!</f>
        <v>#REF!</v>
      </c>
      <c r="E1712" t="e">
        <f>#REF!</f>
        <v>#REF!</v>
      </c>
      <c r="G1712" t="e">
        <f t="shared" si="131"/>
        <v>#REF!</v>
      </c>
      <c r="H1712" t="e">
        <f t="shared" si="132"/>
        <v>#REF!</v>
      </c>
      <c r="I1712" s="141" t="e">
        <f t="shared" si="133"/>
        <v>#REF!</v>
      </c>
      <c r="J1712" t="e">
        <f t="shared" si="134"/>
        <v>#REF!</v>
      </c>
      <c r="K1712" s="141" t="e">
        <f t="shared" si="135"/>
        <v>#REF!</v>
      </c>
    </row>
    <row r="1713" spans="1:11" hidden="1" x14ac:dyDescent="0.25">
      <c r="A1713" t="e">
        <f>#REF!</f>
        <v>#REF!</v>
      </c>
      <c r="B1713" t="e">
        <f>#REF!</f>
        <v>#REF!</v>
      </c>
      <c r="C1713" t="e">
        <f>#REF!</f>
        <v>#REF!</v>
      </c>
      <c r="D1713" t="e">
        <f>#REF!</f>
        <v>#REF!</v>
      </c>
      <c r="E1713" t="e">
        <f>#REF!</f>
        <v>#REF!</v>
      </c>
      <c r="G1713" t="e">
        <f t="shared" si="131"/>
        <v>#REF!</v>
      </c>
      <c r="H1713" t="e">
        <f t="shared" si="132"/>
        <v>#REF!</v>
      </c>
      <c r="I1713" s="141" t="e">
        <f t="shared" si="133"/>
        <v>#REF!</v>
      </c>
      <c r="J1713" t="e">
        <f t="shared" si="134"/>
        <v>#REF!</v>
      </c>
      <c r="K1713" s="141" t="e">
        <f t="shared" si="135"/>
        <v>#REF!</v>
      </c>
    </row>
    <row r="1714" spans="1:11" hidden="1" x14ac:dyDescent="0.25">
      <c r="A1714" t="e">
        <f>#REF!</f>
        <v>#REF!</v>
      </c>
      <c r="B1714" t="e">
        <f>#REF!</f>
        <v>#REF!</v>
      </c>
      <c r="C1714" t="e">
        <f>#REF!</f>
        <v>#REF!</v>
      </c>
      <c r="D1714" t="e">
        <f>#REF!</f>
        <v>#REF!</v>
      </c>
      <c r="E1714" t="e">
        <f>#REF!</f>
        <v>#REF!</v>
      </c>
      <c r="G1714" t="e">
        <f t="shared" si="131"/>
        <v>#REF!</v>
      </c>
      <c r="H1714" t="e">
        <f t="shared" si="132"/>
        <v>#REF!</v>
      </c>
      <c r="I1714" s="141" t="e">
        <f t="shared" si="133"/>
        <v>#REF!</v>
      </c>
      <c r="J1714" t="e">
        <f t="shared" si="134"/>
        <v>#REF!</v>
      </c>
      <c r="K1714" s="141" t="e">
        <f t="shared" si="135"/>
        <v>#REF!</v>
      </c>
    </row>
    <row r="1715" spans="1:11" hidden="1" x14ac:dyDescent="0.25">
      <c r="A1715" t="e">
        <f>#REF!</f>
        <v>#REF!</v>
      </c>
      <c r="B1715" t="e">
        <f>#REF!</f>
        <v>#REF!</v>
      </c>
      <c r="C1715" t="e">
        <f>#REF!</f>
        <v>#REF!</v>
      </c>
      <c r="D1715" t="e">
        <f>#REF!</f>
        <v>#REF!</v>
      </c>
      <c r="E1715" t="e">
        <f>#REF!</f>
        <v>#REF!</v>
      </c>
      <c r="G1715" t="e">
        <f t="shared" si="131"/>
        <v>#REF!</v>
      </c>
      <c r="H1715" t="e">
        <f t="shared" si="132"/>
        <v>#REF!</v>
      </c>
      <c r="I1715" s="141" t="e">
        <f t="shared" si="133"/>
        <v>#REF!</v>
      </c>
      <c r="J1715" t="e">
        <f t="shared" si="134"/>
        <v>#REF!</v>
      </c>
      <c r="K1715" s="141" t="e">
        <f t="shared" si="135"/>
        <v>#REF!</v>
      </c>
    </row>
    <row r="1716" spans="1:11" hidden="1" x14ac:dyDescent="0.25">
      <c r="A1716" t="e">
        <f>#REF!</f>
        <v>#REF!</v>
      </c>
      <c r="B1716" t="e">
        <f>#REF!</f>
        <v>#REF!</v>
      </c>
      <c r="C1716" t="e">
        <f>#REF!</f>
        <v>#REF!</v>
      </c>
      <c r="D1716" t="e">
        <f>#REF!</f>
        <v>#REF!</v>
      </c>
      <c r="E1716" t="e">
        <f>#REF!</f>
        <v>#REF!</v>
      </c>
      <c r="G1716" t="e">
        <f t="shared" si="131"/>
        <v>#REF!</v>
      </c>
      <c r="H1716" t="e">
        <f t="shared" si="132"/>
        <v>#REF!</v>
      </c>
      <c r="I1716" s="141" t="e">
        <f t="shared" si="133"/>
        <v>#REF!</v>
      </c>
      <c r="J1716" t="e">
        <f t="shared" si="134"/>
        <v>#REF!</v>
      </c>
      <c r="K1716" s="141" t="e">
        <f t="shared" si="135"/>
        <v>#REF!</v>
      </c>
    </row>
    <row r="1717" spans="1:11" hidden="1" x14ac:dyDescent="0.25">
      <c r="A1717" t="e">
        <f>#REF!</f>
        <v>#REF!</v>
      </c>
      <c r="B1717" t="e">
        <f>#REF!</f>
        <v>#REF!</v>
      </c>
      <c r="C1717" t="e">
        <f>#REF!</f>
        <v>#REF!</v>
      </c>
      <c r="D1717" t="e">
        <f>#REF!</f>
        <v>#REF!</v>
      </c>
      <c r="E1717" t="e">
        <f>#REF!</f>
        <v>#REF!</v>
      </c>
      <c r="G1717" t="e">
        <f t="shared" si="131"/>
        <v>#REF!</v>
      </c>
      <c r="H1717" t="e">
        <f t="shared" si="132"/>
        <v>#REF!</v>
      </c>
      <c r="I1717" s="141" t="e">
        <f t="shared" si="133"/>
        <v>#REF!</v>
      </c>
      <c r="J1717" t="e">
        <f t="shared" si="134"/>
        <v>#REF!</v>
      </c>
      <c r="K1717" s="141" t="e">
        <f t="shared" si="135"/>
        <v>#REF!</v>
      </c>
    </row>
    <row r="1718" spans="1:11" hidden="1" x14ac:dyDescent="0.25">
      <c r="A1718" t="e">
        <f>#REF!</f>
        <v>#REF!</v>
      </c>
      <c r="B1718" t="e">
        <f>#REF!</f>
        <v>#REF!</v>
      </c>
      <c r="C1718" t="e">
        <f>#REF!</f>
        <v>#REF!</v>
      </c>
      <c r="D1718" t="e">
        <f>#REF!</f>
        <v>#REF!</v>
      </c>
      <c r="E1718" t="e">
        <f>#REF!</f>
        <v>#REF!</v>
      </c>
      <c r="G1718" t="e">
        <f t="shared" si="131"/>
        <v>#REF!</v>
      </c>
      <c r="H1718" t="e">
        <f t="shared" si="132"/>
        <v>#REF!</v>
      </c>
      <c r="I1718" s="141" t="e">
        <f t="shared" si="133"/>
        <v>#REF!</v>
      </c>
      <c r="J1718" t="e">
        <f t="shared" si="134"/>
        <v>#REF!</v>
      </c>
      <c r="K1718" s="141" t="e">
        <f t="shared" si="135"/>
        <v>#REF!</v>
      </c>
    </row>
    <row r="1719" spans="1:11" hidden="1" x14ac:dyDescent="0.25">
      <c r="A1719" t="e">
        <f>#REF!</f>
        <v>#REF!</v>
      </c>
      <c r="B1719" t="e">
        <f>#REF!</f>
        <v>#REF!</v>
      </c>
      <c r="C1719" t="e">
        <f>#REF!</f>
        <v>#REF!</v>
      </c>
      <c r="D1719" t="e">
        <f>#REF!</f>
        <v>#REF!</v>
      </c>
      <c r="E1719" t="e">
        <f>#REF!</f>
        <v>#REF!</v>
      </c>
      <c r="G1719" t="e">
        <f t="shared" si="131"/>
        <v>#REF!</v>
      </c>
      <c r="H1719" t="e">
        <f t="shared" si="132"/>
        <v>#REF!</v>
      </c>
      <c r="I1719" s="141" t="e">
        <f t="shared" si="133"/>
        <v>#REF!</v>
      </c>
      <c r="J1719" t="e">
        <f t="shared" si="134"/>
        <v>#REF!</v>
      </c>
      <c r="K1719" s="141" t="e">
        <f t="shared" si="135"/>
        <v>#REF!</v>
      </c>
    </row>
    <row r="1720" spans="1:11" hidden="1" x14ac:dyDescent="0.25">
      <c r="A1720" t="e">
        <f>#REF!</f>
        <v>#REF!</v>
      </c>
      <c r="B1720" t="e">
        <f>#REF!</f>
        <v>#REF!</v>
      </c>
      <c r="C1720" t="e">
        <f>#REF!</f>
        <v>#REF!</v>
      </c>
      <c r="D1720" t="e">
        <f>#REF!</f>
        <v>#REF!</v>
      </c>
      <c r="E1720" t="e">
        <f>#REF!</f>
        <v>#REF!</v>
      </c>
      <c r="G1720" t="e">
        <f t="shared" si="131"/>
        <v>#REF!</v>
      </c>
      <c r="H1720" t="e">
        <f t="shared" si="132"/>
        <v>#REF!</v>
      </c>
      <c r="I1720" s="141" t="e">
        <f t="shared" si="133"/>
        <v>#REF!</v>
      </c>
      <c r="J1720" t="e">
        <f t="shared" si="134"/>
        <v>#REF!</v>
      </c>
      <c r="K1720" s="141" t="e">
        <f t="shared" si="135"/>
        <v>#REF!</v>
      </c>
    </row>
    <row r="1721" spans="1:11" hidden="1" x14ac:dyDescent="0.25">
      <c r="A1721" t="e">
        <f>#REF!</f>
        <v>#REF!</v>
      </c>
      <c r="B1721" t="e">
        <f>#REF!</f>
        <v>#REF!</v>
      </c>
      <c r="C1721" t="e">
        <f>#REF!</f>
        <v>#REF!</v>
      </c>
      <c r="D1721" t="e">
        <f>#REF!</f>
        <v>#REF!</v>
      </c>
      <c r="E1721" t="e">
        <f>#REF!</f>
        <v>#REF!</v>
      </c>
      <c r="G1721" t="e">
        <f t="shared" si="131"/>
        <v>#REF!</v>
      </c>
      <c r="H1721" t="e">
        <f t="shared" si="132"/>
        <v>#REF!</v>
      </c>
      <c r="I1721" s="141" t="e">
        <f t="shared" si="133"/>
        <v>#REF!</v>
      </c>
      <c r="J1721" t="e">
        <f t="shared" si="134"/>
        <v>#REF!</v>
      </c>
      <c r="K1721" s="141" t="e">
        <f t="shared" si="135"/>
        <v>#REF!</v>
      </c>
    </row>
    <row r="1722" spans="1:11" hidden="1" x14ac:dyDescent="0.25">
      <c r="A1722" t="e">
        <f>#REF!</f>
        <v>#REF!</v>
      </c>
      <c r="B1722" t="e">
        <f>#REF!</f>
        <v>#REF!</v>
      </c>
      <c r="C1722" t="e">
        <f>#REF!</f>
        <v>#REF!</v>
      </c>
      <c r="D1722" t="e">
        <f>#REF!</f>
        <v>#REF!</v>
      </c>
      <c r="E1722" t="e">
        <f>#REF!</f>
        <v>#REF!</v>
      </c>
      <c r="G1722" t="e">
        <f t="shared" si="131"/>
        <v>#REF!</v>
      </c>
      <c r="H1722" t="e">
        <f t="shared" si="132"/>
        <v>#REF!</v>
      </c>
      <c r="I1722" s="141" t="e">
        <f t="shared" si="133"/>
        <v>#REF!</v>
      </c>
      <c r="J1722" t="e">
        <f t="shared" si="134"/>
        <v>#REF!</v>
      </c>
      <c r="K1722" s="141" t="e">
        <f t="shared" si="135"/>
        <v>#REF!</v>
      </c>
    </row>
    <row r="1723" spans="1:11" hidden="1" x14ac:dyDescent="0.25">
      <c r="A1723" t="e">
        <f>#REF!</f>
        <v>#REF!</v>
      </c>
      <c r="B1723" t="e">
        <f>#REF!</f>
        <v>#REF!</v>
      </c>
      <c r="C1723" t="e">
        <f>#REF!</f>
        <v>#REF!</v>
      </c>
      <c r="D1723" t="e">
        <f>#REF!</f>
        <v>#REF!</v>
      </c>
      <c r="E1723" t="e">
        <f>#REF!</f>
        <v>#REF!</v>
      </c>
      <c r="G1723" t="e">
        <f t="shared" si="131"/>
        <v>#REF!</v>
      </c>
      <c r="H1723" t="e">
        <f t="shared" si="132"/>
        <v>#REF!</v>
      </c>
      <c r="I1723" s="141" t="e">
        <f t="shared" si="133"/>
        <v>#REF!</v>
      </c>
      <c r="J1723" t="e">
        <f t="shared" si="134"/>
        <v>#REF!</v>
      </c>
      <c r="K1723" s="141" t="e">
        <f t="shared" si="135"/>
        <v>#REF!</v>
      </c>
    </row>
    <row r="1724" spans="1:11" hidden="1" x14ac:dyDescent="0.25">
      <c r="A1724" t="e">
        <f>#REF!</f>
        <v>#REF!</v>
      </c>
      <c r="B1724" t="e">
        <f>#REF!</f>
        <v>#REF!</v>
      </c>
      <c r="C1724" t="e">
        <f>#REF!</f>
        <v>#REF!</v>
      </c>
      <c r="D1724" t="e">
        <f>#REF!</f>
        <v>#REF!</v>
      </c>
      <c r="E1724" t="e">
        <f>#REF!</f>
        <v>#REF!</v>
      </c>
      <c r="G1724" t="e">
        <f t="shared" si="131"/>
        <v>#REF!</v>
      </c>
      <c r="H1724" t="e">
        <f t="shared" si="132"/>
        <v>#REF!</v>
      </c>
      <c r="I1724" s="141" t="e">
        <f t="shared" si="133"/>
        <v>#REF!</v>
      </c>
      <c r="J1724" t="e">
        <f t="shared" si="134"/>
        <v>#REF!</v>
      </c>
      <c r="K1724" s="141" t="e">
        <f t="shared" si="135"/>
        <v>#REF!</v>
      </c>
    </row>
    <row r="1725" spans="1:11" hidden="1" x14ac:dyDescent="0.25">
      <c r="A1725" t="e">
        <f>#REF!</f>
        <v>#REF!</v>
      </c>
      <c r="B1725" t="e">
        <f>#REF!</f>
        <v>#REF!</v>
      </c>
      <c r="C1725" t="e">
        <f>#REF!</f>
        <v>#REF!</v>
      </c>
      <c r="D1725" t="e">
        <f>#REF!</f>
        <v>#REF!</v>
      </c>
      <c r="E1725" t="e">
        <f>#REF!</f>
        <v>#REF!</v>
      </c>
      <c r="G1725" t="e">
        <f t="shared" si="131"/>
        <v>#REF!</v>
      </c>
      <c r="H1725" t="e">
        <f t="shared" si="132"/>
        <v>#REF!</v>
      </c>
      <c r="I1725" s="141" t="e">
        <f t="shared" si="133"/>
        <v>#REF!</v>
      </c>
      <c r="J1725" t="e">
        <f t="shared" si="134"/>
        <v>#REF!</v>
      </c>
      <c r="K1725" s="141" t="e">
        <f t="shared" si="135"/>
        <v>#REF!</v>
      </c>
    </row>
    <row r="1726" spans="1:11" hidden="1" x14ac:dyDescent="0.25">
      <c r="A1726" t="e">
        <f>#REF!</f>
        <v>#REF!</v>
      </c>
      <c r="B1726" t="e">
        <f>#REF!</f>
        <v>#REF!</v>
      </c>
      <c r="C1726" t="e">
        <f>#REF!</f>
        <v>#REF!</v>
      </c>
      <c r="D1726" t="e">
        <f>#REF!</f>
        <v>#REF!</v>
      </c>
      <c r="E1726" t="e">
        <f>#REF!</f>
        <v>#REF!</v>
      </c>
      <c r="G1726" t="e">
        <f t="shared" si="131"/>
        <v>#REF!</v>
      </c>
      <c r="H1726" t="e">
        <f t="shared" si="132"/>
        <v>#REF!</v>
      </c>
      <c r="I1726" s="141" t="e">
        <f t="shared" si="133"/>
        <v>#REF!</v>
      </c>
      <c r="J1726" t="e">
        <f t="shared" si="134"/>
        <v>#REF!</v>
      </c>
      <c r="K1726" s="141" t="e">
        <f t="shared" si="135"/>
        <v>#REF!</v>
      </c>
    </row>
    <row r="1727" spans="1:11" hidden="1" x14ac:dyDescent="0.25">
      <c r="A1727" t="e">
        <f>#REF!</f>
        <v>#REF!</v>
      </c>
      <c r="B1727" t="e">
        <f>#REF!</f>
        <v>#REF!</v>
      </c>
      <c r="C1727" t="e">
        <f>#REF!</f>
        <v>#REF!</v>
      </c>
      <c r="D1727" t="e">
        <f>#REF!</f>
        <v>#REF!</v>
      </c>
      <c r="E1727" t="e">
        <f>#REF!</f>
        <v>#REF!</v>
      </c>
      <c r="G1727" t="e">
        <f t="shared" si="131"/>
        <v>#REF!</v>
      </c>
      <c r="H1727" t="e">
        <f t="shared" si="132"/>
        <v>#REF!</v>
      </c>
      <c r="I1727" s="141" t="e">
        <f t="shared" si="133"/>
        <v>#REF!</v>
      </c>
      <c r="J1727" t="e">
        <f t="shared" si="134"/>
        <v>#REF!</v>
      </c>
      <c r="K1727" s="141" t="e">
        <f t="shared" si="135"/>
        <v>#REF!</v>
      </c>
    </row>
    <row r="1728" spans="1:11" hidden="1" x14ac:dyDescent="0.25">
      <c r="A1728" t="e">
        <f>#REF!</f>
        <v>#REF!</v>
      </c>
      <c r="B1728" t="e">
        <f>#REF!</f>
        <v>#REF!</v>
      </c>
      <c r="C1728" t="e">
        <f>#REF!</f>
        <v>#REF!</v>
      </c>
      <c r="D1728" t="e">
        <f>#REF!</f>
        <v>#REF!</v>
      </c>
      <c r="E1728" t="e">
        <f>#REF!</f>
        <v>#REF!</v>
      </c>
      <c r="G1728" t="e">
        <f t="shared" si="131"/>
        <v>#REF!</v>
      </c>
      <c r="H1728" t="e">
        <f t="shared" si="132"/>
        <v>#REF!</v>
      </c>
      <c r="I1728" s="141" t="e">
        <f t="shared" si="133"/>
        <v>#REF!</v>
      </c>
      <c r="J1728" t="e">
        <f t="shared" si="134"/>
        <v>#REF!</v>
      </c>
      <c r="K1728" s="141" t="e">
        <f t="shared" si="135"/>
        <v>#REF!</v>
      </c>
    </row>
    <row r="1729" spans="1:11" hidden="1" x14ac:dyDescent="0.25">
      <c r="A1729" t="e">
        <f>#REF!</f>
        <v>#REF!</v>
      </c>
      <c r="B1729" t="e">
        <f>#REF!</f>
        <v>#REF!</v>
      </c>
      <c r="C1729" t="e">
        <f>#REF!</f>
        <v>#REF!</v>
      </c>
      <c r="D1729" t="e">
        <f>#REF!</f>
        <v>#REF!</v>
      </c>
      <c r="E1729" t="e">
        <f>#REF!</f>
        <v>#REF!</v>
      </c>
      <c r="G1729" t="e">
        <f t="shared" si="131"/>
        <v>#REF!</v>
      </c>
      <c r="H1729" t="e">
        <f t="shared" si="132"/>
        <v>#REF!</v>
      </c>
      <c r="I1729" s="141" t="e">
        <f t="shared" si="133"/>
        <v>#REF!</v>
      </c>
      <c r="J1729" t="e">
        <f t="shared" si="134"/>
        <v>#REF!</v>
      </c>
      <c r="K1729" s="141" t="e">
        <f t="shared" si="135"/>
        <v>#REF!</v>
      </c>
    </row>
    <row r="1730" spans="1:11" hidden="1" x14ac:dyDescent="0.25">
      <c r="A1730" t="e">
        <f>#REF!</f>
        <v>#REF!</v>
      </c>
      <c r="B1730" t="e">
        <f>#REF!</f>
        <v>#REF!</v>
      </c>
      <c r="C1730" t="e">
        <f>#REF!</f>
        <v>#REF!</v>
      </c>
      <c r="D1730" t="e">
        <f>#REF!</f>
        <v>#REF!</v>
      </c>
      <c r="E1730" t="e">
        <f>#REF!</f>
        <v>#REF!</v>
      </c>
      <c r="G1730" t="e">
        <f t="shared" ref="G1730:G1793" si="136">A1730</f>
        <v>#REF!</v>
      </c>
      <c r="H1730" t="e">
        <f t="shared" ref="H1730:H1793" si="137">B1730</f>
        <v>#REF!</v>
      </c>
      <c r="I1730" s="141" t="e">
        <f t="shared" ref="I1730:I1793" si="138">C1730</f>
        <v>#REF!</v>
      </c>
      <c r="J1730" t="e">
        <f t="shared" ref="J1730:J1793" si="139">D1730</f>
        <v>#REF!</v>
      </c>
      <c r="K1730" s="141" t="e">
        <f t="shared" ref="K1730:K1793" si="140">E1730</f>
        <v>#REF!</v>
      </c>
    </row>
    <row r="1731" spans="1:11" hidden="1" x14ac:dyDescent="0.25">
      <c r="A1731" t="e">
        <f>#REF!</f>
        <v>#REF!</v>
      </c>
      <c r="B1731" t="e">
        <f>#REF!</f>
        <v>#REF!</v>
      </c>
      <c r="C1731" t="e">
        <f>#REF!</f>
        <v>#REF!</v>
      </c>
      <c r="D1731" t="e">
        <f>#REF!</f>
        <v>#REF!</v>
      </c>
      <c r="E1731" t="e">
        <f>#REF!</f>
        <v>#REF!</v>
      </c>
      <c r="G1731" t="e">
        <f t="shared" si="136"/>
        <v>#REF!</v>
      </c>
      <c r="H1731" t="e">
        <f t="shared" si="137"/>
        <v>#REF!</v>
      </c>
      <c r="I1731" s="141" t="e">
        <f t="shared" si="138"/>
        <v>#REF!</v>
      </c>
      <c r="J1731" t="e">
        <f t="shared" si="139"/>
        <v>#REF!</v>
      </c>
      <c r="K1731" s="141" t="e">
        <f t="shared" si="140"/>
        <v>#REF!</v>
      </c>
    </row>
    <row r="1732" spans="1:11" hidden="1" x14ac:dyDescent="0.25">
      <c r="A1732" t="e">
        <f>#REF!</f>
        <v>#REF!</v>
      </c>
      <c r="B1732" t="e">
        <f>#REF!</f>
        <v>#REF!</v>
      </c>
      <c r="C1732" t="e">
        <f>#REF!</f>
        <v>#REF!</v>
      </c>
      <c r="D1732" t="e">
        <f>#REF!</f>
        <v>#REF!</v>
      </c>
      <c r="E1732" t="e">
        <f>#REF!</f>
        <v>#REF!</v>
      </c>
      <c r="G1732" t="e">
        <f t="shared" si="136"/>
        <v>#REF!</v>
      </c>
      <c r="H1732" t="e">
        <f t="shared" si="137"/>
        <v>#REF!</v>
      </c>
      <c r="I1732" s="141" t="e">
        <f t="shared" si="138"/>
        <v>#REF!</v>
      </c>
      <c r="J1732" t="e">
        <f t="shared" si="139"/>
        <v>#REF!</v>
      </c>
      <c r="K1732" s="141" t="e">
        <f t="shared" si="140"/>
        <v>#REF!</v>
      </c>
    </row>
    <row r="1733" spans="1:11" hidden="1" x14ac:dyDescent="0.25">
      <c r="A1733" t="e">
        <f>#REF!</f>
        <v>#REF!</v>
      </c>
      <c r="B1733" t="e">
        <f>#REF!</f>
        <v>#REF!</v>
      </c>
      <c r="C1733" t="e">
        <f>#REF!</f>
        <v>#REF!</v>
      </c>
      <c r="D1733" t="e">
        <f>#REF!</f>
        <v>#REF!</v>
      </c>
      <c r="E1733" t="e">
        <f>#REF!</f>
        <v>#REF!</v>
      </c>
      <c r="G1733" t="e">
        <f t="shared" si="136"/>
        <v>#REF!</v>
      </c>
      <c r="H1733" t="e">
        <f t="shared" si="137"/>
        <v>#REF!</v>
      </c>
      <c r="I1733" s="141" t="e">
        <f t="shared" si="138"/>
        <v>#REF!</v>
      </c>
      <c r="J1733" t="e">
        <f t="shared" si="139"/>
        <v>#REF!</v>
      </c>
      <c r="K1733" s="141" t="e">
        <f t="shared" si="140"/>
        <v>#REF!</v>
      </c>
    </row>
    <row r="1734" spans="1:11" hidden="1" x14ac:dyDescent="0.25">
      <c r="A1734" t="e">
        <f>#REF!</f>
        <v>#REF!</v>
      </c>
      <c r="B1734" t="e">
        <f>#REF!</f>
        <v>#REF!</v>
      </c>
      <c r="C1734" t="e">
        <f>#REF!</f>
        <v>#REF!</v>
      </c>
      <c r="D1734" t="e">
        <f>#REF!</f>
        <v>#REF!</v>
      </c>
      <c r="E1734" t="e">
        <f>#REF!</f>
        <v>#REF!</v>
      </c>
      <c r="G1734" t="e">
        <f t="shared" si="136"/>
        <v>#REF!</v>
      </c>
      <c r="H1734" t="e">
        <f t="shared" si="137"/>
        <v>#REF!</v>
      </c>
      <c r="I1734" s="141" t="e">
        <f t="shared" si="138"/>
        <v>#REF!</v>
      </c>
      <c r="J1734" t="e">
        <f t="shared" si="139"/>
        <v>#REF!</v>
      </c>
      <c r="K1734" s="141" t="e">
        <f t="shared" si="140"/>
        <v>#REF!</v>
      </c>
    </row>
    <row r="1735" spans="1:11" hidden="1" x14ac:dyDescent="0.25">
      <c r="A1735" t="e">
        <f>#REF!</f>
        <v>#REF!</v>
      </c>
      <c r="B1735" t="e">
        <f>#REF!</f>
        <v>#REF!</v>
      </c>
      <c r="C1735" t="e">
        <f>#REF!</f>
        <v>#REF!</v>
      </c>
      <c r="D1735" t="e">
        <f>#REF!</f>
        <v>#REF!</v>
      </c>
      <c r="E1735" t="e">
        <f>#REF!</f>
        <v>#REF!</v>
      </c>
      <c r="G1735" t="e">
        <f t="shared" si="136"/>
        <v>#REF!</v>
      </c>
      <c r="H1735" t="e">
        <f t="shared" si="137"/>
        <v>#REF!</v>
      </c>
      <c r="I1735" s="141" t="e">
        <f t="shared" si="138"/>
        <v>#REF!</v>
      </c>
      <c r="J1735" t="e">
        <f t="shared" si="139"/>
        <v>#REF!</v>
      </c>
      <c r="K1735" s="141" t="e">
        <f t="shared" si="140"/>
        <v>#REF!</v>
      </c>
    </row>
    <row r="1736" spans="1:11" hidden="1" x14ac:dyDescent="0.25">
      <c r="A1736" t="e">
        <f>#REF!</f>
        <v>#REF!</v>
      </c>
      <c r="B1736" t="e">
        <f>#REF!</f>
        <v>#REF!</v>
      </c>
      <c r="C1736" t="e">
        <f>#REF!</f>
        <v>#REF!</v>
      </c>
      <c r="D1736" t="e">
        <f>#REF!</f>
        <v>#REF!</v>
      </c>
      <c r="E1736" t="e">
        <f>#REF!</f>
        <v>#REF!</v>
      </c>
      <c r="G1736" t="e">
        <f t="shared" si="136"/>
        <v>#REF!</v>
      </c>
      <c r="H1736" t="e">
        <f t="shared" si="137"/>
        <v>#REF!</v>
      </c>
      <c r="I1736" s="141" t="e">
        <f t="shared" si="138"/>
        <v>#REF!</v>
      </c>
      <c r="J1736" t="e">
        <f t="shared" si="139"/>
        <v>#REF!</v>
      </c>
      <c r="K1736" s="141" t="e">
        <f t="shared" si="140"/>
        <v>#REF!</v>
      </c>
    </row>
    <row r="1737" spans="1:11" hidden="1" x14ac:dyDescent="0.25">
      <c r="A1737" t="e">
        <f>#REF!</f>
        <v>#REF!</v>
      </c>
      <c r="B1737" t="e">
        <f>#REF!</f>
        <v>#REF!</v>
      </c>
      <c r="C1737" t="e">
        <f>#REF!</f>
        <v>#REF!</v>
      </c>
      <c r="D1737" t="e">
        <f>#REF!</f>
        <v>#REF!</v>
      </c>
      <c r="E1737" t="e">
        <f>#REF!</f>
        <v>#REF!</v>
      </c>
      <c r="G1737" t="e">
        <f t="shared" si="136"/>
        <v>#REF!</v>
      </c>
      <c r="H1737" t="e">
        <f t="shared" si="137"/>
        <v>#REF!</v>
      </c>
      <c r="I1737" s="141" t="e">
        <f t="shared" si="138"/>
        <v>#REF!</v>
      </c>
      <c r="J1737" t="e">
        <f t="shared" si="139"/>
        <v>#REF!</v>
      </c>
      <c r="K1737" s="141" t="e">
        <f t="shared" si="140"/>
        <v>#REF!</v>
      </c>
    </row>
    <row r="1738" spans="1:11" hidden="1" x14ac:dyDescent="0.25">
      <c r="A1738" t="e">
        <f>#REF!</f>
        <v>#REF!</v>
      </c>
      <c r="B1738" t="e">
        <f>#REF!</f>
        <v>#REF!</v>
      </c>
      <c r="C1738" t="e">
        <f>#REF!</f>
        <v>#REF!</v>
      </c>
      <c r="D1738" t="e">
        <f>#REF!</f>
        <v>#REF!</v>
      </c>
      <c r="E1738" t="e">
        <f>#REF!</f>
        <v>#REF!</v>
      </c>
      <c r="G1738" t="e">
        <f t="shared" si="136"/>
        <v>#REF!</v>
      </c>
      <c r="H1738" t="e">
        <f t="shared" si="137"/>
        <v>#REF!</v>
      </c>
      <c r="I1738" s="141" t="e">
        <f t="shared" si="138"/>
        <v>#REF!</v>
      </c>
      <c r="J1738" t="e">
        <f t="shared" si="139"/>
        <v>#REF!</v>
      </c>
      <c r="K1738" s="141" t="e">
        <f t="shared" si="140"/>
        <v>#REF!</v>
      </c>
    </row>
    <row r="1739" spans="1:11" hidden="1" x14ac:dyDescent="0.25">
      <c r="A1739" t="e">
        <f>#REF!</f>
        <v>#REF!</v>
      </c>
      <c r="B1739" t="e">
        <f>#REF!</f>
        <v>#REF!</v>
      </c>
      <c r="C1739" t="e">
        <f>#REF!</f>
        <v>#REF!</v>
      </c>
      <c r="D1739" t="e">
        <f>#REF!</f>
        <v>#REF!</v>
      </c>
      <c r="E1739" t="e">
        <f>#REF!</f>
        <v>#REF!</v>
      </c>
      <c r="G1739" t="e">
        <f t="shared" si="136"/>
        <v>#REF!</v>
      </c>
      <c r="H1739" t="e">
        <f t="shared" si="137"/>
        <v>#REF!</v>
      </c>
      <c r="I1739" s="141" t="e">
        <f t="shared" si="138"/>
        <v>#REF!</v>
      </c>
      <c r="J1739" t="e">
        <f t="shared" si="139"/>
        <v>#REF!</v>
      </c>
      <c r="K1739" s="141" t="e">
        <f t="shared" si="140"/>
        <v>#REF!</v>
      </c>
    </row>
    <row r="1740" spans="1:11" hidden="1" x14ac:dyDescent="0.25">
      <c r="A1740" t="e">
        <f>#REF!</f>
        <v>#REF!</v>
      </c>
      <c r="B1740" t="e">
        <f>#REF!</f>
        <v>#REF!</v>
      </c>
      <c r="C1740" t="e">
        <f>#REF!</f>
        <v>#REF!</v>
      </c>
      <c r="D1740" t="e">
        <f>#REF!</f>
        <v>#REF!</v>
      </c>
      <c r="E1740" t="e">
        <f>#REF!</f>
        <v>#REF!</v>
      </c>
      <c r="G1740" t="e">
        <f t="shared" si="136"/>
        <v>#REF!</v>
      </c>
      <c r="H1740" t="e">
        <f t="shared" si="137"/>
        <v>#REF!</v>
      </c>
      <c r="I1740" s="141" t="e">
        <f t="shared" si="138"/>
        <v>#REF!</v>
      </c>
      <c r="J1740" t="e">
        <f t="shared" si="139"/>
        <v>#REF!</v>
      </c>
      <c r="K1740" s="141" t="e">
        <f t="shared" si="140"/>
        <v>#REF!</v>
      </c>
    </row>
    <row r="1741" spans="1:11" hidden="1" x14ac:dyDescent="0.25">
      <c r="A1741" t="e">
        <f>#REF!</f>
        <v>#REF!</v>
      </c>
      <c r="B1741" t="e">
        <f>#REF!</f>
        <v>#REF!</v>
      </c>
      <c r="C1741" t="e">
        <f>#REF!</f>
        <v>#REF!</v>
      </c>
      <c r="D1741" t="e">
        <f>#REF!</f>
        <v>#REF!</v>
      </c>
      <c r="E1741" t="e">
        <f>#REF!</f>
        <v>#REF!</v>
      </c>
      <c r="G1741" t="e">
        <f t="shared" si="136"/>
        <v>#REF!</v>
      </c>
      <c r="H1741" t="e">
        <f t="shared" si="137"/>
        <v>#REF!</v>
      </c>
      <c r="I1741" s="141" t="e">
        <f t="shared" si="138"/>
        <v>#REF!</v>
      </c>
      <c r="J1741" t="e">
        <f t="shared" si="139"/>
        <v>#REF!</v>
      </c>
      <c r="K1741" s="141" t="e">
        <f t="shared" si="140"/>
        <v>#REF!</v>
      </c>
    </row>
    <row r="1742" spans="1:11" hidden="1" x14ac:dyDescent="0.25">
      <c r="A1742" t="e">
        <f>#REF!</f>
        <v>#REF!</v>
      </c>
      <c r="B1742" t="e">
        <f>#REF!</f>
        <v>#REF!</v>
      </c>
      <c r="C1742" t="e">
        <f>#REF!</f>
        <v>#REF!</v>
      </c>
      <c r="D1742" t="e">
        <f>#REF!</f>
        <v>#REF!</v>
      </c>
      <c r="E1742" t="e">
        <f>#REF!</f>
        <v>#REF!</v>
      </c>
      <c r="G1742" t="e">
        <f t="shared" si="136"/>
        <v>#REF!</v>
      </c>
      <c r="H1742" t="e">
        <f t="shared" si="137"/>
        <v>#REF!</v>
      </c>
      <c r="I1742" s="141" t="e">
        <f t="shared" si="138"/>
        <v>#REF!</v>
      </c>
      <c r="J1742" t="e">
        <f t="shared" si="139"/>
        <v>#REF!</v>
      </c>
      <c r="K1742" s="141" t="e">
        <f t="shared" si="140"/>
        <v>#REF!</v>
      </c>
    </row>
    <row r="1743" spans="1:11" hidden="1" x14ac:dyDescent="0.25">
      <c r="A1743" t="e">
        <f>#REF!</f>
        <v>#REF!</v>
      </c>
      <c r="B1743" t="e">
        <f>#REF!</f>
        <v>#REF!</v>
      </c>
      <c r="C1743" t="e">
        <f>#REF!</f>
        <v>#REF!</v>
      </c>
      <c r="D1743" t="e">
        <f>#REF!</f>
        <v>#REF!</v>
      </c>
      <c r="E1743" t="e">
        <f>#REF!</f>
        <v>#REF!</v>
      </c>
      <c r="G1743" t="e">
        <f t="shared" si="136"/>
        <v>#REF!</v>
      </c>
      <c r="H1743" t="e">
        <f t="shared" si="137"/>
        <v>#REF!</v>
      </c>
      <c r="I1743" s="141" t="e">
        <f t="shared" si="138"/>
        <v>#REF!</v>
      </c>
      <c r="J1743" t="e">
        <f t="shared" si="139"/>
        <v>#REF!</v>
      </c>
      <c r="K1743" s="141" t="e">
        <f t="shared" si="140"/>
        <v>#REF!</v>
      </c>
    </row>
    <row r="1744" spans="1:11" hidden="1" x14ac:dyDescent="0.25">
      <c r="A1744" t="e">
        <f>#REF!</f>
        <v>#REF!</v>
      </c>
      <c r="B1744" t="e">
        <f>#REF!</f>
        <v>#REF!</v>
      </c>
      <c r="C1744" t="e">
        <f>#REF!</f>
        <v>#REF!</v>
      </c>
      <c r="D1744" t="e">
        <f>#REF!</f>
        <v>#REF!</v>
      </c>
      <c r="E1744" t="e">
        <f>#REF!</f>
        <v>#REF!</v>
      </c>
      <c r="G1744" t="e">
        <f t="shared" si="136"/>
        <v>#REF!</v>
      </c>
      <c r="H1744" t="e">
        <f t="shared" si="137"/>
        <v>#REF!</v>
      </c>
      <c r="I1744" s="141" t="e">
        <f t="shared" si="138"/>
        <v>#REF!</v>
      </c>
      <c r="J1744" t="e">
        <f t="shared" si="139"/>
        <v>#REF!</v>
      </c>
      <c r="K1744" s="141" t="e">
        <f t="shared" si="140"/>
        <v>#REF!</v>
      </c>
    </row>
    <row r="1745" spans="1:11" hidden="1" x14ac:dyDescent="0.25">
      <c r="A1745" t="e">
        <f>#REF!</f>
        <v>#REF!</v>
      </c>
      <c r="B1745" t="e">
        <f>#REF!</f>
        <v>#REF!</v>
      </c>
      <c r="C1745" t="e">
        <f>#REF!</f>
        <v>#REF!</v>
      </c>
      <c r="D1745" t="e">
        <f>#REF!</f>
        <v>#REF!</v>
      </c>
      <c r="E1745" t="e">
        <f>#REF!</f>
        <v>#REF!</v>
      </c>
      <c r="G1745" t="e">
        <f t="shared" si="136"/>
        <v>#REF!</v>
      </c>
      <c r="H1745" t="e">
        <f t="shared" si="137"/>
        <v>#REF!</v>
      </c>
      <c r="I1745" s="141" t="e">
        <f t="shared" si="138"/>
        <v>#REF!</v>
      </c>
      <c r="J1745" t="e">
        <f t="shared" si="139"/>
        <v>#REF!</v>
      </c>
      <c r="K1745" s="141" t="e">
        <f t="shared" si="140"/>
        <v>#REF!</v>
      </c>
    </row>
    <row r="1746" spans="1:11" hidden="1" x14ac:dyDescent="0.25">
      <c r="A1746" t="e">
        <f>#REF!</f>
        <v>#REF!</v>
      </c>
      <c r="B1746" t="e">
        <f>#REF!</f>
        <v>#REF!</v>
      </c>
      <c r="C1746" t="e">
        <f>#REF!</f>
        <v>#REF!</v>
      </c>
      <c r="D1746" t="e">
        <f>#REF!</f>
        <v>#REF!</v>
      </c>
      <c r="E1746" t="e">
        <f>#REF!</f>
        <v>#REF!</v>
      </c>
      <c r="G1746" t="e">
        <f t="shared" si="136"/>
        <v>#REF!</v>
      </c>
      <c r="H1746" t="e">
        <f t="shared" si="137"/>
        <v>#REF!</v>
      </c>
      <c r="I1746" s="141" t="e">
        <f t="shared" si="138"/>
        <v>#REF!</v>
      </c>
      <c r="J1746" t="e">
        <f t="shared" si="139"/>
        <v>#REF!</v>
      </c>
      <c r="K1746" s="141" t="e">
        <f t="shared" si="140"/>
        <v>#REF!</v>
      </c>
    </row>
    <row r="1747" spans="1:11" hidden="1" x14ac:dyDescent="0.25">
      <c r="A1747" t="e">
        <f>#REF!</f>
        <v>#REF!</v>
      </c>
      <c r="B1747" t="e">
        <f>#REF!</f>
        <v>#REF!</v>
      </c>
      <c r="C1747" t="e">
        <f>#REF!</f>
        <v>#REF!</v>
      </c>
      <c r="D1747" t="e">
        <f>#REF!</f>
        <v>#REF!</v>
      </c>
      <c r="E1747" t="e">
        <f>#REF!</f>
        <v>#REF!</v>
      </c>
      <c r="G1747" t="e">
        <f t="shared" si="136"/>
        <v>#REF!</v>
      </c>
      <c r="H1747" t="e">
        <f t="shared" si="137"/>
        <v>#REF!</v>
      </c>
      <c r="I1747" s="141" t="e">
        <f t="shared" si="138"/>
        <v>#REF!</v>
      </c>
      <c r="J1747" t="e">
        <f t="shared" si="139"/>
        <v>#REF!</v>
      </c>
      <c r="K1747" s="141" t="e">
        <f t="shared" si="140"/>
        <v>#REF!</v>
      </c>
    </row>
    <row r="1748" spans="1:11" hidden="1" x14ac:dyDescent="0.25">
      <c r="A1748" t="e">
        <f>#REF!</f>
        <v>#REF!</v>
      </c>
      <c r="B1748" t="e">
        <f>#REF!</f>
        <v>#REF!</v>
      </c>
      <c r="C1748" t="e">
        <f>#REF!</f>
        <v>#REF!</v>
      </c>
      <c r="D1748" t="e">
        <f>#REF!</f>
        <v>#REF!</v>
      </c>
      <c r="E1748" t="e">
        <f>#REF!</f>
        <v>#REF!</v>
      </c>
      <c r="G1748" t="e">
        <f t="shared" si="136"/>
        <v>#REF!</v>
      </c>
      <c r="H1748" t="e">
        <f t="shared" si="137"/>
        <v>#REF!</v>
      </c>
      <c r="I1748" s="141" t="e">
        <f t="shared" si="138"/>
        <v>#REF!</v>
      </c>
      <c r="J1748" t="e">
        <f t="shared" si="139"/>
        <v>#REF!</v>
      </c>
      <c r="K1748" s="141" t="e">
        <f t="shared" si="140"/>
        <v>#REF!</v>
      </c>
    </row>
    <row r="1749" spans="1:11" hidden="1" x14ac:dyDescent="0.25">
      <c r="A1749" t="e">
        <f>#REF!</f>
        <v>#REF!</v>
      </c>
      <c r="B1749" t="e">
        <f>#REF!</f>
        <v>#REF!</v>
      </c>
      <c r="C1749" t="e">
        <f>#REF!</f>
        <v>#REF!</v>
      </c>
      <c r="D1749" t="e">
        <f>#REF!</f>
        <v>#REF!</v>
      </c>
      <c r="E1749" t="e">
        <f>#REF!</f>
        <v>#REF!</v>
      </c>
      <c r="G1749" t="e">
        <f t="shared" si="136"/>
        <v>#REF!</v>
      </c>
      <c r="H1749" t="e">
        <f t="shared" si="137"/>
        <v>#REF!</v>
      </c>
      <c r="I1749" s="141" t="e">
        <f t="shared" si="138"/>
        <v>#REF!</v>
      </c>
      <c r="J1749" t="e">
        <f t="shared" si="139"/>
        <v>#REF!</v>
      </c>
      <c r="K1749" s="141" t="e">
        <f t="shared" si="140"/>
        <v>#REF!</v>
      </c>
    </row>
    <row r="1750" spans="1:11" hidden="1" x14ac:dyDescent="0.25">
      <c r="A1750" t="e">
        <f>#REF!</f>
        <v>#REF!</v>
      </c>
      <c r="B1750" t="e">
        <f>#REF!</f>
        <v>#REF!</v>
      </c>
      <c r="C1750" t="e">
        <f>#REF!</f>
        <v>#REF!</v>
      </c>
      <c r="D1750" t="e">
        <f>#REF!</f>
        <v>#REF!</v>
      </c>
      <c r="E1750" t="e">
        <f>#REF!</f>
        <v>#REF!</v>
      </c>
      <c r="G1750" t="e">
        <f t="shared" si="136"/>
        <v>#REF!</v>
      </c>
      <c r="H1750" t="e">
        <f t="shared" si="137"/>
        <v>#REF!</v>
      </c>
      <c r="I1750" s="141" t="e">
        <f t="shared" si="138"/>
        <v>#REF!</v>
      </c>
      <c r="J1750" t="e">
        <f t="shared" si="139"/>
        <v>#REF!</v>
      </c>
      <c r="K1750" s="141" t="e">
        <f t="shared" si="140"/>
        <v>#REF!</v>
      </c>
    </row>
    <row r="1751" spans="1:11" hidden="1" x14ac:dyDescent="0.25">
      <c r="A1751" t="e">
        <f>#REF!</f>
        <v>#REF!</v>
      </c>
      <c r="B1751" t="e">
        <f>#REF!</f>
        <v>#REF!</v>
      </c>
      <c r="C1751" t="e">
        <f>#REF!</f>
        <v>#REF!</v>
      </c>
      <c r="D1751" t="e">
        <f>#REF!</f>
        <v>#REF!</v>
      </c>
      <c r="E1751" t="e">
        <f>#REF!</f>
        <v>#REF!</v>
      </c>
      <c r="G1751" t="e">
        <f t="shared" si="136"/>
        <v>#REF!</v>
      </c>
      <c r="H1751" t="e">
        <f t="shared" si="137"/>
        <v>#REF!</v>
      </c>
      <c r="I1751" s="141" t="e">
        <f t="shared" si="138"/>
        <v>#REF!</v>
      </c>
      <c r="J1751" t="e">
        <f t="shared" si="139"/>
        <v>#REF!</v>
      </c>
      <c r="K1751" s="141" t="e">
        <f t="shared" si="140"/>
        <v>#REF!</v>
      </c>
    </row>
    <row r="1752" spans="1:11" hidden="1" x14ac:dyDescent="0.25">
      <c r="A1752" t="e">
        <f>#REF!</f>
        <v>#REF!</v>
      </c>
      <c r="B1752" t="e">
        <f>#REF!</f>
        <v>#REF!</v>
      </c>
      <c r="C1752" t="e">
        <f>#REF!</f>
        <v>#REF!</v>
      </c>
      <c r="D1752" t="e">
        <f>#REF!</f>
        <v>#REF!</v>
      </c>
      <c r="E1752" t="e">
        <f>#REF!</f>
        <v>#REF!</v>
      </c>
      <c r="G1752" t="e">
        <f t="shared" si="136"/>
        <v>#REF!</v>
      </c>
      <c r="H1752" t="e">
        <f t="shared" si="137"/>
        <v>#REF!</v>
      </c>
      <c r="I1752" s="141" t="e">
        <f t="shared" si="138"/>
        <v>#REF!</v>
      </c>
      <c r="J1752" t="e">
        <f t="shared" si="139"/>
        <v>#REF!</v>
      </c>
      <c r="K1752" s="141" t="e">
        <f t="shared" si="140"/>
        <v>#REF!</v>
      </c>
    </row>
    <row r="1753" spans="1:11" hidden="1" x14ac:dyDescent="0.25">
      <c r="A1753" t="e">
        <f>#REF!</f>
        <v>#REF!</v>
      </c>
      <c r="B1753" t="e">
        <f>#REF!</f>
        <v>#REF!</v>
      </c>
      <c r="C1753" t="e">
        <f>#REF!</f>
        <v>#REF!</v>
      </c>
      <c r="D1753" t="e">
        <f>#REF!</f>
        <v>#REF!</v>
      </c>
      <c r="E1753" t="e">
        <f>#REF!</f>
        <v>#REF!</v>
      </c>
      <c r="G1753" t="e">
        <f t="shared" si="136"/>
        <v>#REF!</v>
      </c>
      <c r="H1753" t="e">
        <f t="shared" si="137"/>
        <v>#REF!</v>
      </c>
      <c r="I1753" s="141" t="e">
        <f t="shared" si="138"/>
        <v>#REF!</v>
      </c>
      <c r="J1753" t="e">
        <f t="shared" si="139"/>
        <v>#REF!</v>
      </c>
      <c r="K1753" s="141" t="e">
        <f t="shared" si="140"/>
        <v>#REF!</v>
      </c>
    </row>
    <row r="1754" spans="1:11" hidden="1" x14ac:dyDescent="0.25">
      <c r="A1754" t="e">
        <f>#REF!</f>
        <v>#REF!</v>
      </c>
      <c r="B1754" t="e">
        <f>#REF!</f>
        <v>#REF!</v>
      </c>
      <c r="C1754" t="e">
        <f>#REF!</f>
        <v>#REF!</v>
      </c>
      <c r="D1754" t="e">
        <f>#REF!</f>
        <v>#REF!</v>
      </c>
      <c r="E1754" t="e">
        <f>#REF!</f>
        <v>#REF!</v>
      </c>
      <c r="G1754" t="e">
        <f t="shared" si="136"/>
        <v>#REF!</v>
      </c>
      <c r="H1754" t="e">
        <f t="shared" si="137"/>
        <v>#REF!</v>
      </c>
      <c r="I1754" s="141" t="e">
        <f t="shared" si="138"/>
        <v>#REF!</v>
      </c>
      <c r="J1754" t="e">
        <f t="shared" si="139"/>
        <v>#REF!</v>
      </c>
      <c r="K1754" s="141" t="e">
        <f t="shared" si="140"/>
        <v>#REF!</v>
      </c>
    </row>
    <row r="1755" spans="1:11" hidden="1" x14ac:dyDescent="0.25">
      <c r="A1755" t="e">
        <f>#REF!</f>
        <v>#REF!</v>
      </c>
      <c r="B1755" t="e">
        <f>#REF!</f>
        <v>#REF!</v>
      </c>
      <c r="C1755" t="e">
        <f>#REF!</f>
        <v>#REF!</v>
      </c>
      <c r="D1755" t="e">
        <f>#REF!</f>
        <v>#REF!</v>
      </c>
      <c r="E1755" t="e">
        <f>#REF!</f>
        <v>#REF!</v>
      </c>
      <c r="G1755" t="e">
        <f t="shared" si="136"/>
        <v>#REF!</v>
      </c>
      <c r="H1755" t="e">
        <f t="shared" si="137"/>
        <v>#REF!</v>
      </c>
      <c r="I1755" s="141" t="e">
        <f t="shared" si="138"/>
        <v>#REF!</v>
      </c>
      <c r="J1755" t="e">
        <f t="shared" si="139"/>
        <v>#REF!</v>
      </c>
      <c r="K1755" s="141" t="e">
        <f t="shared" si="140"/>
        <v>#REF!</v>
      </c>
    </row>
    <row r="1756" spans="1:11" hidden="1" x14ac:dyDescent="0.25">
      <c r="A1756" t="e">
        <f>#REF!</f>
        <v>#REF!</v>
      </c>
      <c r="B1756" t="e">
        <f>#REF!</f>
        <v>#REF!</v>
      </c>
      <c r="C1756" t="e">
        <f>#REF!</f>
        <v>#REF!</v>
      </c>
      <c r="D1756" t="e">
        <f>#REF!</f>
        <v>#REF!</v>
      </c>
      <c r="E1756" t="e">
        <f>#REF!</f>
        <v>#REF!</v>
      </c>
      <c r="G1756" t="e">
        <f t="shared" si="136"/>
        <v>#REF!</v>
      </c>
      <c r="H1756" t="e">
        <f t="shared" si="137"/>
        <v>#REF!</v>
      </c>
      <c r="I1756" s="141" t="e">
        <f t="shared" si="138"/>
        <v>#REF!</v>
      </c>
      <c r="J1756" t="e">
        <f t="shared" si="139"/>
        <v>#REF!</v>
      </c>
      <c r="K1756" s="141" t="e">
        <f t="shared" si="140"/>
        <v>#REF!</v>
      </c>
    </row>
    <row r="1757" spans="1:11" hidden="1" x14ac:dyDescent="0.25">
      <c r="A1757" t="e">
        <f>#REF!</f>
        <v>#REF!</v>
      </c>
      <c r="B1757" t="e">
        <f>#REF!</f>
        <v>#REF!</v>
      </c>
      <c r="C1757" t="e">
        <f>#REF!</f>
        <v>#REF!</v>
      </c>
      <c r="D1757" t="e">
        <f>#REF!</f>
        <v>#REF!</v>
      </c>
      <c r="E1757" t="e">
        <f>#REF!</f>
        <v>#REF!</v>
      </c>
      <c r="G1757" t="e">
        <f t="shared" si="136"/>
        <v>#REF!</v>
      </c>
      <c r="H1757" t="e">
        <f t="shared" si="137"/>
        <v>#REF!</v>
      </c>
      <c r="I1757" s="141" t="e">
        <f t="shared" si="138"/>
        <v>#REF!</v>
      </c>
      <c r="J1757" t="e">
        <f t="shared" si="139"/>
        <v>#REF!</v>
      </c>
      <c r="K1757" s="141" t="e">
        <f t="shared" si="140"/>
        <v>#REF!</v>
      </c>
    </row>
    <row r="1758" spans="1:11" hidden="1" x14ac:dyDescent="0.25">
      <c r="A1758" t="e">
        <f>#REF!</f>
        <v>#REF!</v>
      </c>
      <c r="B1758" t="e">
        <f>#REF!</f>
        <v>#REF!</v>
      </c>
      <c r="C1758" t="e">
        <f>#REF!</f>
        <v>#REF!</v>
      </c>
      <c r="D1758" t="e">
        <f>#REF!</f>
        <v>#REF!</v>
      </c>
      <c r="E1758" t="e">
        <f>#REF!</f>
        <v>#REF!</v>
      </c>
      <c r="G1758" t="e">
        <f t="shared" si="136"/>
        <v>#REF!</v>
      </c>
      <c r="H1758" t="e">
        <f t="shared" si="137"/>
        <v>#REF!</v>
      </c>
      <c r="I1758" s="141" t="e">
        <f t="shared" si="138"/>
        <v>#REF!</v>
      </c>
      <c r="J1758" t="e">
        <f t="shared" si="139"/>
        <v>#REF!</v>
      </c>
      <c r="K1758" s="141" t="e">
        <f t="shared" si="140"/>
        <v>#REF!</v>
      </c>
    </row>
    <row r="1759" spans="1:11" hidden="1" x14ac:dyDescent="0.25">
      <c r="A1759" t="e">
        <f>#REF!</f>
        <v>#REF!</v>
      </c>
      <c r="B1759" t="e">
        <f>#REF!</f>
        <v>#REF!</v>
      </c>
      <c r="C1759" t="e">
        <f>#REF!</f>
        <v>#REF!</v>
      </c>
      <c r="D1759" t="e">
        <f>#REF!</f>
        <v>#REF!</v>
      </c>
      <c r="E1759" t="e">
        <f>#REF!</f>
        <v>#REF!</v>
      </c>
      <c r="G1759" t="e">
        <f t="shared" si="136"/>
        <v>#REF!</v>
      </c>
      <c r="H1759" t="e">
        <f t="shared" si="137"/>
        <v>#REF!</v>
      </c>
      <c r="I1759" s="141" t="e">
        <f t="shared" si="138"/>
        <v>#REF!</v>
      </c>
      <c r="J1759" t="e">
        <f t="shared" si="139"/>
        <v>#REF!</v>
      </c>
      <c r="K1759" s="141" t="e">
        <f t="shared" si="140"/>
        <v>#REF!</v>
      </c>
    </row>
    <row r="1760" spans="1:11" hidden="1" x14ac:dyDescent="0.25">
      <c r="A1760" t="e">
        <f>#REF!</f>
        <v>#REF!</v>
      </c>
      <c r="B1760" t="e">
        <f>#REF!</f>
        <v>#REF!</v>
      </c>
      <c r="C1760" t="e">
        <f>#REF!</f>
        <v>#REF!</v>
      </c>
      <c r="D1760" t="e">
        <f>#REF!</f>
        <v>#REF!</v>
      </c>
      <c r="E1760" t="e">
        <f>#REF!</f>
        <v>#REF!</v>
      </c>
      <c r="G1760" t="e">
        <f t="shared" si="136"/>
        <v>#REF!</v>
      </c>
      <c r="H1760" t="e">
        <f t="shared" si="137"/>
        <v>#REF!</v>
      </c>
      <c r="I1760" s="141" t="e">
        <f t="shared" si="138"/>
        <v>#REF!</v>
      </c>
      <c r="J1760" t="e">
        <f t="shared" si="139"/>
        <v>#REF!</v>
      </c>
      <c r="K1760" s="141" t="e">
        <f t="shared" si="140"/>
        <v>#REF!</v>
      </c>
    </row>
    <row r="1761" spans="1:11" hidden="1" x14ac:dyDescent="0.25">
      <c r="A1761" t="e">
        <f>#REF!</f>
        <v>#REF!</v>
      </c>
      <c r="B1761" t="e">
        <f>#REF!</f>
        <v>#REF!</v>
      </c>
      <c r="C1761" t="e">
        <f>#REF!</f>
        <v>#REF!</v>
      </c>
      <c r="D1761" t="e">
        <f>#REF!</f>
        <v>#REF!</v>
      </c>
      <c r="E1761" t="e">
        <f>#REF!</f>
        <v>#REF!</v>
      </c>
      <c r="G1761" t="e">
        <f t="shared" si="136"/>
        <v>#REF!</v>
      </c>
      <c r="H1761" t="e">
        <f t="shared" si="137"/>
        <v>#REF!</v>
      </c>
      <c r="I1761" s="141" t="e">
        <f t="shared" si="138"/>
        <v>#REF!</v>
      </c>
      <c r="J1761" t="e">
        <f t="shared" si="139"/>
        <v>#REF!</v>
      </c>
      <c r="K1761" s="141" t="e">
        <f t="shared" si="140"/>
        <v>#REF!</v>
      </c>
    </row>
    <row r="1762" spans="1:11" hidden="1" x14ac:dyDescent="0.25">
      <c r="A1762" t="e">
        <f>#REF!</f>
        <v>#REF!</v>
      </c>
      <c r="B1762" t="e">
        <f>#REF!</f>
        <v>#REF!</v>
      </c>
      <c r="C1762" t="e">
        <f>#REF!</f>
        <v>#REF!</v>
      </c>
      <c r="D1762" t="e">
        <f>#REF!</f>
        <v>#REF!</v>
      </c>
      <c r="E1762" t="e">
        <f>#REF!</f>
        <v>#REF!</v>
      </c>
      <c r="G1762" t="e">
        <f t="shared" si="136"/>
        <v>#REF!</v>
      </c>
      <c r="H1762" t="e">
        <f t="shared" si="137"/>
        <v>#REF!</v>
      </c>
      <c r="I1762" s="141" t="e">
        <f t="shared" si="138"/>
        <v>#REF!</v>
      </c>
      <c r="J1762" t="e">
        <f t="shared" si="139"/>
        <v>#REF!</v>
      </c>
      <c r="K1762" s="141" t="e">
        <f t="shared" si="140"/>
        <v>#REF!</v>
      </c>
    </row>
    <row r="1763" spans="1:11" hidden="1" x14ac:dyDescent="0.25">
      <c r="A1763" t="e">
        <f>#REF!</f>
        <v>#REF!</v>
      </c>
      <c r="B1763" t="e">
        <f>#REF!</f>
        <v>#REF!</v>
      </c>
      <c r="C1763" t="e">
        <f>#REF!</f>
        <v>#REF!</v>
      </c>
      <c r="D1763" t="e">
        <f>#REF!</f>
        <v>#REF!</v>
      </c>
      <c r="E1763" t="e">
        <f>#REF!</f>
        <v>#REF!</v>
      </c>
      <c r="G1763" t="e">
        <f t="shared" si="136"/>
        <v>#REF!</v>
      </c>
      <c r="H1763" t="e">
        <f t="shared" si="137"/>
        <v>#REF!</v>
      </c>
      <c r="I1763" s="141" t="e">
        <f t="shared" si="138"/>
        <v>#REF!</v>
      </c>
      <c r="J1763" t="e">
        <f t="shared" si="139"/>
        <v>#REF!</v>
      </c>
      <c r="K1763" s="141" t="e">
        <f t="shared" si="140"/>
        <v>#REF!</v>
      </c>
    </row>
    <row r="1764" spans="1:11" hidden="1" x14ac:dyDescent="0.25">
      <c r="A1764" t="e">
        <f>#REF!</f>
        <v>#REF!</v>
      </c>
      <c r="B1764" t="e">
        <f>#REF!</f>
        <v>#REF!</v>
      </c>
      <c r="C1764" t="e">
        <f>#REF!</f>
        <v>#REF!</v>
      </c>
      <c r="D1764" t="e">
        <f>#REF!</f>
        <v>#REF!</v>
      </c>
      <c r="E1764" t="e">
        <f>#REF!</f>
        <v>#REF!</v>
      </c>
      <c r="G1764" t="e">
        <f t="shared" si="136"/>
        <v>#REF!</v>
      </c>
      <c r="H1764" t="e">
        <f t="shared" si="137"/>
        <v>#REF!</v>
      </c>
      <c r="I1764" s="141" t="e">
        <f t="shared" si="138"/>
        <v>#REF!</v>
      </c>
      <c r="J1764" t="e">
        <f t="shared" si="139"/>
        <v>#REF!</v>
      </c>
      <c r="K1764" s="141" t="e">
        <f t="shared" si="140"/>
        <v>#REF!</v>
      </c>
    </row>
    <row r="1765" spans="1:11" hidden="1" x14ac:dyDescent="0.25">
      <c r="A1765" t="e">
        <f>#REF!</f>
        <v>#REF!</v>
      </c>
      <c r="B1765" t="e">
        <f>#REF!</f>
        <v>#REF!</v>
      </c>
      <c r="C1765" t="e">
        <f>#REF!</f>
        <v>#REF!</v>
      </c>
      <c r="D1765" t="e">
        <f>#REF!</f>
        <v>#REF!</v>
      </c>
      <c r="E1765" t="e">
        <f>#REF!</f>
        <v>#REF!</v>
      </c>
      <c r="G1765" t="e">
        <f t="shared" si="136"/>
        <v>#REF!</v>
      </c>
      <c r="H1765" t="e">
        <f t="shared" si="137"/>
        <v>#REF!</v>
      </c>
      <c r="I1765" s="141" t="e">
        <f t="shared" si="138"/>
        <v>#REF!</v>
      </c>
      <c r="J1765" t="e">
        <f t="shared" si="139"/>
        <v>#REF!</v>
      </c>
      <c r="K1765" s="141" t="e">
        <f t="shared" si="140"/>
        <v>#REF!</v>
      </c>
    </row>
    <row r="1766" spans="1:11" hidden="1" x14ac:dyDescent="0.25">
      <c r="A1766" t="e">
        <f>#REF!</f>
        <v>#REF!</v>
      </c>
      <c r="B1766" t="e">
        <f>#REF!</f>
        <v>#REF!</v>
      </c>
      <c r="C1766" t="e">
        <f>#REF!</f>
        <v>#REF!</v>
      </c>
      <c r="D1766" t="e">
        <f>#REF!</f>
        <v>#REF!</v>
      </c>
      <c r="E1766" t="e">
        <f>#REF!</f>
        <v>#REF!</v>
      </c>
      <c r="G1766" t="e">
        <f t="shared" si="136"/>
        <v>#REF!</v>
      </c>
      <c r="H1766" t="e">
        <f t="shared" si="137"/>
        <v>#REF!</v>
      </c>
      <c r="I1766" s="141" t="e">
        <f t="shared" si="138"/>
        <v>#REF!</v>
      </c>
      <c r="J1766" t="e">
        <f t="shared" si="139"/>
        <v>#REF!</v>
      </c>
      <c r="K1766" s="141" t="e">
        <f t="shared" si="140"/>
        <v>#REF!</v>
      </c>
    </row>
    <row r="1767" spans="1:11" hidden="1" x14ac:dyDescent="0.25">
      <c r="A1767" t="e">
        <f>#REF!</f>
        <v>#REF!</v>
      </c>
      <c r="B1767" t="e">
        <f>#REF!</f>
        <v>#REF!</v>
      </c>
      <c r="C1767" t="e">
        <f>#REF!</f>
        <v>#REF!</v>
      </c>
      <c r="D1767" t="e">
        <f>#REF!</f>
        <v>#REF!</v>
      </c>
      <c r="E1767" t="e">
        <f>#REF!</f>
        <v>#REF!</v>
      </c>
      <c r="G1767" t="e">
        <f t="shared" si="136"/>
        <v>#REF!</v>
      </c>
      <c r="H1767" t="e">
        <f t="shared" si="137"/>
        <v>#REF!</v>
      </c>
      <c r="I1767" s="141" t="e">
        <f t="shared" si="138"/>
        <v>#REF!</v>
      </c>
      <c r="J1767" t="e">
        <f t="shared" si="139"/>
        <v>#REF!</v>
      </c>
      <c r="K1767" s="141" t="e">
        <f t="shared" si="140"/>
        <v>#REF!</v>
      </c>
    </row>
    <row r="1768" spans="1:11" hidden="1" x14ac:dyDescent="0.25">
      <c r="A1768" t="e">
        <f>#REF!</f>
        <v>#REF!</v>
      </c>
      <c r="B1768" t="e">
        <f>#REF!</f>
        <v>#REF!</v>
      </c>
      <c r="C1768" t="e">
        <f>#REF!</f>
        <v>#REF!</v>
      </c>
      <c r="D1768" t="e">
        <f>#REF!</f>
        <v>#REF!</v>
      </c>
      <c r="E1768" t="e">
        <f>#REF!</f>
        <v>#REF!</v>
      </c>
      <c r="G1768" t="e">
        <f t="shared" si="136"/>
        <v>#REF!</v>
      </c>
      <c r="H1768" t="e">
        <f t="shared" si="137"/>
        <v>#REF!</v>
      </c>
      <c r="I1768" s="141" t="e">
        <f t="shared" si="138"/>
        <v>#REF!</v>
      </c>
      <c r="J1768" t="e">
        <f t="shared" si="139"/>
        <v>#REF!</v>
      </c>
      <c r="K1768" s="141" t="e">
        <f t="shared" si="140"/>
        <v>#REF!</v>
      </c>
    </row>
    <row r="1769" spans="1:11" hidden="1" x14ac:dyDescent="0.25">
      <c r="A1769" t="e">
        <f>#REF!</f>
        <v>#REF!</v>
      </c>
      <c r="B1769" t="e">
        <f>#REF!</f>
        <v>#REF!</v>
      </c>
      <c r="C1769" t="e">
        <f>#REF!</f>
        <v>#REF!</v>
      </c>
      <c r="D1769" t="e">
        <f>#REF!</f>
        <v>#REF!</v>
      </c>
      <c r="E1769" t="e">
        <f>#REF!</f>
        <v>#REF!</v>
      </c>
      <c r="G1769" t="e">
        <f t="shared" si="136"/>
        <v>#REF!</v>
      </c>
      <c r="H1769" t="e">
        <f t="shared" si="137"/>
        <v>#REF!</v>
      </c>
      <c r="I1769" s="141" t="e">
        <f t="shared" si="138"/>
        <v>#REF!</v>
      </c>
      <c r="J1769" t="e">
        <f t="shared" si="139"/>
        <v>#REF!</v>
      </c>
      <c r="K1769" s="141" t="e">
        <f t="shared" si="140"/>
        <v>#REF!</v>
      </c>
    </row>
    <row r="1770" spans="1:11" hidden="1" x14ac:dyDescent="0.25">
      <c r="A1770" t="e">
        <f>#REF!</f>
        <v>#REF!</v>
      </c>
      <c r="B1770" t="e">
        <f>#REF!</f>
        <v>#REF!</v>
      </c>
      <c r="C1770" t="e">
        <f>#REF!</f>
        <v>#REF!</v>
      </c>
      <c r="D1770" t="e">
        <f>#REF!</f>
        <v>#REF!</v>
      </c>
      <c r="E1770" t="e">
        <f>#REF!</f>
        <v>#REF!</v>
      </c>
      <c r="G1770" t="e">
        <f t="shared" si="136"/>
        <v>#REF!</v>
      </c>
      <c r="H1770" t="e">
        <f t="shared" si="137"/>
        <v>#REF!</v>
      </c>
      <c r="I1770" s="141" t="e">
        <f t="shared" si="138"/>
        <v>#REF!</v>
      </c>
      <c r="J1770" t="e">
        <f t="shared" si="139"/>
        <v>#REF!</v>
      </c>
      <c r="K1770" s="141" t="e">
        <f t="shared" si="140"/>
        <v>#REF!</v>
      </c>
    </row>
    <row r="1771" spans="1:11" hidden="1" x14ac:dyDescent="0.25">
      <c r="A1771" t="e">
        <f>#REF!</f>
        <v>#REF!</v>
      </c>
      <c r="B1771" t="e">
        <f>#REF!</f>
        <v>#REF!</v>
      </c>
      <c r="C1771" t="e">
        <f>#REF!</f>
        <v>#REF!</v>
      </c>
      <c r="D1771" t="e">
        <f>#REF!</f>
        <v>#REF!</v>
      </c>
      <c r="E1771" t="e">
        <f>#REF!</f>
        <v>#REF!</v>
      </c>
      <c r="G1771" t="e">
        <f t="shared" si="136"/>
        <v>#REF!</v>
      </c>
      <c r="H1771" t="e">
        <f t="shared" si="137"/>
        <v>#REF!</v>
      </c>
      <c r="I1771" s="141" t="e">
        <f t="shared" si="138"/>
        <v>#REF!</v>
      </c>
      <c r="J1771" t="e">
        <f t="shared" si="139"/>
        <v>#REF!</v>
      </c>
      <c r="K1771" s="141" t="e">
        <f t="shared" si="140"/>
        <v>#REF!</v>
      </c>
    </row>
    <row r="1772" spans="1:11" hidden="1" x14ac:dyDescent="0.25">
      <c r="A1772" t="e">
        <f>#REF!</f>
        <v>#REF!</v>
      </c>
      <c r="B1772" t="e">
        <f>#REF!</f>
        <v>#REF!</v>
      </c>
      <c r="C1772" t="e">
        <f>#REF!</f>
        <v>#REF!</v>
      </c>
      <c r="D1772" t="e">
        <f>#REF!</f>
        <v>#REF!</v>
      </c>
      <c r="E1772" t="e">
        <f>#REF!</f>
        <v>#REF!</v>
      </c>
      <c r="G1772" t="e">
        <f t="shared" si="136"/>
        <v>#REF!</v>
      </c>
      <c r="H1772" t="e">
        <f t="shared" si="137"/>
        <v>#REF!</v>
      </c>
      <c r="I1772" s="141" t="e">
        <f t="shared" si="138"/>
        <v>#REF!</v>
      </c>
      <c r="J1772" t="e">
        <f t="shared" si="139"/>
        <v>#REF!</v>
      </c>
      <c r="K1772" s="141" t="e">
        <f t="shared" si="140"/>
        <v>#REF!</v>
      </c>
    </row>
    <row r="1773" spans="1:11" hidden="1" x14ac:dyDescent="0.25">
      <c r="A1773" t="e">
        <f>#REF!</f>
        <v>#REF!</v>
      </c>
      <c r="B1773" t="e">
        <f>#REF!</f>
        <v>#REF!</v>
      </c>
      <c r="C1773" t="e">
        <f>#REF!</f>
        <v>#REF!</v>
      </c>
      <c r="D1773" t="e">
        <f>#REF!</f>
        <v>#REF!</v>
      </c>
      <c r="E1773" t="e">
        <f>#REF!</f>
        <v>#REF!</v>
      </c>
      <c r="G1773" t="e">
        <f t="shared" si="136"/>
        <v>#REF!</v>
      </c>
      <c r="H1773" t="e">
        <f t="shared" si="137"/>
        <v>#REF!</v>
      </c>
      <c r="I1773" s="141" t="e">
        <f t="shared" si="138"/>
        <v>#REF!</v>
      </c>
      <c r="J1773" t="e">
        <f t="shared" si="139"/>
        <v>#REF!</v>
      </c>
      <c r="K1773" s="141" t="e">
        <f t="shared" si="140"/>
        <v>#REF!</v>
      </c>
    </row>
    <row r="1774" spans="1:11" hidden="1" x14ac:dyDescent="0.25">
      <c r="A1774" t="e">
        <f>#REF!</f>
        <v>#REF!</v>
      </c>
      <c r="B1774" t="e">
        <f>#REF!</f>
        <v>#REF!</v>
      </c>
      <c r="C1774" t="e">
        <f>#REF!</f>
        <v>#REF!</v>
      </c>
      <c r="D1774" t="e">
        <f>#REF!</f>
        <v>#REF!</v>
      </c>
      <c r="E1774" t="e">
        <f>#REF!</f>
        <v>#REF!</v>
      </c>
      <c r="G1774" t="e">
        <f t="shared" si="136"/>
        <v>#REF!</v>
      </c>
      <c r="H1774" t="e">
        <f t="shared" si="137"/>
        <v>#REF!</v>
      </c>
      <c r="I1774" s="141" t="e">
        <f t="shared" si="138"/>
        <v>#REF!</v>
      </c>
      <c r="J1774" t="e">
        <f t="shared" si="139"/>
        <v>#REF!</v>
      </c>
      <c r="K1774" s="141" t="e">
        <f t="shared" si="140"/>
        <v>#REF!</v>
      </c>
    </row>
    <row r="1775" spans="1:11" hidden="1" x14ac:dyDescent="0.25">
      <c r="A1775" t="e">
        <f>#REF!</f>
        <v>#REF!</v>
      </c>
      <c r="B1775" t="e">
        <f>#REF!</f>
        <v>#REF!</v>
      </c>
      <c r="C1775" t="e">
        <f>#REF!</f>
        <v>#REF!</v>
      </c>
      <c r="D1775" t="e">
        <f>#REF!</f>
        <v>#REF!</v>
      </c>
      <c r="E1775" t="e">
        <f>#REF!</f>
        <v>#REF!</v>
      </c>
      <c r="G1775" t="e">
        <f t="shared" si="136"/>
        <v>#REF!</v>
      </c>
      <c r="H1775" t="e">
        <f t="shared" si="137"/>
        <v>#REF!</v>
      </c>
      <c r="I1775" s="141" t="e">
        <f t="shared" si="138"/>
        <v>#REF!</v>
      </c>
      <c r="J1775" t="e">
        <f t="shared" si="139"/>
        <v>#REF!</v>
      </c>
      <c r="K1775" s="141" t="e">
        <f t="shared" si="140"/>
        <v>#REF!</v>
      </c>
    </row>
    <row r="1776" spans="1:11" hidden="1" x14ac:dyDescent="0.25">
      <c r="A1776" t="e">
        <f>#REF!</f>
        <v>#REF!</v>
      </c>
      <c r="B1776" t="e">
        <f>#REF!</f>
        <v>#REF!</v>
      </c>
      <c r="C1776" t="e">
        <f>#REF!</f>
        <v>#REF!</v>
      </c>
      <c r="D1776" t="e">
        <f>#REF!</f>
        <v>#REF!</v>
      </c>
      <c r="E1776" t="e">
        <f>#REF!</f>
        <v>#REF!</v>
      </c>
      <c r="G1776" t="e">
        <f t="shared" si="136"/>
        <v>#REF!</v>
      </c>
      <c r="H1776" t="e">
        <f t="shared" si="137"/>
        <v>#REF!</v>
      </c>
      <c r="I1776" s="141" t="e">
        <f t="shared" si="138"/>
        <v>#REF!</v>
      </c>
      <c r="J1776" t="e">
        <f t="shared" si="139"/>
        <v>#REF!</v>
      </c>
      <c r="K1776" s="141" t="e">
        <f t="shared" si="140"/>
        <v>#REF!</v>
      </c>
    </row>
    <row r="1777" spans="1:11" hidden="1" x14ac:dyDescent="0.25">
      <c r="A1777" t="e">
        <f>#REF!</f>
        <v>#REF!</v>
      </c>
      <c r="B1777" t="e">
        <f>#REF!</f>
        <v>#REF!</v>
      </c>
      <c r="C1777" t="e">
        <f>#REF!</f>
        <v>#REF!</v>
      </c>
      <c r="D1777" t="e">
        <f>#REF!</f>
        <v>#REF!</v>
      </c>
      <c r="E1777" t="e">
        <f>#REF!</f>
        <v>#REF!</v>
      </c>
      <c r="G1777" t="e">
        <f t="shared" si="136"/>
        <v>#REF!</v>
      </c>
      <c r="H1777" t="e">
        <f t="shared" si="137"/>
        <v>#REF!</v>
      </c>
      <c r="I1777" s="141" t="e">
        <f t="shared" si="138"/>
        <v>#REF!</v>
      </c>
      <c r="J1777" t="e">
        <f t="shared" si="139"/>
        <v>#REF!</v>
      </c>
      <c r="K1777" s="141" t="e">
        <f t="shared" si="140"/>
        <v>#REF!</v>
      </c>
    </row>
    <row r="1778" spans="1:11" hidden="1" x14ac:dyDescent="0.25">
      <c r="A1778" t="e">
        <f>#REF!</f>
        <v>#REF!</v>
      </c>
      <c r="B1778" t="e">
        <f>#REF!</f>
        <v>#REF!</v>
      </c>
      <c r="C1778" t="e">
        <f>#REF!</f>
        <v>#REF!</v>
      </c>
      <c r="D1778" t="e">
        <f>#REF!</f>
        <v>#REF!</v>
      </c>
      <c r="E1778" t="e">
        <f>#REF!</f>
        <v>#REF!</v>
      </c>
      <c r="G1778" t="e">
        <f t="shared" si="136"/>
        <v>#REF!</v>
      </c>
      <c r="H1778" t="e">
        <f t="shared" si="137"/>
        <v>#REF!</v>
      </c>
      <c r="I1778" s="141" t="e">
        <f t="shared" si="138"/>
        <v>#REF!</v>
      </c>
      <c r="J1778" t="e">
        <f t="shared" si="139"/>
        <v>#REF!</v>
      </c>
      <c r="K1778" s="141" t="e">
        <f t="shared" si="140"/>
        <v>#REF!</v>
      </c>
    </row>
    <row r="1779" spans="1:11" hidden="1" x14ac:dyDescent="0.25">
      <c r="A1779" t="e">
        <f>#REF!</f>
        <v>#REF!</v>
      </c>
      <c r="B1779" t="e">
        <f>#REF!</f>
        <v>#REF!</v>
      </c>
      <c r="C1779" t="e">
        <f>#REF!</f>
        <v>#REF!</v>
      </c>
      <c r="D1779" t="e">
        <f>#REF!</f>
        <v>#REF!</v>
      </c>
      <c r="E1779" t="e">
        <f>#REF!</f>
        <v>#REF!</v>
      </c>
      <c r="G1779" t="e">
        <f t="shared" si="136"/>
        <v>#REF!</v>
      </c>
      <c r="H1779" t="e">
        <f t="shared" si="137"/>
        <v>#REF!</v>
      </c>
      <c r="I1779" s="141" t="e">
        <f t="shared" si="138"/>
        <v>#REF!</v>
      </c>
      <c r="J1779" t="e">
        <f t="shared" si="139"/>
        <v>#REF!</v>
      </c>
      <c r="K1779" s="141" t="e">
        <f t="shared" si="140"/>
        <v>#REF!</v>
      </c>
    </row>
    <row r="1780" spans="1:11" hidden="1" x14ac:dyDescent="0.25">
      <c r="A1780" t="e">
        <f>#REF!</f>
        <v>#REF!</v>
      </c>
      <c r="B1780" t="e">
        <f>#REF!</f>
        <v>#REF!</v>
      </c>
      <c r="C1780" t="e">
        <f>#REF!</f>
        <v>#REF!</v>
      </c>
      <c r="D1780" t="e">
        <f>#REF!</f>
        <v>#REF!</v>
      </c>
      <c r="E1780" t="e">
        <f>#REF!</f>
        <v>#REF!</v>
      </c>
      <c r="G1780" t="e">
        <f t="shared" si="136"/>
        <v>#REF!</v>
      </c>
      <c r="H1780" t="e">
        <f t="shared" si="137"/>
        <v>#REF!</v>
      </c>
      <c r="I1780" s="141" t="e">
        <f t="shared" si="138"/>
        <v>#REF!</v>
      </c>
      <c r="J1780" t="e">
        <f t="shared" si="139"/>
        <v>#REF!</v>
      </c>
      <c r="K1780" s="141" t="e">
        <f t="shared" si="140"/>
        <v>#REF!</v>
      </c>
    </row>
    <row r="1781" spans="1:11" hidden="1" x14ac:dyDescent="0.25">
      <c r="A1781" t="e">
        <f>#REF!</f>
        <v>#REF!</v>
      </c>
      <c r="B1781" t="e">
        <f>#REF!</f>
        <v>#REF!</v>
      </c>
      <c r="C1781" t="e">
        <f>#REF!</f>
        <v>#REF!</v>
      </c>
      <c r="D1781" t="e">
        <f>#REF!</f>
        <v>#REF!</v>
      </c>
      <c r="E1781" t="e">
        <f>#REF!</f>
        <v>#REF!</v>
      </c>
      <c r="G1781" t="e">
        <f t="shared" si="136"/>
        <v>#REF!</v>
      </c>
      <c r="H1781" t="e">
        <f t="shared" si="137"/>
        <v>#REF!</v>
      </c>
      <c r="I1781" s="141" t="e">
        <f t="shared" si="138"/>
        <v>#REF!</v>
      </c>
      <c r="J1781" t="e">
        <f t="shared" si="139"/>
        <v>#REF!</v>
      </c>
      <c r="K1781" s="141" t="e">
        <f t="shared" si="140"/>
        <v>#REF!</v>
      </c>
    </row>
    <row r="1782" spans="1:11" hidden="1" x14ac:dyDescent="0.25">
      <c r="A1782" t="e">
        <f>#REF!</f>
        <v>#REF!</v>
      </c>
      <c r="B1782" t="e">
        <f>#REF!</f>
        <v>#REF!</v>
      </c>
      <c r="C1782" t="e">
        <f>#REF!</f>
        <v>#REF!</v>
      </c>
      <c r="D1782" t="e">
        <f>#REF!</f>
        <v>#REF!</v>
      </c>
      <c r="E1782" t="e">
        <f>#REF!</f>
        <v>#REF!</v>
      </c>
      <c r="G1782" t="e">
        <f t="shared" si="136"/>
        <v>#REF!</v>
      </c>
      <c r="H1782" t="e">
        <f t="shared" si="137"/>
        <v>#REF!</v>
      </c>
      <c r="I1782" s="141" t="e">
        <f t="shared" si="138"/>
        <v>#REF!</v>
      </c>
      <c r="J1782" t="e">
        <f t="shared" si="139"/>
        <v>#REF!</v>
      </c>
      <c r="K1782" s="141" t="e">
        <f t="shared" si="140"/>
        <v>#REF!</v>
      </c>
    </row>
    <row r="1783" spans="1:11" hidden="1" x14ac:dyDescent="0.25">
      <c r="A1783" t="e">
        <f>#REF!</f>
        <v>#REF!</v>
      </c>
      <c r="B1783" t="e">
        <f>#REF!</f>
        <v>#REF!</v>
      </c>
      <c r="C1783" t="e">
        <f>#REF!</f>
        <v>#REF!</v>
      </c>
      <c r="D1783" t="e">
        <f>#REF!</f>
        <v>#REF!</v>
      </c>
      <c r="E1783" t="e">
        <f>#REF!</f>
        <v>#REF!</v>
      </c>
      <c r="G1783" t="e">
        <f t="shared" si="136"/>
        <v>#REF!</v>
      </c>
      <c r="H1783" t="e">
        <f t="shared" si="137"/>
        <v>#REF!</v>
      </c>
      <c r="I1783" s="141" t="e">
        <f t="shared" si="138"/>
        <v>#REF!</v>
      </c>
      <c r="J1783" t="e">
        <f t="shared" si="139"/>
        <v>#REF!</v>
      </c>
      <c r="K1783" s="141" t="e">
        <f t="shared" si="140"/>
        <v>#REF!</v>
      </c>
    </row>
    <row r="1784" spans="1:11" hidden="1" x14ac:dyDescent="0.25">
      <c r="A1784" t="e">
        <f>#REF!</f>
        <v>#REF!</v>
      </c>
      <c r="B1784" t="e">
        <f>#REF!</f>
        <v>#REF!</v>
      </c>
      <c r="C1784" t="e">
        <f>#REF!</f>
        <v>#REF!</v>
      </c>
      <c r="D1784" t="e">
        <f>#REF!</f>
        <v>#REF!</v>
      </c>
      <c r="E1784" t="e">
        <f>#REF!</f>
        <v>#REF!</v>
      </c>
      <c r="G1784" t="e">
        <f t="shared" si="136"/>
        <v>#REF!</v>
      </c>
      <c r="H1784" t="e">
        <f t="shared" si="137"/>
        <v>#REF!</v>
      </c>
      <c r="I1784" s="141" t="e">
        <f t="shared" si="138"/>
        <v>#REF!</v>
      </c>
      <c r="J1784" t="e">
        <f t="shared" si="139"/>
        <v>#REF!</v>
      </c>
      <c r="K1784" s="141" t="e">
        <f t="shared" si="140"/>
        <v>#REF!</v>
      </c>
    </row>
    <row r="1785" spans="1:11" hidden="1" x14ac:dyDescent="0.25">
      <c r="A1785" t="e">
        <f>#REF!</f>
        <v>#REF!</v>
      </c>
      <c r="B1785" t="e">
        <f>#REF!</f>
        <v>#REF!</v>
      </c>
      <c r="C1785" t="e">
        <f>#REF!</f>
        <v>#REF!</v>
      </c>
      <c r="D1785" t="e">
        <f>#REF!</f>
        <v>#REF!</v>
      </c>
      <c r="E1785" t="e">
        <f>#REF!</f>
        <v>#REF!</v>
      </c>
      <c r="G1785" t="e">
        <f t="shared" si="136"/>
        <v>#REF!</v>
      </c>
      <c r="H1785" t="e">
        <f t="shared" si="137"/>
        <v>#REF!</v>
      </c>
      <c r="I1785" s="141" t="e">
        <f t="shared" si="138"/>
        <v>#REF!</v>
      </c>
      <c r="J1785" t="e">
        <f t="shared" si="139"/>
        <v>#REF!</v>
      </c>
      <c r="K1785" s="141" t="e">
        <f t="shared" si="140"/>
        <v>#REF!</v>
      </c>
    </row>
    <row r="1786" spans="1:11" hidden="1" x14ac:dyDescent="0.25">
      <c r="A1786" t="e">
        <f>#REF!</f>
        <v>#REF!</v>
      </c>
      <c r="B1786" t="e">
        <f>#REF!</f>
        <v>#REF!</v>
      </c>
      <c r="C1786" t="e">
        <f>#REF!</f>
        <v>#REF!</v>
      </c>
      <c r="D1786" t="e">
        <f>#REF!</f>
        <v>#REF!</v>
      </c>
      <c r="E1786" t="e">
        <f>#REF!</f>
        <v>#REF!</v>
      </c>
      <c r="G1786" t="e">
        <f t="shared" si="136"/>
        <v>#REF!</v>
      </c>
      <c r="H1786" t="e">
        <f t="shared" si="137"/>
        <v>#REF!</v>
      </c>
      <c r="I1786" s="141" t="e">
        <f t="shared" si="138"/>
        <v>#REF!</v>
      </c>
      <c r="J1786" t="e">
        <f t="shared" si="139"/>
        <v>#REF!</v>
      </c>
      <c r="K1786" s="141" t="e">
        <f t="shared" si="140"/>
        <v>#REF!</v>
      </c>
    </row>
    <row r="1787" spans="1:11" hidden="1" x14ac:dyDescent="0.25">
      <c r="A1787" t="e">
        <f>#REF!</f>
        <v>#REF!</v>
      </c>
      <c r="B1787" t="e">
        <f>#REF!</f>
        <v>#REF!</v>
      </c>
      <c r="C1787" t="e">
        <f>#REF!</f>
        <v>#REF!</v>
      </c>
      <c r="D1787" t="e">
        <f>#REF!</f>
        <v>#REF!</v>
      </c>
      <c r="E1787" t="e">
        <f>#REF!</f>
        <v>#REF!</v>
      </c>
      <c r="G1787" t="e">
        <f t="shared" si="136"/>
        <v>#REF!</v>
      </c>
      <c r="H1787" t="e">
        <f t="shared" si="137"/>
        <v>#REF!</v>
      </c>
      <c r="I1787" s="141" t="e">
        <f t="shared" si="138"/>
        <v>#REF!</v>
      </c>
      <c r="J1787" t="e">
        <f t="shared" si="139"/>
        <v>#REF!</v>
      </c>
      <c r="K1787" s="141" t="e">
        <f t="shared" si="140"/>
        <v>#REF!</v>
      </c>
    </row>
    <row r="1788" spans="1:11" hidden="1" x14ac:dyDescent="0.25">
      <c r="A1788" t="e">
        <f>#REF!</f>
        <v>#REF!</v>
      </c>
      <c r="B1788" t="e">
        <f>#REF!</f>
        <v>#REF!</v>
      </c>
      <c r="C1788" t="e">
        <f>#REF!</f>
        <v>#REF!</v>
      </c>
      <c r="D1788" t="e">
        <f>#REF!</f>
        <v>#REF!</v>
      </c>
      <c r="E1788" t="e">
        <f>#REF!</f>
        <v>#REF!</v>
      </c>
      <c r="G1788" t="e">
        <f t="shared" si="136"/>
        <v>#REF!</v>
      </c>
      <c r="H1788" t="e">
        <f t="shared" si="137"/>
        <v>#REF!</v>
      </c>
      <c r="I1788" s="141" t="e">
        <f t="shared" si="138"/>
        <v>#REF!</v>
      </c>
      <c r="J1788" t="e">
        <f t="shared" si="139"/>
        <v>#REF!</v>
      </c>
      <c r="K1788" s="141" t="e">
        <f t="shared" si="140"/>
        <v>#REF!</v>
      </c>
    </row>
    <row r="1789" spans="1:11" hidden="1" x14ac:dyDescent="0.25">
      <c r="A1789" t="e">
        <f>#REF!</f>
        <v>#REF!</v>
      </c>
      <c r="B1789" t="e">
        <f>#REF!</f>
        <v>#REF!</v>
      </c>
      <c r="C1789" t="e">
        <f>#REF!</f>
        <v>#REF!</v>
      </c>
      <c r="D1789" t="e">
        <f>#REF!</f>
        <v>#REF!</v>
      </c>
      <c r="E1789" t="e">
        <f>#REF!</f>
        <v>#REF!</v>
      </c>
      <c r="G1789" t="e">
        <f t="shared" si="136"/>
        <v>#REF!</v>
      </c>
      <c r="H1789" t="e">
        <f t="shared" si="137"/>
        <v>#REF!</v>
      </c>
      <c r="I1789" s="141" t="e">
        <f t="shared" si="138"/>
        <v>#REF!</v>
      </c>
      <c r="J1789" t="e">
        <f t="shared" si="139"/>
        <v>#REF!</v>
      </c>
      <c r="K1789" s="141" t="e">
        <f t="shared" si="140"/>
        <v>#REF!</v>
      </c>
    </row>
    <row r="1790" spans="1:11" hidden="1" x14ac:dyDescent="0.25">
      <c r="A1790" t="e">
        <f>#REF!</f>
        <v>#REF!</v>
      </c>
      <c r="B1790" t="e">
        <f>#REF!</f>
        <v>#REF!</v>
      </c>
      <c r="C1790" t="e">
        <f>#REF!</f>
        <v>#REF!</v>
      </c>
      <c r="D1790" t="e">
        <f>#REF!</f>
        <v>#REF!</v>
      </c>
      <c r="E1790" t="e">
        <f>#REF!</f>
        <v>#REF!</v>
      </c>
      <c r="G1790" t="e">
        <f t="shared" si="136"/>
        <v>#REF!</v>
      </c>
      <c r="H1790" t="e">
        <f t="shared" si="137"/>
        <v>#REF!</v>
      </c>
      <c r="I1790" s="141" t="e">
        <f t="shared" si="138"/>
        <v>#REF!</v>
      </c>
      <c r="J1790" t="e">
        <f t="shared" si="139"/>
        <v>#REF!</v>
      </c>
      <c r="K1790" s="141" t="e">
        <f t="shared" si="140"/>
        <v>#REF!</v>
      </c>
    </row>
    <row r="1791" spans="1:11" hidden="1" x14ac:dyDescent="0.25">
      <c r="A1791" t="e">
        <f>#REF!</f>
        <v>#REF!</v>
      </c>
      <c r="B1791" t="e">
        <f>#REF!</f>
        <v>#REF!</v>
      </c>
      <c r="C1791" t="e">
        <f>#REF!</f>
        <v>#REF!</v>
      </c>
      <c r="D1791" t="e">
        <f>#REF!</f>
        <v>#REF!</v>
      </c>
      <c r="E1791" t="e">
        <f>#REF!</f>
        <v>#REF!</v>
      </c>
      <c r="G1791" t="e">
        <f t="shared" si="136"/>
        <v>#REF!</v>
      </c>
      <c r="H1791" t="e">
        <f t="shared" si="137"/>
        <v>#REF!</v>
      </c>
      <c r="I1791" s="141" t="e">
        <f t="shared" si="138"/>
        <v>#REF!</v>
      </c>
      <c r="J1791" t="e">
        <f t="shared" si="139"/>
        <v>#REF!</v>
      </c>
      <c r="K1791" s="141" t="e">
        <f t="shared" si="140"/>
        <v>#REF!</v>
      </c>
    </row>
    <row r="1792" spans="1:11" hidden="1" x14ac:dyDescent="0.25">
      <c r="A1792" t="e">
        <f>#REF!</f>
        <v>#REF!</v>
      </c>
      <c r="B1792" t="e">
        <f>#REF!</f>
        <v>#REF!</v>
      </c>
      <c r="C1792" t="e">
        <f>#REF!</f>
        <v>#REF!</v>
      </c>
      <c r="D1792" t="e">
        <f>#REF!</f>
        <v>#REF!</v>
      </c>
      <c r="E1792" t="e">
        <f>#REF!</f>
        <v>#REF!</v>
      </c>
      <c r="G1792" t="e">
        <f t="shared" si="136"/>
        <v>#REF!</v>
      </c>
      <c r="H1792" t="e">
        <f t="shared" si="137"/>
        <v>#REF!</v>
      </c>
      <c r="I1792" s="141" t="e">
        <f t="shared" si="138"/>
        <v>#REF!</v>
      </c>
      <c r="J1792" t="e">
        <f t="shared" si="139"/>
        <v>#REF!</v>
      </c>
      <c r="K1792" s="141" t="e">
        <f t="shared" si="140"/>
        <v>#REF!</v>
      </c>
    </row>
    <row r="1793" spans="1:11" hidden="1" x14ac:dyDescent="0.25">
      <c r="A1793" t="e">
        <f>#REF!</f>
        <v>#REF!</v>
      </c>
      <c r="B1793" t="e">
        <f>#REF!</f>
        <v>#REF!</v>
      </c>
      <c r="C1793" t="e">
        <f>#REF!</f>
        <v>#REF!</v>
      </c>
      <c r="D1793" t="e">
        <f>#REF!</f>
        <v>#REF!</v>
      </c>
      <c r="E1793" t="e">
        <f>#REF!</f>
        <v>#REF!</v>
      </c>
      <c r="G1793" t="e">
        <f t="shared" si="136"/>
        <v>#REF!</v>
      </c>
      <c r="H1793" t="e">
        <f t="shared" si="137"/>
        <v>#REF!</v>
      </c>
      <c r="I1793" s="141" t="e">
        <f t="shared" si="138"/>
        <v>#REF!</v>
      </c>
      <c r="J1793" t="e">
        <f t="shared" si="139"/>
        <v>#REF!</v>
      </c>
      <c r="K1793" s="141" t="e">
        <f t="shared" si="140"/>
        <v>#REF!</v>
      </c>
    </row>
    <row r="1794" spans="1:11" hidden="1" x14ac:dyDescent="0.25">
      <c r="A1794" t="e">
        <f>#REF!</f>
        <v>#REF!</v>
      </c>
      <c r="B1794" t="e">
        <f>#REF!</f>
        <v>#REF!</v>
      </c>
      <c r="C1794" t="e">
        <f>#REF!</f>
        <v>#REF!</v>
      </c>
      <c r="D1794" t="e">
        <f>#REF!</f>
        <v>#REF!</v>
      </c>
      <c r="E1794" t="e">
        <f>#REF!</f>
        <v>#REF!</v>
      </c>
      <c r="G1794" t="e">
        <f t="shared" ref="G1794:G1857" si="141">A1794</f>
        <v>#REF!</v>
      </c>
      <c r="H1794" t="e">
        <f t="shared" ref="H1794:H1857" si="142">B1794</f>
        <v>#REF!</v>
      </c>
      <c r="I1794" s="141" t="e">
        <f t="shared" ref="I1794:I1857" si="143">C1794</f>
        <v>#REF!</v>
      </c>
      <c r="J1794" t="e">
        <f t="shared" ref="J1794:J1857" si="144">D1794</f>
        <v>#REF!</v>
      </c>
      <c r="K1794" s="141" t="e">
        <f t="shared" ref="K1794:K1857" si="145">E1794</f>
        <v>#REF!</v>
      </c>
    </row>
    <row r="1795" spans="1:11" hidden="1" x14ac:dyDescent="0.25">
      <c r="A1795" t="e">
        <f>#REF!</f>
        <v>#REF!</v>
      </c>
      <c r="B1795" t="e">
        <f>#REF!</f>
        <v>#REF!</v>
      </c>
      <c r="C1795" t="e">
        <f>#REF!</f>
        <v>#REF!</v>
      </c>
      <c r="D1795" t="e">
        <f>#REF!</f>
        <v>#REF!</v>
      </c>
      <c r="E1795" t="e">
        <f>#REF!</f>
        <v>#REF!</v>
      </c>
      <c r="G1795" t="e">
        <f t="shared" si="141"/>
        <v>#REF!</v>
      </c>
      <c r="H1795" t="e">
        <f t="shared" si="142"/>
        <v>#REF!</v>
      </c>
      <c r="I1795" s="141" t="e">
        <f t="shared" si="143"/>
        <v>#REF!</v>
      </c>
      <c r="J1795" t="e">
        <f t="shared" si="144"/>
        <v>#REF!</v>
      </c>
      <c r="K1795" s="141" t="e">
        <f t="shared" si="145"/>
        <v>#REF!</v>
      </c>
    </row>
    <row r="1796" spans="1:11" hidden="1" x14ac:dyDescent="0.25">
      <c r="A1796" t="e">
        <f>#REF!</f>
        <v>#REF!</v>
      </c>
      <c r="B1796" t="e">
        <f>#REF!</f>
        <v>#REF!</v>
      </c>
      <c r="C1796" t="e">
        <f>#REF!</f>
        <v>#REF!</v>
      </c>
      <c r="D1796" t="e">
        <f>#REF!</f>
        <v>#REF!</v>
      </c>
      <c r="E1796" t="e">
        <f>#REF!</f>
        <v>#REF!</v>
      </c>
      <c r="G1796" t="e">
        <f t="shared" si="141"/>
        <v>#REF!</v>
      </c>
      <c r="H1796" t="e">
        <f t="shared" si="142"/>
        <v>#REF!</v>
      </c>
      <c r="I1796" s="141" t="e">
        <f t="shared" si="143"/>
        <v>#REF!</v>
      </c>
      <c r="J1796" t="e">
        <f t="shared" si="144"/>
        <v>#REF!</v>
      </c>
      <c r="K1796" s="141" t="e">
        <f t="shared" si="145"/>
        <v>#REF!</v>
      </c>
    </row>
    <row r="1797" spans="1:11" hidden="1" x14ac:dyDescent="0.25">
      <c r="A1797" t="e">
        <f>#REF!</f>
        <v>#REF!</v>
      </c>
      <c r="B1797" t="e">
        <f>#REF!</f>
        <v>#REF!</v>
      </c>
      <c r="C1797" t="e">
        <f>#REF!</f>
        <v>#REF!</v>
      </c>
      <c r="D1797" t="e">
        <f>#REF!</f>
        <v>#REF!</v>
      </c>
      <c r="E1797" t="e">
        <f>#REF!</f>
        <v>#REF!</v>
      </c>
      <c r="G1797" t="e">
        <f t="shared" si="141"/>
        <v>#REF!</v>
      </c>
      <c r="H1797" t="e">
        <f t="shared" si="142"/>
        <v>#REF!</v>
      </c>
      <c r="I1797" s="141" t="e">
        <f t="shared" si="143"/>
        <v>#REF!</v>
      </c>
      <c r="J1797" t="e">
        <f t="shared" si="144"/>
        <v>#REF!</v>
      </c>
      <c r="K1797" s="141" t="e">
        <f t="shared" si="145"/>
        <v>#REF!</v>
      </c>
    </row>
    <row r="1798" spans="1:11" hidden="1" x14ac:dyDescent="0.25">
      <c r="A1798" t="e">
        <f>#REF!</f>
        <v>#REF!</v>
      </c>
      <c r="B1798" t="e">
        <f>#REF!</f>
        <v>#REF!</v>
      </c>
      <c r="C1798" t="e">
        <f>#REF!</f>
        <v>#REF!</v>
      </c>
      <c r="D1798" t="e">
        <f>#REF!</f>
        <v>#REF!</v>
      </c>
      <c r="E1798" t="e">
        <f>#REF!</f>
        <v>#REF!</v>
      </c>
      <c r="G1798" t="e">
        <f t="shared" si="141"/>
        <v>#REF!</v>
      </c>
      <c r="H1798" t="e">
        <f t="shared" si="142"/>
        <v>#REF!</v>
      </c>
      <c r="I1798" s="141" t="e">
        <f t="shared" si="143"/>
        <v>#REF!</v>
      </c>
      <c r="J1798" t="e">
        <f t="shared" si="144"/>
        <v>#REF!</v>
      </c>
      <c r="K1798" s="141" t="e">
        <f t="shared" si="145"/>
        <v>#REF!</v>
      </c>
    </row>
    <row r="1799" spans="1:11" hidden="1" x14ac:dyDescent="0.25">
      <c r="A1799" t="e">
        <f>#REF!</f>
        <v>#REF!</v>
      </c>
      <c r="B1799" t="e">
        <f>#REF!</f>
        <v>#REF!</v>
      </c>
      <c r="C1799" t="e">
        <f>#REF!</f>
        <v>#REF!</v>
      </c>
      <c r="D1799" t="e">
        <f>#REF!</f>
        <v>#REF!</v>
      </c>
      <c r="E1799" t="e">
        <f>#REF!</f>
        <v>#REF!</v>
      </c>
      <c r="G1799" t="e">
        <f t="shared" si="141"/>
        <v>#REF!</v>
      </c>
      <c r="H1799" t="e">
        <f t="shared" si="142"/>
        <v>#REF!</v>
      </c>
      <c r="I1799" s="141" t="e">
        <f t="shared" si="143"/>
        <v>#REF!</v>
      </c>
      <c r="J1799" t="e">
        <f t="shared" si="144"/>
        <v>#REF!</v>
      </c>
      <c r="K1799" s="141" t="e">
        <f t="shared" si="145"/>
        <v>#REF!</v>
      </c>
    </row>
    <row r="1800" spans="1:11" hidden="1" x14ac:dyDescent="0.25">
      <c r="A1800" t="e">
        <f>#REF!</f>
        <v>#REF!</v>
      </c>
      <c r="B1800" t="e">
        <f>#REF!</f>
        <v>#REF!</v>
      </c>
      <c r="C1800" t="e">
        <f>#REF!</f>
        <v>#REF!</v>
      </c>
      <c r="D1800" t="e">
        <f>#REF!</f>
        <v>#REF!</v>
      </c>
      <c r="E1800" t="e">
        <f>#REF!</f>
        <v>#REF!</v>
      </c>
      <c r="G1800" t="e">
        <f t="shared" si="141"/>
        <v>#REF!</v>
      </c>
      <c r="H1800" t="e">
        <f t="shared" si="142"/>
        <v>#REF!</v>
      </c>
      <c r="I1800" s="141" t="e">
        <f t="shared" si="143"/>
        <v>#REF!</v>
      </c>
      <c r="J1800" t="e">
        <f t="shared" si="144"/>
        <v>#REF!</v>
      </c>
      <c r="K1800" s="141" t="e">
        <f t="shared" si="145"/>
        <v>#REF!</v>
      </c>
    </row>
    <row r="1801" spans="1:11" hidden="1" x14ac:dyDescent="0.25">
      <c r="A1801" t="e">
        <f>#REF!</f>
        <v>#REF!</v>
      </c>
      <c r="B1801" t="e">
        <f>#REF!</f>
        <v>#REF!</v>
      </c>
      <c r="C1801" t="e">
        <f>#REF!</f>
        <v>#REF!</v>
      </c>
      <c r="D1801" t="e">
        <f>#REF!</f>
        <v>#REF!</v>
      </c>
      <c r="E1801" t="e">
        <f>#REF!</f>
        <v>#REF!</v>
      </c>
      <c r="G1801" t="e">
        <f t="shared" si="141"/>
        <v>#REF!</v>
      </c>
      <c r="H1801" t="e">
        <f t="shared" si="142"/>
        <v>#REF!</v>
      </c>
      <c r="I1801" s="141" t="e">
        <f t="shared" si="143"/>
        <v>#REF!</v>
      </c>
      <c r="J1801" t="e">
        <f t="shared" si="144"/>
        <v>#REF!</v>
      </c>
      <c r="K1801" s="141" t="e">
        <f t="shared" si="145"/>
        <v>#REF!</v>
      </c>
    </row>
    <row r="1802" spans="1:11" hidden="1" x14ac:dyDescent="0.25">
      <c r="A1802" t="e">
        <f>#REF!</f>
        <v>#REF!</v>
      </c>
      <c r="B1802" t="e">
        <f>#REF!</f>
        <v>#REF!</v>
      </c>
      <c r="C1802" t="e">
        <f>#REF!</f>
        <v>#REF!</v>
      </c>
      <c r="D1802" t="e">
        <f>#REF!</f>
        <v>#REF!</v>
      </c>
      <c r="E1802" t="e">
        <f>#REF!</f>
        <v>#REF!</v>
      </c>
      <c r="G1802" t="e">
        <f t="shared" si="141"/>
        <v>#REF!</v>
      </c>
      <c r="H1802" t="e">
        <f t="shared" si="142"/>
        <v>#REF!</v>
      </c>
      <c r="I1802" s="141" t="e">
        <f t="shared" si="143"/>
        <v>#REF!</v>
      </c>
      <c r="J1802" t="e">
        <f t="shared" si="144"/>
        <v>#REF!</v>
      </c>
      <c r="K1802" s="141" t="e">
        <f t="shared" si="145"/>
        <v>#REF!</v>
      </c>
    </row>
    <row r="1803" spans="1:11" hidden="1" x14ac:dyDescent="0.25">
      <c r="A1803" t="e">
        <f>#REF!</f>
        <v>#REF!</v>
      </c>
      <c r="B1803" t="e">
        <f>#REF!</f>
        <v>#REF!</v>
      </c>
      <c r="C1803" t="e">
        <f>#REF!</f>
        <v>#REF!</v>
      </c>
      <c r="D1803" t="e">
        <f>#REF!</f>
        <v>#REF!</v>
      </c>
      <c r="E1803" t="e">
        <f>#REF!</f>
        <v>#REF!</v>
      </c>
      <c r="G1803" t="e">
        <f t="shared" si="141"/>
        <v>#REF!</v>
      </c>
      <c r="H1803" t="e">
        <f t="shared" si="142"/>
        <v>#REF!</v>
      </c>
      <c r="I1803" s="141" t="e">
        <f t="shared" si="143"/>
        <v>#REF!</v>
      </c>
      <c r="J1803" t="e">
        <f t="shared" si="144"/>
        <v>#REF!</v>
      </c>
      <c r="K1803" s="141" t="e">
        <f t="shared" si="145"/>
        <v>#REF!</v>
      </c>
    </row>
    <row r="1804" spans="1:11" hidden="1" x14ac:dyDescent="0.25">
      <c r="A1804" t="e">
        <f>#REF!</f>
        <v>#REF!</v>
      </c>
      <c r="B1804" t="e">
        <f>#REF!</f>
        <v>#REF!</v>
      </c>
      <c r="C1804" t="e">
        <f>#REF!</f>
        <v>#REF!</v>
      </c>
      <c r="D1804" t="e">
        <f>#REF!</f>
        <v>#REF!</v>
      </c>
      <c r="E1804" t="e">
        <f>#REF!</f>
        <v>#REF!</v>
      </c>
      <c r="G1804" t="e">
        <f t="shared" si="141"/>
        <v>#REF!</v>
      </c>
      <c r="H1804" t="e">
        <f t="shared" si="142"/>
        <v>#REF!</v>
      </c>
      <c r="I1804" s="141" t="e">
        <f t="shared" si="143"/>
        <v>#REF!</v>
      </c>
      <c r="J1804" t="e">
        <f t="shared" si="144"/>
        <v>#REF!</v>
      </c>
      <c r="K1804" s="141" t="e">
        <f t="shared" si="145"/>
        <v>#REF!</v>
      </c>
    </row>
    <row r="1805" spans="1:11" hidden="1" x14ac:dyDescent="0.25">
      <c r="A1805" t="e">
        <f>#REF!</f>
        <v>#REF!</v>
      </c>
      <c r="B1805" t="e">
        <f>#REF!</f>
        <v>#REF!</v>
      </c>
      <c r="C1805" t="e">
        <f>#REF!</f>
        <v>#REF!</v>
      </c>
      <c r="D1805" t="e">
        <f>#REF!</f>
        <v>#REF!</v>
      </c>
      <c r="E1805" t="e">
        <f>#REF!</f>
        <v>#REF!</v>
      </c>
      <c r="G1805" t="e">
        <f t="shared" si="141"/>
        <v>#REF!</v>
      </c>
      <c r="H1805" t="e">
        <f t="shared" si="142"/>
        <v>#REF!</v>
      </c>
      <c r="I1805" s="141" t="e">
        <f t="shared" si="143"/>
        <v>#REF!</v>
      </c>
      <c r="J1805" t="e">
        <f t="shared" si="144"/>
        <v>#REF!</v>
      </c>
      <c r="K1805" s="141" t="e">
        <f t="shared" si="145"/>
        <v>#REF!</v>
      </c>
    </row>
    <row r="1806" spans="1:11" hidden="1" x14ac:dyDescent="0.25">
      <c r="A1806" t="e">
        <f>#REF!</f>
        <v>#REF!</v>
      </c>
      <c r="B1806" t="e">
        <f>#REF!</f>
        <v>#REF!</v>
      </c>
      <c r="C1806" t="e">
        <f>#REF!</f>
        <v>#REF!</v>
      </c>
      <c r="D1806" t="e">
        <f>#REF!</f>
        <v>#REF!</v>
      </c>
      <c r="E1806" t="e">
        <f>#REF!</f>
        <v>#REF!</v>
      </c>
      <c r="G1806" t="e">
        <f t="shared" si="141"/>
        <v>#REF!</v>
      </c>
      <c r="H1806" t="e">
        <f t="shared" si="142"/>
        <v>#REF!</v>
      </c>
      <c r="I1806" s="141" t="e">
        <f t="shared" si="143"/>
        <v>#REF!</v>
      </c>
      <c r="J1806" t="e">
        <f t="shared" si="144"/>
        <v>#REF!</v>
      </c>
      <c r="K1806" s="141" t="e">
        <f t="shared" si="145"/>
        <v>#REF!</v>
      </c>
    </row>
    <row r="1807" spans="1:11" hidden="1" x14ac:dyDescent="0.25">
      <c r="A1807" t="e">
        <f>#REF!</f>
        <v>#REF!</v>
      </c>
      <c r="B1807" t="e">
        <f>#REF!</f>
        <v>#REF!</v>
      </c>
      <c r="C1807" t="e">
        <f>#REF!</f>
        <v>#REF!</v>
      </c>
      <c r="D1807" t="e">
        <f>#REF!</f>
        <v>#REF!</v>
      </c>
      <c r="E1807" t="e">
        <f>#REF!</f>
        <v>#REF!</v>
      </c>
      <c r="G1807" t="e">
        <f t="shared" si="141"/>
        <v>#REF!</v>
      </c>
      <c r="H1807" t="e">
        <f t="shared" si="142"/>
        <v>#REF!</v>
      </c>
      <c r="I1807" s="141" t="e">
        <f t="shared" si="143"/>
        <v>#REF!</v>
      </c>
      <c r="J1807" t="e">
        <f t="shared" si="144"/>
        <v>#REF!</v>
      </c>
      <c r="K1807" s="141" t="e">
        <f t="shared" si="145"/>
        <v>#REF!</v>
      </c>
    </row>
    <row r="1808" spans="1:11" hidden="1" x14ac:dyDescent="0.25">
      <c r="A1808" t="e">
        <f>#REF!</f>
        <v>#REF!</v>
      </c>
      <c r="B1808" t="e">
        <f>#REF!</f>
        <v>#REF!</v>
      </c>
      <c r="C1808" t="e">
        <f>#REF!</f>
        <v>#REF!</v>
      </c>
      <c r="D1808" t="e">
        <f>#REF!</f>
        <v>#REF!</v>
      </c>
      <c r="E1808" t="e">
        <f>#REF!</f>
        <v>#REF!</v>
      </c>
      <c r="G1808" t="e">
        <f t="shared" si="141"/>
        <v>#REF!</v>
      </c>
      <c r="H1808" t="e">
        <f t="shared" si="142"/>
        <v>#REF!</v>
      </c>
      <c r="I1808" s="141" t="e">
        <f t="shared" si="143"/>
        <v>#REF!</v>
      </c>
      <c r="J1808" t="e">
        <f t="shared" si="144"/>
        <v>#REF!</v>
      </c>
      <c r="K1808" s="141" t="e">
        <f t="shared" si="145"/>
        <v>#REF!</v>
      </c>
    </row>
    <row r="1809" spans="1:11" hidden="1" x14ac:dyDescent="0.25">
      <c r="A1809" t="e">
        <f>#REF!</f>
        <v>#REF!</v>
      </c>
      <c r="B1809" t="e">
        <f>#REF!</f>
        <v>#REF!</v>
      </c>
      <c r="C1809" t="e">
        <f>#REF!</f>
        <v>#REF!</v>
      </c>
      <c r="D1809" t="e">
        <f>#REF!</f>
        <v>#REF!</v>
      </c>
      <c r="E1809" t="e">
        <f>#REF!</f>
        <v>#REF!</v>
      </c>
      <c r="G1809" t="e">
        <f t="shared" si="141"/>
        <v>#REF!</v>
      </c>
      <c r="H1809" t="e">
        <f t="shared" si="142"/>
        <v>#REF!</v>
      </c>
      <c r="I1809" s="141" t="e">
        <f t="shared" si="143"/>
        <v>#REF!</v>
      </c>
      <c r="J1809" t="e">
        <f t="shared" si="144"/>
        <v>#REF!</v>
      </c>
      <c r="K1809" s="141" t="e">
        <f t="shared" si="145"/>
        <v>#REF!</v>
      </c>
    </row>
    <row r="1810" spans="1:11" hidden="1" x14ac:dyDescent="0.25">
      <c r="A1810" t="e">
        <f>#REF!</f>
        <v>#REF!</v>
      </c>
      <c r="B1810" t="e">
        <f>#REF!</f>
        <v>#REF!</v>
      </c>
      <c r="C1810" t="e">
        <f>#REF!</f>
        <v>#REF!</v>
      </c>
      <c r="D1810" t="e">
        <f>#REF!</f>
        <v>#REF!</v>
      </c>
      <c r="E1810" t="e">
        <f>#REF!</f>
        <v>#REF!</v>
      </c>
      <c r="G1810" t="e">
        <f t="shared" si="141"/>
        <v>#REF!</v>
      </c>
      <c r="H1810" t="e">
        <f t="shared" si="142"/>
        <v>#REF!</v>
      </c>
      <c r="I1810" s="141" t="e">
        <f t="shared" si="143"/>
        <v>#REF!</v>
      </c>
      <c r="J1810" t="e">
        <f t="shared" si="144"/>
        <v>#REF!</v>
      </c>
      <c r="K1810" s="141" t="e">
        <f t="shared" si="145"/>
        <v>#REF!</v>
      </c>
    </row>
    <row r="1811" spans="1:11" hidden="1" x14ac:dyDescent="0.25">
      <c r="A1811" t="e">
        <f>#REF!</f>
        <v>#REF!</v>
      </c>
      <c r="B1811" t="e">
        <f>#REF!</f>
        <v>#REF!</v>
      </c>
      <c r="C1811" t="e">
        <f>#REF!</f>
        <v>#REF!</v>
      </c>
      <c r="D1811" t="e">
        <f>#REF!</f>
        <v>#REF!</v>
      </c>
      <c r="E1811" t="e">
        <f>#REF!</f>
        <v>#REF!</v>
      </c>
      <c r="G1811" t="e">
        <f t="shared" si="141"/>
        <v>#REF!</v>
      </c>
      <c r="H1811" t="e">
        <f t="shared" si="142"/>
        <v>#REF!</v>
      </c>
      <c r="I1811" s="141" t="e">
        <f t="shared" si="143"/>
        <v>#REF!</v>
      </c>
      <c r="J1811" t="e">
        <f t="shared" si="144"/>
        <v>#REF!</v>
      </c>
      <c r="K1811" s="141" t="e">
        <f t="shared" si="145"/>
        <v>#REF!</v>
      </c>
    </row>
    <row r="1812" spans="1:11" hidden="1" x14ac:dyDescent="0.25">
      <c r="A1812" t="e">
        <f>#REF!</f>
        <v>#REF!</v>
      </c>
      <c r="B1812" t="e">
        <f>#REF!</f>
        <v>#REF!</v>
      </c>
      <c r="C1812" t="e">
        <f>#REF!</f>
        <v>#REF!</v>
      </c>
      <c r="D1812" t="e">
        <f>#REF!</f>
        <v>#REF!</v>
      </c>
      <c r="E1812" t="e">
        <f>#REF!</f>
        <v>#REF!</v>
      </c>
      <c r="G1812" t="e">
        <f t="shared" si="141"/>
        <v>#REF!</v>
      </c>
      <c r="H1812" t="e">
        <f t="shared" si="142"/>
        <v>#REF!</v>
      </c>
      <c r="I1812" s="141" t="e">
        <f t="shared" si="143"/>
        <v>#REF!</v>
      </c>
      <c r="J1812" t="e">
        <f t="shared" si="144"/>
        <v>#REF!</v>
      </c>
      <c r="K1812" s="141" t="e">
        <f t="shared" si="145"/>
        <v>#REF!</v>
      </c>
    </row>
    <row r="1813" spans="1:11" hidden="1" x14ac:dyDescent="0.25">
      <c r="A1813" t="e">
        <f>#REF!</f>
        <v>#REF!</v>
      </c>
      <c r="B1813" t="e">
        <f>#REF!</f>
        <v>#REF!</v>
      </c>
      <c r="C1813" t="e">
        <f>#REF!</f>
        <v>#REF!</v>
      </c>
      <c r="D1813" t="e">
        <f>#REF!</f>
        <v>#REF!</v>
      </c>
      <c r="E1813" t="e">
        <f>#REF!</f>
        <v>#REF!</v>
      </c>
      <c r="G1813" t="e">
        <f t="shared" si="141"/>
        <v>#REF!</v>
      </c>
      <c r="H1813" t="e">
        <f t="shared" si="142"/>
        <v>#REF!</v>
      </c>
      <c r="I1813" s="141" t="e">
        <f t="shared" si="143"/>
        <v>#REF!</v>
      </c>
      <c r="J1813" t="e">
        <f t="shared" si="144"/>
        <v>#REF!</v>
      </c>
      <c r="K1813" s="141" t="e">
        <f t="shared" si="145"/>
        <v>#REF!</v>
      </c>
    </row>
    <row r="1814" spans="1:11" hidden="1" x14ac:dyDescent="0.25">
      <c r="A1814" t="e">
        <f>#REF!</f>
        <v>#REF!</v>
      </c>
      <c r="B1814" t="e">
        <f>#REF!</f>
        <v>#REF!</v>
      </c>
      <c r="C1814" t="e">
        <f>#REF!</f>
        <v>#REF!</v>
      </c>
      <c r="D1814" t="e">
        <f>#REF!</f>
        <v>#REF!</v>
      </c>
      <c r="E1814" t="e">
        <f>#REF!</f>
        <v>#REF!</v>
      </c>
      <c r="G1814" t="e">
        <f t="shared" si="141"/>
        <v>#REF!</v>
      </c>
      <c r="H1814" t="e">
        <f t="shared" si="142"/>
        <v>#REF!</v>
      </c>
      <c r="I1814" s="141" t="e">
        <f t="shared" si="143"/>
        <v>#REF!</v>
      </c>
      <c r="J1814" t="e">
        <f t="shared" si="144"/>
        <v>#REF!</v>
      </c>
      <c r="K1814" s="141" t="e">
        <f t="shared" si="145"/>
        <v>#REF!</v>
      </c>
    </row>
    <row r="1815" spans="1:11" hidden="1" x14ac:dyDescent="0.25">
      <c r="A1815" t="e">
        <f>#REF!</f>
        <v>#REF!</v>
      </c>
      <c r="B1815" t="e">
        <f>#REF!</f>
        <v>#REF!</v>
      </c>
      <c r="C1815" t="e">
        <f>#REF!</f>
        <v>#REF!</v>
      </c>
      <c r="D1815" t="e">
        <f>#REF!</f>
        <v>#REF!</v>
      </c>
      <c r="E1815" t="e">
        <f>#REF!</f>
        <v>#REF!</v>
      </c>
      <c r="G1815" t="e">
        <f t="shared" si="141"/>
        <v>#REF!</v>
      </c>
      <c r="H1815" t="e">
        <f t="shared" si="142"/>
        <v>#REF!</v>
      </c>
      <c r="I1815" s="141" t="e">
        <f t="shared" si="143"/>
        <v>#REF!</v>
      </c>
      <c r="J1815" t="e">
        <f t="shared" si="144"/>
        <v>#REF!</v>
      </c>
      <c r="K1815" s="141" t="e">
        <f t="shared" si="145"/>
        <v>#REF!</v>
      </c>
    </row>
    <row r="1816" spans="1:11" hidden="1" x14ac:dyDescent="0.25">
      <c r="A1816" t="e">
        <f>#REF!</f>
        <v>#REF!</v>
      </c>
      <c r="B1816" t="e">
        <f>#REF!</f>
        <v>#REF!</v>
      </c>
      <c r="C1816" t="e">
        <f>#REF!</f>
        <v>#REF!</v>
      </c>
      <c r="D1816" t="e">
        <f>#REF!</f>
        <v>#REF!</v>
      </c>
      <c r="E1816" t="e">
        <f>#REF!</f>
        <v>#REF!</v>
      </c>
      <c r="G1816" t="e">
        <f t="shared" si="141"/>
        <v>#REF!</v>
      </c>
      <c r="H1816" t="e">
        <f t="shared" si="142"/>
        <v>#REF!</v>
      </c>
      <c r="I1816" s="141" t="e">
        <f t="shared" si="143"/>
        <v>#REF!</v>
      </c>
      <c r="J1816" t="e">
        <f t="shared" si="144"/>
        <v>#REF!</v>
      </c>
      <c r="K1816" s="141" t="e">
        <f t="shared" si="145"/>
        <v>#REF!</v>
      </c>
    </row>
    <row r="1817" spans="1:11" hidden="1" x14ac:dyDescent="0.25">
      <c r="A1817" t="e">
        <f>#REF!</f>
        <v>#REF!</v>
      </c>
      <c r="B1817" t="e">
        <f>#REF!</f>
        <v>#REF!</v>
      </c>
      <c r="C1817" t="e">
        <f>#REF!</f>
        <v>#REF!</v>
      </c>
      <c r="D1817" t="e">
        <f>#REF!</f>
        <v>#REF!</v>
      </c>
      <c r="E1817" t="e">
        <f>#REF!</f>
        <v>#REF!</v>
      </c>
      <c r="G1817" t="e">
        <f t="shared" si="141"/>
        <v>#REF!</v>
      </c>
      <c r="H1817" t="e">
        <f t="shared" si="142"/>
        <v>#REF!</v>
      </c>
      <c r="I1817" s="141" t="e">
        <f t="shared" si="143"/>
        <v>#REF!</v>
      </c>
      <c r="J1817" t="e">
        <f t="shared" si="144"/>
        <v>#REF!</v>
      </c>
      <c r="K1817" s="141" t="e">
        <f t="shared" si="145"/>
        <v>#REF!</v>
      </c>
    </row>
    <row r="1818" spans="1:11" hidden="1" x14ac:dyDescent="0.25">
      <c r="A1818" t="e">
        <f>#REF!</f>
        <v>#REF!</v>
      </c>
      <c r="B1818" t="e">
        <f>#REF!</f>
        <v>#REF!</v>
      </c>
      <c r="C1818" t="e">
        <f>#REF!</f>
        <v>#REF!</v>
      </c>
      <c r="D1818" t="e">
        <f>#REF!</f>
        <v>#REF!</v>
      </c>
      <c r="E1818" t="e">
        <f>#REF!</f>
        <v>#REF!</v>
      </c>
      <c r="G1818" t="e">
        <f t="shared" si="141"/>
        <v>#REF!</v>
      </c>
      <c r="H1818" t="e">
        <f t="shared" si="142"/>
        <v>#REF!</v>
      </c>
      <c r="I1818" s="141" t="e">
        <f t="shared" si="143"/>
        <v>#REF!</v>
      </c>
      <c r="J1818" t="e">
        <f t="shared" si="144"/>
        <v>#REF!</v>
      </c>
      <c r="K1818" s="141" t="e">
        <f t="shared" si="145"/>
        <v>#REF!</v>
      </c>
    </row>
    <row r="1819" spans="1:11" hidden="1" x14ac:dyDescent="0.25">
      <c r="A1819" t="e">
        <f>#REF!</f>
        <v>#REF!</v>
      </c>
      <c r="B1819" t="e">
        <f>#REF!</f>
        <v>#REF!</v>
      </c>
      <c r="C1819" t="e">
        <f>#REF!</f>
        <v>#REF!</v>
      </c>
      <c r="D1819" t="e">
        <f>#REF!</f>
        <v>#REF!</v>
      </c>
      <c r="E1819" t="e">
        <f>#REF!</f>
        <v>#REF!</v>
      </c>
      <c r="G1819" t="e">
        <f t="shared" si="141"/>
        <v>#REF!</v>
      </c>
      <c r="H1819" t="e">
        <f t="shared" si="142"/>
        <v>#REF!</v>
      </c>
      <c r="I1819" s="141" t="e">
        <f t="shared" si="143"/>
        <v>#REF!</v>
      </c>
      <c r="J1819" t="e">
        <f t="shared" si="144"/>
        <v>#REF!</v>
      </c>
      <c r="K1819" s="141" t="e">
        <f t="shared" si="145"/>
        <v>#REF!</v>
      </c>
    </row>
    <row r="1820" spans="1:11" hidden="1" x14ac:dyDescent="0.25">
      <c r="A1820" t="e">
        <f>#REF!</f>
        <v>#REF!</v>
      </c>
      <c r="B1820" t="e">
        <f>#REF!</f>
        <v>#REF!</v>
      </c>
      <c r="C1820" t="e">
        <f>#REF!</f>
        <v>#REF!</v>
      </c>
      <c r="D1820" t="e">
        <f>#REF!</f>
        <v>#REF!</v>
      </c>
      <c r="E1820" t="e">
        <f>#REF!</f>
        <v>#REF!</v>
      </c>
      <c r="G1820" t="e">
        <f t="shared" si="141"/>
        <v>#REF!</v>
      </c>
      <c r="H1820" t="e">
        <f t="shared" si="142"/>
        <v>#REF!</v>
      </c>
      <c r="I1820" s="141" t="e">
        <f t="shared" si="143"/>
        <v>#REF!</v>
      </c>
      <c r="J1820" t="e">
        <f t="shared" si="144"/>
        <v>#REF!</v>
      </c>
      <c r="K1820" s="141" t="e">
        <f t="shared" si="145"/>
        <v>#REF!</v>
      </c>
    </row>
    <row r="1821" spans="1:11" hidden="1" x14ac:dyDescent="0.25">
      <c r="A1821" t="e">
        <f>#REF!</f>
        <v>#REF!</v>
      </c>
      <c r="B1821" t="e">
        <f>#REF!</f>
        <v>#REF!</v>
      </c>
      <c r="C1821" t="e">
        <f>#REF!</f>
        <v>#REF!</v>
      </c>
      <c r="D1821" t="e">
        <f>#REF!</f>
        <v>#REF!</v>
      </c>
      <c r="E1821" t="e">
        <f>#REF!</f>
        <v>#REF!</v>
      </c>
      <c r="G1821" t="e">
        <f t="shared" si="141"/>
        <v>#REF!</v>
      </c>
      <c r="H1821" t="e">
        <f t="shared" si="142"/>
        <v>#REF!</v>
      </c>
      <c r="I1821" s="141" t="e">
        <f t="shared" si="143"/>
        <v>#REF!</v>
      </c>
      <c r="J1821" t="e">
        <f t="shared" si="144"/>
        <v>#REF!</v>
      </c>
      <c r="K1821" s="141" t="e">
        <f t="shared" si="145"/>
        <v>#REF!</v>
      </c>
    </row>
    <row r="1822" spans="1:11" hidden="1" x14ac:dyDescent="0.25">
      <c r="A1822" t="e">
        <f>#REF!</f>
        <v>#REF!</v>
      </c>
      <c r="B1822" t="e">
        <f>#REF!</f>
        <v>#REF!</v>
      </c>
      <c r="C1822" t="e">
        <f>#REF!</f>
        <v>#REF!</v>
      </c>
      <c r="D1822" t="e">
        <f>#REF!</f>
        <v>#REF!</v>
      </c>
      <c r="E1822" t="e">
        <f>#REF!</f>
        <v>#REF!</v>
      </c>
      <c r="G1822" t="e">
        <f t="shared" si="141"/>
        <v>#REF!</v>
      </c>
      <c r="H1822" t="e">
        <f t="shared" si="142"/>
        <v>#REF!</v>
      </c>
      <c r="I1822" s="141" t="e">
        <f t="shared" si="143"/>
        <v>#REF!</v>
      </c>
      <c r="J1822" t="e">
        <f t="shared" si="144"/>
        <v>#REF!</v>
      </c>
      <c r="K1822" s="141" t="e">
        <f t="shared" si="145"/>
        <v>#REF!</v>
      </c>
    </row>
    <row r="1823" spans="1:11" hidden="1" x14ac:dyDescent="0.25">
      <c r="A1823" t="e">
        <f>#REF!</f>
        <v>#REF!</v>
      </c>
      <c r="B1823" t="e">
        <f>#REF!</f>
        <v>#REF!</v>
      </c>
      <c r="C1823" t="e">
        <f>#REF!</f>
        <v>#REF!</v>
      </c>
      <c r="D1823" t="e">
        <f>#REF!</f>
        <v>#REF!</v>
      </c>
      <c r="E1823" t="e">
        <f>#REF!</f>
        <v>#REF!</v>
      </c>
      <c r="G1823" t="e">
        <f t="shared" si="141"/>
        <v>#REF!</v>
      </c>
      <c r="H1823" t="e">
        <f t="shared" si="142"/>
        <v>#REF!</v>
      </c>
      <c r="I1823" s="141" t="e">
        <f t="shared" si="143"/>
        <v>#REF!</v>
      </c>
      <c r="J1823" t="e">
        <f t="shared" si="144"/>
        <v>#REF!</v>
      </c>
      <c r="K1823" s="141" t="e">
        <f t="shared" si="145"/>
        <v>#REF!</v>
      </c>
    </row>
    <row r="1824" spans="1:11" hidden="1" x14ac:dyDescent="0.25">
      <c r="A1824" t="e">
        <f>#REF!</f>
        <v>#REF!</v>
      </c>
      <c r="B1824" t="e">
        <f>#REF!</f>
        <v>#REF!</v>
      </c>
      <c r="C1824" t="e">
        <f>#REF!</f>
        <v>#REF!</v>
      </c>
      <c r="D1824" t="e">
        <f>#REF!</f>
        <v>#REF!</v>
      </c>
      <c r="E1824" t="e">
        <f>#REF!</f>
        <v>#REF!</v>
      </c>
      <c r="G1824" t="e">
        <f t="shared" si="141"/>
        <v>#REF!</v>
      </c>
      <c r="H1824" t="e">
        <f t="shared" si="142"/>
        <v>#REF!</v>
      </c>
      <c r="I1824" s="141" t="e">
        <f t="shared" si="143"/>
        <v>#REF!</v>
      </c>
      <c r="J1824" t="e">
        <f t="shared" si="144"/>
        <v>#REF!</v>
      </c>
      <c r="K1824" s="141" t="e">
        <f t="shared" si="145"/>
        <v>#REF!</v>
      </c>
    </row>
    <row r="1825" spans="1:11" hidden="1" x14ac:dyDescent="0.25">
      <c r="A1825" t="e">
        <f>#REF!</f>
        <v>#REF!</v>
      </c>
      <c r="B1825" t="e">
        <f>#REF!</f>
        <v>#REF!</v>
      </c>
      <c r="C1825" t="e">
        <f>#REF!</f>
        <v>#REF!</v>
      </c>
      <c r="D1825" t="e">
        <f>#REF!</f>
        <v>#REF!</v>
      </c>
      <c r="E1825" t="e">
        <f>#REF!</f>
        <v>#REF!</v>
      </c>
      <c r="G1825" t="e">
        <f t="shared" si="141"/>
        <v>#REF!</v>
      </c>
      <c r="H1825" t="e">
        <f t="shared" si="142"/>
        <v>#REF!</v>
      </c>
      <c r="I1825" s="141" t="e">
        <f t="shared" si="143"/>
        <v>#REF!</v>
      </c>
      <c r="J1825" t="e">
        <f t="shared" si="144"/>
        <v>#REF!</v>
      </c>
      <c r="K1825" s="141" t="e">
        <f t="shared" si="145"/>
        <v>#REF!</v>
      </c>
    </row>
    <row r="1826" spans="1:11" hidden="1" x14ac:dyDescent="0.25">
      <c r="A1826" t="e">
        <f>#REF!</f>
        <v>#REF!</v>
      </c>
      <c r="B1826" t="e">
        <f>#REF!</f>
        <v>#REF!</v>
      </c>
      <c r="C1826" t="e">
        <f>#REF!</f>
        <v>#REF!</v>
      </c>
      <c r="D1826" t="e">
        <f>#REF!</f>
        <v>#REF!</v>
      </c>
      <c r="E1826" t="e">
        <f>#REF!</f>
        <v>#REF!</v>
      </c>
      <c r="G1826" t="e">
        <f t="shared" si="141"/>
        <v>#REF!</v>
      </c>
      <c r="H1826" t="e">
        <f t="shared" si="142"/>
        <v>#REF!</v>
      </c>
      <c r="I1826" s="141" t="e">
        <f t="shared" si="143"/>
        <v>#REF!</v>
      </c>
      <c r="J1826" t="e">
        <f t="shared" si="144"/>
        <v>#REF!</v>
      </c>
      <c r="K1826" s="141" t="e">
        <f t="shared" si="145"/>
        <v>#REF!</v>
      </c>
    </row>
    <row r="1827" spans="1:11" hidden="1" x14ac:dyDescent="0.25">
      <c r="A1827" t="e">
        <f>#REF!</f>
        <v>#REF!</v>
      </c>
      <c r="B1827" t="e">
        <f>#REF!</f>
        <v>#REF!</v>
      </c>
      <c r="C1827" t="e">
        <f>#REF!</f>
        <v>#REF!</v>
      </c>
      <c r="D1827" t="e">
        <f>#REF!</f>
        <v>#REF!</v>
      </c>
      <c r="E1827" t="e">
        <f>#REF!</f>
        <v>#REF!</v>
      </c>
      <c r="G1827" t="e">
        <f t="shared" si="141"/>
        <v>#REF!</v>
      </c>
      <c r="H1827" t="e">
        <f t="shared" si="142"/>
        <v>#REF!</v>
      </c>
      <c r="I1827" s="141" t="e">
        <f t="shared" si="143"/>
        <v>#REF!</v>
      </c>
      <c r="J1827" t="e">
        <f t="shared" si="144"/>
        <v>#REF!</v>
      </c>
      <c r="K1827" s="141" t="e">
        <f t="shared" si="145"/>
        <v>#REF!</v>
      </c>
    </row>
    <row r="1828" spans="1:11" hidden="1" x14ac:dyDescent="0.25">
      <c r="A1828" t="e">
        <f>#REF!</f>
        <v>#REF!</v>
      </c>
      <c r="B1828" t="e">
        <f>#REF!</f>
        <v>#REF!</v>
      </c>
      <c r="C1828" t="e">
        <f>#REF!</f>
        <v>#REF!</v>
      </c>
      <c r="D1828" t="e">
        <f>#REF!</f>
        <v>#REF!</v>
      </c>
      <c r="E1828" t="e">
        <f>#REF!</f>
        <v>#REF!</v>
      </c>
      <c r="G1828" t="e">
        <f t="shared" si="141"/>
        <v>#REF!</v>
      </c>
      <c r="H1828" t="e">
        <f t="shared" si="142"/>
        <v>#REF!</v>
      </c>
      <c r="I1828" s="141" t="e">
        <f t="shared" si="143"/>
        <v>#REF!</v>
      </c>
      <c r="J1828" t="e">
        <f t="shared" si="144"/>
        <v>#REF!</v>
      </c>
      <c r="K1828" s="141" t="e">
        <f t="shared" si="145"/>
        <v>#REF!</v>
      </c>
    </row>
    <row r="1829" spans="1:11" hidden="1" x14ac:dyDescent="0.25">
      <c r="A1829" t="e">
        <f>#REF!</f>
        <v>#REF!</v>
      </c>
      <c r="B1829" t="e">
        <f>#REF!</f>
        <v>#REF!</v>
      </c>
      <c r="C1829" t="e">
        <f>#REF!</f>
        <v>#REF!</v>
      </c>
      <c r="D1829" t="e">
        <f>#REF!</f>
        <v>#REF!</v>
      </c>
      <c r="E1829" t="e">
        <f>#REF!</f>
        <v>#REF!</v>
      </c>
      <c r="G1829" t="e">
        <f t="shared" si="141"/>
        <v>#REF!</v>
      </c>
      <c r="H1829" t="e">
        <f t="shared" si="142"/>
        <v>#REF!</v>
      </c>
      <c r="I1829" s="141" t="e">
        <f t="shared" si="143"/>
        <v>#REF!</v>
      </c>
      <c r="J1829" t="e">
        <f t="shared" si="144"/>
        <v>#REF!</v>
      </c>
      <c r="K1829" s="141" t="e">
        <f t="shared" si="145"/>
        <v>#REF!</v>
      </c>
    </row>
    <row r="1830" spans="1:11" hidden="1" x14ac:dyDescent="0.25">
      <c r="A1830" t="e">
        <f>#REF!</f>
        <v>#REF!</v>
      </c>
      <c r="B1830" t="e">
        <f>#REF!</f>
        <v>#REF!</v>
      </c>
      <c r="C1830" t="e">
        <f>#REF!</f>
        <v>#REF!</v>
      </c>
      <c r="D1830" t="e">
        <f>#REF!</f>
        <v>#REF!</v>
      </c>
      <c r="E1830" t="e">
        <f>#REF!</f>
        <v>#REF!</v>
      </c>
      <c r="G1830" t="e">
        <f t="shared" si="141"/>
        <v>#REF!</v>
      </c>
      <c r="H1830" t="e">
        <f t="shared" si="142"/>
        <v>#REF!</v>
      </c>
      <c r="I1830" s="141" t="e">
        <f t="shared" si="143"/>
        <v>#REF!</v>
      </c>
      <c r="J1830" t="e">
        <f t="shared" si="144"/>
        <v>#REF!</v>
      </c>
      <c r="K1830" s="141" t="e">
        <f t="shared" si="145"/>
        <v>#REF!</v>
      </c>
    </row>
    <row r="1831" spans="1:11" hidden="1" x14ac:dyDescent="0.25">
      <c r="A1831" t="e">
        <f>#REF!</f>
        <v>#REF!</v>
      </c>
      <c r="B1831" t="e">
        <f>#REF!</f>
        <v>#REF!</v>
      </c>
      <c r="C1831" t="e">
        <f>#REF!</f>
        <v>#REF!</v>
      </c>
      <c r="D1831" t="e">
        <f>#REF!</f>
        <v>#REF!</v>
      </c>
      <c r="E1831" t="e">
        <f>#REF!</f>
        <v>#REF!</v>
      </c>
      <c r="G1831" t="e">
        <f t="shared" si="141"/>
        <v>#REF!</v>
      </c>
      <c r="H1831" t="e">
        <f t="shared" si="142"/>
        <v>#REF!</v>
      </c>
      <c r="I1831" s="141" t="e">
        <f t="shared" si="143"/>
        <v>#REF!</v>
      </c>
      <c r="J1831" t="e">
        <f t="shared" si="144"/>
        <v>#REF!</v>
      </c>
      <c r="K1831" s="141" t="e">
        <f t="shared" si="145"/>
        <v>#REF!</v>
      </c>
    </row>
    <row r="1832" spans="1:11" hidden="1" x14ac:dyDescent="0.25">
      <c r="A1832" t="e">
        <f>#REF!</f>
        <v>#REF!</v>
      </c>
      <c r="B1832" t="e">
        <f>#REF!</f>
        <v>#REF!</v>
      </c>
      <c r="C1832" t="e">
        <f>#REF!</f>
        <v>#REF!</v>
      </c>
      <c r="D1832" t="e">
        <f>#REF!</f>
        <v>#REF!</v>
      </c>
      <c r="E1832" t="e">
        <f>#REF!</f>
        <v>#REF!</v>
      </c>
      <c r="G1832" t="e">
        <f t="shared" si="141"/>
        <v>#REF!</v>
      </c>
      <c r="H1832" t="e">
        <f t="shared" si="142"/>
        <v>#REF!</v>
      </c>
      <c r="I1832" s="141" t="e">
        <f t="shared" si="143"/>
        <v>#REF!</v>
      </c>
      <c r="J1832" t="e">
        <f t="shared" si="144"/>
        <v>#REF!</v>
      </c>
      <c r="K1832" s="141" t="e">
        <f t="shared" si="145"/>
        <v>#REF!</v>
      </c>
    </row>
    <row r="1833" spans="1:11" hidden="1" x14ac:dyDescent="0.25">
      <c r="A1833" t="e">
        <f>#REF!</f>
        <v>#REF!</v>
      </c>
      <c r="B1833" t="e">
        <f>#REF!</f>
        <v>#REF!</v>
      </c>
      <c r="C1833" t="e">
        <f>#REF!</f>
        <v>#REF!</v>
      </c>
      <c r="D1833" t="e">
        <f>#REF!</f>
        <v>#REF!</v>
      </c>
      <c r="E1833" t="e">
        <f>#REF!</f>
        <v>#REF!</v>
      </c>
      <c r="G1833" t="e">
        <f t="shared" si="141"/>
        <v>#REF!</v>
      </c>
      <c r="H1833" t="e">
        <f t="shared" si="142"/>
        <v>#REF!</v>
      </c>
      <c r="I1833" s="141" t="e">
        <f t="shared" si="143"/>
        <v>#REF!</v>
      </c>
      <c r="J1833" t="e">
        <f t="shared" si="144"/>
        <v>#REF!</v>
      </c>
      <c r="K1833" s="141" t="e">
        <f t="shared" si="145"/>
        <v>#REF!</v>
      </c>
    </row>
    <row r="1834" spans="1:11" hidden="1" x14ac:dyDescent="0.25">
      <c r="A1834" t="e">
        <f>#REF!</f>
        <v>#REF!</v>
      </c>
      <c r="B1834" t="e">
        <f>#REF!</f>
        <v>#REF!</v>
      </c>
      <c r="C1834" t="e">
        <f>#REF!</f>
        <v>#REF!</v>
      </c>
      <c r="D1834" t="e">
        <f>#REF!</f>
        <v>#REF!</v>
      </c>
      <c r="E1834" t="e">
        <f>#REF!</f>
        <v>#REF!</v>
      </c>
      <c r="G1834" t="e">
        <f t="shared" si="141"/>
        <v>#REF!</v>
      </c>
      <c r="H1834" t="e">
        <f t="shared" si="142"/>
        <v>#REF!</v>
      </c>
      <c r="I1834" s="141" t="e">
        <f t="shared" si="143"/>
        <v>#REF!</v>
      </c>
      <c r="J1834" t="e">
        <f t="shared" si="144"/>
        <v>#REF!</v>
      </c>
      <c r="K1834" s="141" t="e">
        <f t="shared" si="145"/>
        <v>#REF!</v>
      </c>
    </row>
    <row r="1835" spans="1:11" hidden="1" x14ac:dyDescent="0.25">
      <c r="A1835" t="e">
        <f>#REF!</f>
        <v>#REF!</v>
      </c>
      <c r="B1835" t="e">
        <f>#REF!</f>
        <v>#REF!</v>
      </c>
      <c r="C1835" t="e">
        <f>#REF!</f>
        <v>#REF!</v>
      </c>
      <c r="D1835" t="e">
        <f>#REF!</f>
        <v>#REF!</v>
      </c>
      <c r="E1835" t="e">
        <f>#REF!</f>
        <v>#REF!</v>
      </c>
      <c r="G1835" t="e">
        <f t="shared" si="141"/>
        <v>#REF!</v>
      </c>
      <c r="H1835" t="e">
        <f t="shared" si="142"/>
        <v>#REF!</v>
      </c>
      <c r="I1835" s="141" t="e">
        <f t="shared" si="143"/>
        <v>#REF!</v>
      </c>
      <c r="J1835" t="e">
        <f t="shared" si="144"/>
        <v>#REF!</v>
      </c>
      <c r="K1835" s="141" t="e">
        <f t="shared" si="145"/>
        <v>#REF!</v>
      </c>
    </row>
    <row r="1836" spans="1:11" hidden="1" x14ac:dyDescent="0.25">
      <c r="A1836" t="e">
        <f>#REF!</f>
        <v>#REF!</v>
      </c>
      <c r="B1836" t="e">
        <f>#REF!</f>
        <v>#REF!</v>
      </c>
      <c r="C1836" t="e">
        <f>#REF!</f>
        <v>#REF!</v>
      </c>
      <c r="D1836" t="e">
        <f>#REF!</f>
        <v>#REF!</v>
      </c>
      <c r="E1836" t="e">
        <f>#REF!</f>
        <v>#REF!</v>
      </c>
      <c r="G1836" t="e">
        <f t="shared" si="141"/>
        <v>#REF!</v>
      </c>
      <c r="H1836" t="e">
        <f t="shared" si="142"/>
        <v>#REF!</v>
      </c>
      <c r="I1836" s="141" t="e">
        <f t="shared" si="143"/>
        <v>#REF!</v>
      </c>
      <c r="J1836" t="e">
        <f t="shared" si="144"/>
        <v>#REF!</v>
      </c>
      <c r="K1836" s="141" t="e">
        <f t="shared" si="145"/>
        <v>#REF!</v>
      </c>
    </row>
    <row r="1837" spans="1:11" hidden="1" x14ac:dyDescent="0.25">
      <c r="A1837" t="e">
        <f>#REF!</f>
        <v>#REF!</v>
      </c>
      <c r="B1837" t="e">
        <f>#REF!</f>
        <v>#REF!</v>
      </c>
      <c r="C1837" t="e">
        <f>#REF!</f>
        <v>#REF!</v>
      </c>
      <c r="D1837" t="e">
        <f>#REF!</f>
        <v>#REF!</v>
      </c>
      <c r="E1837" t="e">
        <f>#REF!</f>
        <v>#REF!</v>
      </c>
      <c r="G1837" t="e">
        <f t="shared" si="141"/>
        <v>#REF!</v>
      </c>
      <c r="H1837" t="e">
        <f t="shared" si="142"/>
        <v>#REF!</v>
      </c>
      <c r="I1837" s="141" t="e">
        <f t="shared" si="143"/>
        <v>#REF!</v>
      </c>
      <c r="J1837" t="e">
        <f t="shared" si="144"/>
        <v>#REF!</v>
      </c>
      <c r="K1837" s="141" t="e">
        <f t="shared" si="145"/>
        <v>#REF!</v>
      </c>
    </row>
    <row r="1838" spans="1:11" hidden="1" x14ac:dyDescent="0.25">
      <c r="A1838" t="e">
        <f>#REF!</f>
        <v>#REF!</v>
      </c>
      <c r="B1838" t="e">
        <f>#REF!</f>
        <v>#REF!</v>
      </c>
      <c r="C1838" t="e">
        <f>#REF!</f>
        <v>#REF!</v>
      </c>
      <c r="D1838" t="e">
        <f>#REF!</f>
        <v>#REF!</v>
      </c>
      <c r="E1838" t="e">
        <f>#REF!</f>
        <v>#REF!</v>
      </c>
      <c r="G1838" t="e">
        <f t="shared" si="141"/>
        <v>#REF!</v>
      </c>
      <c r="H1838" t="e">
        <f t="shared" si="142"/>
        <v>#REF!</v>
      </c>
      <c r="I1838" s="141" t="e">
        <f t="shared" si="143"/>
        <v>#REF!</v>
      </c>
      <c r="J1838" t="e">
        <f t="shared" si="144"/>
        <v>#REF!</v>
      </c>
      <c r="K1838" s="141" t="e">
        <f t="shared" si="145"/>
        <v>#REF!</v>
      </c>
    </row>
    <row r="1839" spans="1:11" hidden="1" x14ac:dyDescent="0.25">
      <c r="A1839" t="e">
        <f>#REF!</f>
        <v>#REF!</v>
      </c>
      <c r="B1839" t="e">
        <f>#REF!</f>
        <v>#REF!</v>
      </c>
      <c r="C1839" t="e">
        <f>#REF!</f>
        <v>#REF!</v>
      </c>
      <c r="D1839" t="e">
        <f>#REF!</f>
        <v>#REF!</v>
      </c>
      <c r="E1839" t="e">
        <f>#REF!</f>
        <v>#REF!</v>
      </c>
      <c r="G1839" t="e">
        <f t="shared" si="141"/>
        <v>#REF!</v>
      </c>
      <c r="H1839" t="e">
        <f t="shared" si="142"/>
        <v>#REF!</v>
      </c>
      <c r="I1839" s="141" t="e">
        <f t="shared" si="143"/>
        <v>#REF!</v>
      </c>
      <c r="J1839" t="e">
        <f t="shared" si="144"/>
        <v>#REF!</v>
      </c>
      <c r="K1839" s="141" t="e">
        <f t="shared" si="145"/>
        <v>#REF!</v>
      </c>
    </row>
    <row r="1840" spans="1:11" hidden="1" x14ac:dyDescent="0.25">
      <c r="A1840" t="e">
        <f>#REF!</f>
        <v>#REF!</v>
      </c>
      <c r="B1840" t="e">
        <f>#REF!</f>
        <v>#REF!</v>
      </c>
      <c r="C1840" t="e">
        <f>#REF!</f>
        <v>#REF!</v>
      </c>
      <c r="D1840" t="e">
        <f>#REF!</f>
        <v>#REF!</v>
      </c>
      <c r="E1840" t="e">
        <f>#REF!</f>
        <v>#REF!</v>
      </c>
      <c r="G1840" t="e">
        <f t="shared" si="141"/>
        <v>#REF!</v>
      </c>
      <c r="H1840" t="e">
        <f t="shared" si="142"/>
        <v>#REF!</v>
      </c>
      <c r="I1840" s="141" t="e">
        <f t="shared" si="143"/>
        <v>#REF!</v>
      </c>
      <c r="J1840" t="e">
        <f t="shared" si="144"/>
        <v>#REF!</v>
      </c>
      <c r="K1840" s="141" t="e">
        <f t="shared" si="145"/>
        <v>#REF!</v>
      </c>
    </row>
    <row r="1841" spans="1:11" hidden="1" x14ac:dyDescent="0.25">
      <c r="A1841" t="e">
        <f>#REF!</f>
        <v>#REF!</v>
      </c>
      <c r="B1841" t="e">
        <f>#REF!</f>
        <v>#REF!</v>
      </c>
      <c r="C1841" t="e">
        <f>#REF!</f>
        <v>#REF!</v>
      </c>
      <c r="D1841" t="e">
        <f>#REF!</f>
        <v>#REF!</v>
      </c>
      <c r="E1841" t="e">
        <f>#REF!</f>
        <v>#REF!</v>
      </c>
      <c r="G1841" t="e">
        <f t="shared" si="141"/>
        <v>#REF!</v>
      </c>
      <c r="H1841" t="e">
        <f t="shared" si="142"/>
        <v>#REF!</v>
      </c>
      <c r="I1841" s="141" t="e">
        <f t="shared" si="143"/>
        <v>#REF!</v>
      </c>
      <c r="J1841" t="e">
        <f t="shared" si="144"/>
        <v>#REF!</v>
      </c>
      <c r="K1841" s="141" t="e">
        <f t="shared" si="145"/>
        <v>#REF!</v>
      </c>
    </row>
    <row r="1842" spans="1:11" hidden="1" x14ac:dyDescent="0.25">
      <c r="A1842" t="e">
        <f>#REF!</f>
        <v>#REF!</v>
      </c>
      <c r="B1842" t="e">
        <f>#REF!</f>
        <v>#REF!</v>
      </c>
      <c r="C1842" t="e">
        <f>#REF!</f>
        <v>#REF!</v>
      </c>
      <c r="D1842" t="e">
        <f>#REF!</f>
        <v>#REF!</v>
      </c>
      <c r="E1842" t="e">
        <f>#REF!</f>
        <v>#REF!</v>
      </c>
      <c r="G1842" t="e">
        <f t="shared" si="141"/>
        <v>#REF!</v>
      </c>
      <c r="H1842" t="e">
        <f t="shared" si="142"/>
        <v>#REF!</v>
      </c>
      <c r="I1842" s="141" t="e">
        <f t="shared" si="143"/>
        <v>#REF!</v>
      </c>
      <c r="J1842" t="e">
        <f t="shared" si="144"/>
        <v>#REF!</v>
      </c>
      <c r="K1842" s="141" t="e">
        <f t="shared" si="145"/>
        <v>#REF!</v>
      </c>
    </row>
    <row r="1843" spans="1:11" hidden="1" x14ac:dyDescent="0.25">
      <c r="G1843">
        <f t="shared" si="141"/>
        <v>0</v>
      </c>
      <c r="H1843">
        <f t="shared" si="142"/>
        <v>0</v>
      </c>
      <c r="I1843" s="141">
        <f t="shared" si="143"/>
        <v>0</v>
      </c>
      <c r="J1843">
        <f t="shared" si="144"/>
        <v>0</v>
      </c>
      <c r="K1843" s="141">
        <f t="shared" si="145"/>
        <v>0</v>
      </c>
    </row>
    <row r="1844" spans="1:11" hidden="1" x14ac:dyDescent="0.25">
      <c r="G1844">
        <f t="shared" si="141"/>
        <v>0</v>
      </c>
      <c r="H1844">
        <f t="shared" si="142"/>
        <v>0</v>
      </c>
      <c r="I1844" s="141">
        <f t="shared" si="143"/>
        <v>0</v>
      </c>
      <c r="J1844">
        <f t="shared" si="144"/>
        <v>0</v>
      </c>
      <c r="K1844" s="141">
        <f t="shared" si="145"/>
        <v>0</v>
      </c>
    </row>
    <row r="1845" spans="1:11" hidden="1" x14ac:dyDescent="0.25">
      <c r="G1845">
        <f t="shared" si="141"/>
        <v>0</v>
      </c>
      <c r="H1845">
        <f t="shared" si="142"/>
        <v>0</v>
      </c>
      <c r="I1845" s="141">
        <f t="shared" si="143"/>
        <v>0</v>
      </c>
      <c r="J1845">
        <f t="shared" si="144"/>
        <v>0</v>
      </c>
      <c r="K1845" s="141">
        <f t="shared" si="145"/>
        <v>0</v>
      </c>
    </row>
    <row r="1846" spans="1:11" hidden="1" x14ac:dyDescent="0.25">
      <c r="G1846">
        <f t="shared" si="141"/>
        <v>0</v>
      </c>
      <c r="H1846">
        <f t="shared" si="142"/>
        <v>0</v>
      </c>
      <c r="I1846" s="141">
        <f t="shared" si="143"/>
        <v>0</v>
      </c>
      <c r="J1846">
        <f t="shared" si="144"/>
        <v>0</v>
      </c>
      <c r="K1846" s="141">
        <f t="shared" si="145"/>
        <v>0</v>
      </c>
    </row>
    <row r="1847" spans="1:11" hidden="1" x14ac:dyDescent="0.25">
      <c r="G1847">
        <f t="shared" si="141"/>
        <v>0</v>
      </c>
      <c r="H1847">
        <f t="shared" si="142"/>
        <v>0</v>
      </c>
      <c r="I1847" s="141">
        <f t="shared" si="143"/>
        <v>0</v>
      </c>
      <c r="J1847">
        <f t="shared" si="144"/>
        <v>0</v>
      </c>
      <c r="K1847" s="141">
        <f t="shared" si="145"/>
        <v>0</v>
      </c>
    </row>
    <row r="1848" spans="1:11" hidden="1" x14ac:dyDescent="0.25">
      <c r="G1848">
        <f t="shared" si="141"/>
        <v>0</v>
      </c>
      <c r="H1848">
        <f t="shared" si="142"/>
        <v>0</v>
      </c>
      <c r="I1848" s="141">
        <f t="shared" si="143"/>
        <v>0</v>
      </c>
      <c r="J1848">
        <f t="shared" si="144"/>
        <v>0</v>
      </c>
      <c r="K1848" s="141">
        <f t="shared" si="145"/>
        <v>0</v>
      </c>
    </row>
    <row r="1849" spans="1:11" hidden="1" x14ac:dyDescent="0.25">
      <c r="G1849">
        <f t="shared" si="141"/>
        <v>0</v>
      </c>
      <c r="H1849">
        <f t="shared" si="142"/>
        <v>0</v>
      </c>
      <c r="I1849" s="141">
        <f t="shared" si="143"/>
        <v>0</v>
      </c>
      <c r="J1849">
        <f t="shared" si="144"/>
        <v>0</v>
      </c>
      <c r="K1849" s="141">
        <f t="shared" si="145"/>
        <v>0</v>
      </c>
    </row>
    <row r="1850" spans="1:11" hidden="1" x14ac:dyDescent="0.25">
      <c r="G1850">
        <f t="shared" si="141"/>
        <v>0</v>
      </c>
      <c r="H1850">
        <f t="shared" si="142"/>
        <v>0</v>
      </c>
      <c r="I1850" s="141">
        <f t="shared" si="143"/>
        <v>0</v>
      </c>
      <c r="J1850">
        <f t="shared" si="144"/>
        <v>0</v>
      </c>
      <c r="K1850" s="141">
        <f t="shared" si="145"/>
        <v>0</v>
      </c>
    </row>
    <row r="1851" spans="1:11" hidden="1" x14ac:dyDescent="0.25">
      <c r="G1851">
        <f t="shared" si="141"/>
        <v>0</v>
      </c>
      <c r="H1851">
        <f t="shared" si="142"/>
        <v>0</v>
      </c>
      <c r="I1851" s="141">
        <f t="shared" si="143"/>
        <v>0</v>
      </c>
      <c r="J1851">
        <f t="shared" si="144"/>
        <v>0</v>
      </c>
      <c r="K1851" s="141">
        <f t="shared" si="145"/>
        <v>0</v>
      </c>
    </row>
    <row r="1852" spans="1:11" hidden="1" x14ac:dyDescent="0.25">
      <c r="G1852">
        <f t="shared" si="141"/>
        <v>0</v>
      </c>
      <c r="H1852">
        <f t="shared" si="142"/>
        <v>0</v>
      </c>
      <c r="I1852" s="141">
        <f t="shared" si="143"/>
        <v>0</v>
      </c>
      <c r="J1852">
        <f t="shared" si="144"/>
        <v>0</v>
      </c>
      <c r="K1852" s="141">
        <f t="shared" si="145"/>
        <v>0</v>
      </c>
    </row>
    <row r="1853" spans="1:11" hidden="1" x14ac:dyDescent="0.25">
      <c r="G1853">
        <f t="shared" si="141"/>
        <v>0</v>
      </c>
      <c r="H1853">
        <f t="shared" si="142"/>
        <v>0</v>
      </c>
      <c r="I1853" s="141">
        <f t="shared" si="143"/>
        <v>0</v>
      </c>
      <c r="J1853">
        <f t="shared" si="144"/>
        <v>0</v>
      </c>
      <c r="K1853" s="141">
        <f t="shared" si="145"/>
        <v>0</v>
      </c>
    </row>
    <row r="1854" spans="1:11" hidden="1" x14ac:dyDescent="0.25">
      <c r="G1854">
        <f t="shared" si="141"/>
        <v>0</v>
      </c>
      <c r="H1854">
        <f t="shared" si="142"/>
        <v>0</v>
      </c>
      <c r="I1854" s="141">
        <f t="shared" si="143"/>
        <v>0</v>
      </c>
      <c r="J1854">
        <f t="shared" si="144"/>
        <v>0</v>
      </c>
      <c r="K1854" s="141">
        <f t="shared" si="145"/>
        <v>0</v>
      </c>
    </row>
    <row r="1855" spans="1:11" hidden="1" x14ac:dyDescent="0.25">
      <c r="G1855">
        <f t="shared" si="141"/>
        <v>0</v>
      </c>
      <c r="H1855">
        <f t="shared" si="142"/>
        <v>0</v>
      </c>
      <c r="I1855" s="141">
        <f t="shared" si="143"/>
        <v>0</v>
      </c>
      <c r="J1855">
        <f t="shared" si="144"/>
        <v>0</v>
      </c>
      <c r="K1855" s="141">
        <f t="shared" si="145"/>
        <v>0</v>
      </c>
    </row>
    <row r="1856" spans="1:11" hidden="1" x14ac:dyDescent="0.25">
      <c r="G1856">
        <f t="shared" si="141"/>
        <v>0</v>
      </c>
      <c r="H1856">
        <f t="shared" si="142"/>
        <v>0</v>
      </c>
      <c r="I1856" s="141">
        <f t="shared" si="143"/>
        <v>0</v>
      </c>
      <c r="J1856">
        <f t="shared" si="144"/>
        <v>0</v>
      </c>
      <c r="K1856" s="141">
        <f t="shared" si="145"/>
        <v>0</v>
      </c>
    </row>
    <row r="1857" spans="7:11" hidden="1" x14ac:dyDescent="0.25">
      <c r="G1857">
        <f t="shared" si="141"/>
        <v>0</v>
      </c>
      <c r="H1857">
        <f t="shared" si="142"/>
        <v>0</v>
      </c>
      <c r="I1857" s="141">
        <f t="shared" si="143"/>
        <v>0</v>
      </c>
      <c r="J1857">
        <f t="shared" si="144"/>
        <v>0</v>
      </c>
      <c r="K1857" s="141">
        <f t="shared" si="145"/>
        <v>0</v>
      </c>
    </row>
    <row r="1858" spans="7:11" hidden="1" x14ac:dyDescent="0.25">
      <c r="G1858">
        <f t="shared" ref="G1858:G1921" si="146">A1858</f>
        <v>0</v>
      </c>
      <c r="H1858">
        <f t="shared" ref="H1858:H1921" si="147">B1858</f>
        <v>0</v>
      </c>
      <c r="I1858" s="141">
        <f t="shared" ref="I1858:I1921" si="148">C1858</f>
        <v>0</v>
      </c>
      <c r="J1858">
        <f t="shared" ref="J1858:J1921" si="149">D1858</f>
        <v>0</v>
      </c>
      <c r="K1858" s="141">
        <f t="shared" ref="K1858:K1921" si="150">E1858</f>
        <v>0</v>
      </c>
    </row>
    <row r="1859" spans="7:11" hidden="1" x14ac:dyDescent="0.25">
      <c r="G1859">
        <f t="shared" si="146"/>
        <v>0</v>
      </c>
      <c r="H1859">
        <f t="shared" si="147"/>
        <v>0</v>
      </c>
      <c r="I1859" s="141">
        <f t="shared" si="148"/>
        <v>0</v>
      </c>
      <c r="J1859">
        <f t="shared" si="149"/>
        <v>0</v>
      </c>
      <c r="K1859" s="141">
        <f t="shared" si="150"/>
        <v>0</v>
      </c>
    </row>
    <row r="1860" spans="7:11" hidden="1" x14ac:dyDescent="0.25">
      <c r="G1860">
        <f t="shared" si="146"/>
        <v>0</v>
      </c>
      <c r="H1860">
        <f t="shared" si="147"/>
        <v>0</v>
      </c>
      <c r="I1860" s="141">
        <f t="shared" si="148"/>
        <v>0</v>
      </c>
      <c r="J1860">
        <f t="shared" si="149"/>
        <v>0</v>
      </c>
      <c r="K1860" s="141">
        <f t="shared" si="150"/>
        <v>0</v>
      </c>
    </row>
    <row r="1861" spans="7:11" hidden="1" x14ac:dyDescent="0.25">
      <c r="G1861">
        <f t="shared" si="146"/>
        <v>0</v>
      </c>
      <c r="H1861">
        <f t="shared" si="147"/>
        <v>0</v>
      </c>
      <c r="I1861" s="141">
        <f t="shared" si="148"/>
        <v>0</v>
      </c>
      <c r="J1861">
        <f t="shared" si="149"/>
        <v>0</v>
      </c>
      <c r="K1861" s="141">
        <f t="shared" si="150"/>
        <v>0</v>
      </c>
    </row>
    <row r="1862" spans="7:11" hidden="1" x14ac:dyDescent="0.25">
      <c r="G1862">
        <f t="shared" si="146"/>
        <v>0</v>
      </c>
      <c r="H1862">
        <f t="shared" si="147"/>
        <v>0</v>
      </c>
      <c r="I1862" s="141">
        <f t="shared" si="148"/>
        <v>0</v>
      </c>
      <c r="J1862">
        <f t="shared" si="149"/>
        <v>0</v>
      </c>
      <c r="K1862" s="141">
        <f t="shared" si="150"/>
        <v>0</v>
      </c>
    </row>
    <row r="1863" spans="7:11" hidden="1" x14ac:dyDescent="0.25">
      <c r="G1863">
        <f t="shared" si="146"/>
        <v>0</v>
      </c>
      <c r="H1863">
        <f t="shared" si="147"/>
        <v>0</v>
      </c>
      <c r="I1863" s="141">
        <f t="shared" si="148"/>
        <v>0</v>
      </c>
      <c r="J1863">
        <f t="shared" si="149"/>
        <v>0</v>
      </c>
      <c r="K1863" s="141">
        <f t="shared" si="150"/>
        <v>0</v>
      </c>
    </row>
    <row r="1864" spans="7:11" hidden="1" x14ac:dyDescent="0.25">
      <c r="G1864">
        <f t="shared" si="146"/>
        <v>0</v>
      </c>
      <c r="H1864">
        <f t="shared" si="147"/>
        <v>0</v>
      </c>
      <c r="I1864" s="141">
        <f t="shared" si="148"/>
        <v>0</v>
      </c>
      <c r="J1864">
        <f t="shared" si="149"/>
        <v>0</v>
      </c>
      <c r="K1864" s="141">
        <f t="shared" si="150"/>
        <v>0</v>
      </c>
    </row>
    <row r="1865" spans="7:11" hidden="1" x14ac:dyDescent="0.25">
      <c r="G1865">
        <f t="shared" si="146"/>
        <v>0</v>
      </c>
      <c r="H1865">
        <f t="shared" si="147"/>
        <v>0</v>
      </c>
      <c r="I1865" s="141">
        <f t="shared" si="148"/>
        <v>0</v>
      </c>
      <c r="J1865">
        <f t="shared" si="149"/>
        <v>0</v>
      </c>
      <c r="K1865" s="141">
        <f t="shared" si="150"/>
        <v>0</v>
      </c>
    </row>
    <row r="1866" spans="7:11" hidden="1" x14ac:dyDescent="0.25">
      <c r="G1866">
        <f t="shared" si="146"/>
        <v>0</v>
      </c>
      <c r="H1866">
        <f t="shared" si="147"/>
        <v>0</v>
      </c>
      <c r="I1866" s="141">
        <f t="shared" si="148"/>
        <v>0</v>
      </c>
      <c r="J1866">
        <f t="shared" si="149"/>
        <v>0</v>
      </c>
      <c r="K1866" s="141">
        <f t="shared" si="150"/>
        <v>0</v>
      </c>
    </row>
    <row r="1867" spans="7:11" hidden="1" x14ac:dyDescent="0.25">
      <c r="G1867">
        <f t="shared" si="146"/>
        <v>0</v>
      </c>
      <c r="H1867">
        <f t="shared" si="147"/>
        <v>0</v>
      </c>
      <c r="I1867" s="141">
        <f t="shared" si="148"/>
        <v>0</v>
      </c>
      <c r="J1867">
        <f t="shared" si="149"/>
        <v>0</v>
      </c>
      <c r="K1867" s="141">
        <f t="shared" si="150"/>
        <v>0</v>
      </c>
    </row>
    <row r="1868" spans="7:11" hidden="1" x14ac:dyDescent="0.25">
      <c r="G1868">
        <f t="shared" si="146"/>
        <v>0</v>
      </c>
      <c r="H1868">
        <f t="shared" si="147"/>
        <v>0</v>
      </c>
      <c r="I1868" s="141">
        <f t="shared" si="148"/>
        <v>0</v>
      </c>
      <c r="J1868">
        <f t="shared" si="149"/>
        <v>0</v>
      </c>
      <c r="K1868" s="141">
        <f t="shared" si="150"/>
        <v>0</v>
      </c>
    </row>
    <row r="1869" spans="7:11" hidden="1" x14ac:dyDescent="0.25">
      <c r="G1869">
        <f t="shared" si="146"/>
        <v>0</v>
      </c>
      <c r="H1869">
        <f t="shared" si="147"/>
        <v>0</v>
      </c>
      <c r="I1869" s="141">
        <f t="shared" si="148"/>
        <v>0</v>
      </c>
      <c r="J1869">
        <f t="shared" si="149"/>
        <v>0</v>
      </c>
      <c r="K1869" s="141">
        <f t="shared" si="150"/>
        <v>0</v>
      </c>
    </row>
    <row r="1870" spans="7:11" hidden="1" x14ac:dyDescent="0.25">
      <c r="G1870">
        <f t="shared" si="146"/>
        <v>0</v>
      </c>
      <c r="H1870">
        <f t="shared" si="147"/>
        <v>0</v>
      </c>
      <c r="I1870" s="141">
        <f t="shared" si="148"/>
        <v>0</v>
      </c>
      <c r="J1870">
        <f t="shared" si="149"/>
        <v>0</v>
      </c>
      <c r="K1870" s="141">
        <f t="shared" si="150"/>
        <v>0</v>
      </c>
    </row>
    <row r="1871" spans="7:11" hidden="1" x14ac:dyDescent="0.25">
      <c r="G1871">
        <f t="shared" si="146"/>
        <v>0</v>
      </c>
      <c r="H1871">
        <f t="shared" si="147"/>
        <v>0</v>
      </c>
      <c r="I1871" s="141">
        <f t="shared" si="148"/>
        <v>0</v>
      </c>
      <c r="J1871">
        <f t="shared" si="149"/>
        <v>0</v>
      </c>
      <c r="K1871" s="141">
        <f t="shared" si="150"/>
        <v>0</v>
      </c>
    </row>
    <row r="1872" spans="7:11" hidden="1" x14ac:dyDescent="0.25">
      <c r="G1872">
        <f t="shared" si="146"/>
        <v>0</v>
      </c>
      <c r="H1872">
        <f t="shared" si="147"/>
        <v>0</v>
      </c>
      <c r="I1872" s="141">
        <f t="shared" si="148"/>
        <v>0</v>
      </c>
      <c r="J1872">
        <f t="shared" si="149"/>
        <v>0</v>
      </c>
      <c r="K1872" s="141">
        <f t="shared" si="150"/>
        <v>0</v>
      </c>
    </row>
    <row r="1873" spans="7:11" hidden="1" x14ac:dyDescent="0.25">
      <c r="G1873">
        <f t="shared" si="146"/>
        <v>0</v>
      </c>
      <c r="H1873">
        <f t="shared" si="147"/>
        <v>0</v>
      </c>
      <c r="I1873" s="141">
        <f t="shared" si="148"/>
        <v>0</v>
      </c>
      <c r="J1873">
        <f t="shared" si="149"/>
        <v>0</v>
      </c>
      <c r="K1873" s="141">
        <f t="shared" si="150"/>
        <v>0</v>
      </c>
    </row>
    <row r="1874" spans="7:11" hidden="1" x14ac:dyDescent="0.25">
      <c r="G1874">
        <f t="shared" si="146"/>
        <v>0</v>
      </c>
      <c r="H1874">
        <f t="shared" si="147"/>
        <v>0</v>
      </c>
      <c r="I1874" s="141">
        <f t="shared" si="148"/>
        <v>0</v>
      </c>
      <c r="J1874">
        <f t="shared" si="149"/>
        <v>0</v>
      </c>
      <c r="K1874" s="141">
        <f t="shared" si="150"/>
        <v>0</v>
      </c>
    </row>
    <row r="1875" spans="7:11" hidden="1" x14ac:dyDescent="0.25">
      <c r="G1875">
        <f t="shared" si="146"/>
        <v>0</v>
      </c>
      <c r="H1875">
        <f t="shared" si="147"/>
        <v>0</v>
      </c>
      <c r="I1875" s="141">
        <f t="shared" si="148"/>
        <v>0</v>
      </c>
      <c r="J1875">
        <f t="shared" si="149"/>
        <v>0</v>
      </c>
      <c r="K1875" s="141">
        <f t="shared" si="150"/>
        <v>0</v>
      </c>
    </row>
    <row r="1876" spans="7:11" hidden="1" x14ac:dyDescent="0.25">
      <c r="G1876">
        <f t="shared" si="146"/>
        <v>0</v>
      </c>
      <c r="H1876">
        <f t="shared" si="147"/>
        <v>0</v>
      </c>
      <c r="I1876" s="141">
        <f t="shared" si="148"/>
        <v>0</v>
      </c>
      <c r="J1876">
        <f t="shared" si="149"/>
        <v>0</v>
      </c>
      <c r="K1876" s="141">
        <f t="shared" si="150"/>
        <v>0</v>
      </c>
    </row>
    <row r="1877" spans="7:11" hidden="1" x14ac:dyDescent="0.25">
      <c r="G1877">
        <f t="shared" si="146"/>
        <v>0</v>
      </c>
      <c r="H1877">
        <f t="shared" si="147"/>
        <v>0</v>
      </c>
      <c r="I1877" s="141">
        <f t="shared" si="148"/>
        <v>0</v>
      </c>
      <c r="J1877">
        <f t="shared" si="149"/>
        <v>0</v>
      </c>
      <c r="K1877" s="141">
        <f t="shared" si="150"/>
        <v>0</v>
      </c>
    </row>
    <row r="1878" spans="7:11" hidden="1" x14ac:dyDescent="0.25">
      <c r="G1878">
        <f t="shared" si="146"/>
        <v>0</v>
      </c>
      <c r="H1878">
        <f t="shared" si="147"/>
        <v>0</v>
      </c>
      <c r="I1878" s="141">
        <f t="shared" si="148"/>
        <v>0</v>
      </c>
      <c r="J1878">
        <f t="shared" si="149"/>
        <v>0</v>
      </c>
      <c r="K1878" s="141">
        <f t="shared" si="150"/>
        <v>0</v>
      </c>
    </row>
    <row r="1879" spans="7:11" hidden="1" x14ac:dyDescent="0.25">
      <c r="G1879">
        <f t="shared" si="146"/>
        <v>0</v>
      </c>
      <c r="H1879">
        <f t="shared" si="147"/>
        <v>0</v>
      </c>
      <c r="I1879" s="141">
        <f t="shared" si="148"/>
        <v>0</v>
      </c>
      <c r="J1879">
        <f t="shared" si="149"/>
        <v>0</v>
      </c>
      <c r="K1879" s="141">
        <f t="shared" si="150"/>
        <v>0</v>
      </c>
    </row>
    <row r="1880" spans="7:11" hidden="1" x14ac:dyDescent="0.25">
      <c r="G1880">
        <f t="shared" si="146"/>
        <v>0</v>
      </c>
      <c r="H1880">
        <f t="shared" si="147"/>
        <v>0</v>
      </c>
      <c r="I1880" s="141">
        <f t="shared" si="148"/>
        <v>0</v>
      </c>
      <c r="J1880">
        <f t="shared" si="149"/>
        <v>0</v>
      </c>
      <c r="K1880" s="141">
        <f t="shared" si="150"/>
        <v>0</v>
      </c>
    </row>
    <row r="1881" spans="7:11" hidden="1" x14ac:dyDescent="0.25">
      <c r="G1881">
        <f t="shared" si="146"/>
        <v>0</v>
      </c>
      <c r="H1881">
        <f t="shared" si="147"/>
        <v>0</v>
      </c>
      <c r="I1881" s="141">
        <f t="shared" si="148"/>
        <v>0</v>
      </c>
      <c r="J1881">
        <f t="shared" si="149"/>
        <v>0</v>
      </c>
      <c r="K1881" s="141">
        <f t="shared" si="150"/>
        <v>0</v>
      </c>
    </row>
    <row r="1882" spans="7:11" hidden="1" x14ac:dyDescent="0.25">
      <c r="G1882">
        <f t="shared" si="146"/>
        <v>0</v>
      </c>
      <c r="H1882">
        <f t="shared" si="147"/>
        <v>0</v>
      </c>
      <c r="I1882" s="141">
        <f t="shared" si="148"/>
        <v>0</v>
      </c>
      <c r="J1882">
        <f t="shared" si="149"/>
        <v>0</v>
      </c>
      <c r="K1882" s="141">
        <f t="shared" si="150"/>
        <v>0</v>
      </c>
    </row>
    <row r="1883" spans="7:11" hidden="1" x14ac:dyDescent="0.25">
      <c r="G1883">
        <f t="shared" si="146"/>
        <v>0</v>
      </c>
      <c r="H1883">
        <f t="shared" si="147"/>
        <v>0</v>
      </c>
      <c r="I1883" s="141">
        <f t="shared" si="148"/>
        <v>0</v>
      </c>
      <c r="J1883">
        <f t="shared" si="149"/>
        <v>0</v>
      </c>
      <c r="K1883" s="141">
        <f t="shared" si="150"/>
        <v>0</v>
      </c>
    </row>
    <row r="1884" spans="7:11" hidden="1" x14ac:dyDescent="0.25">
      <c r="G1884">
        <f t="shared" si="146"/>
        <v>0</v>
      </c>
      <c r="H1884">
        <f t="shared" si="147"/>
        <v>0</v>
      </c>
      <c r="I1884" s="141">
        <f t="shared" si="148"/>
        <v>0</v>
      </c>
      <c r="J1884">
        <f t="shared" si="149"/>
        <v>0</v>
      </c>
      <c r="K1884" s="141">
        <f t="shared" si="150"/>
        <v>0</v>
      </c>
    </row>
    <row r="1885" spans="7:11" hidden="1" x14ac:dyDescent="0.25">
      <c r="G1885">
        <f t="shared" si="146"/>
        <v>0</v>
      </c>
      <c r="H1885">
        <f t="shared" si="147"/>
        <v>0</v>
      </c>
      <c r="I1885" s="141">
        <f t="shared" si="148"/>
        <v>0</v>
      </c>
      <c r="J1885">
        <f t="shared" si="149"/>
        <v>0</v>
      </c>
      <c r="K1885" s="141">
        <f t="shared" si="150"/>
        <v>0</v>
      </c>
    </row>
    <row r="1886" spans="7:11" hidden="1" x14ac:dyDescent="0.25">
      <c r="G1886">
        <f t="shared" si="146"/>
        <v>0</v>
      </c>
      <c r="H1886">
        <f t="shared" si="147"/>
        <v>0</v>
      </c>
      <c r="I1886" s="141">
        <f t="shared" si="148"/>
        <v>0</v>
      </c>
      <c r="J1886">
        <f t="shared" si="149"/>
        <v>0</v>
      </c>
      <c r="K1886" s="141">
        <f t="shared" si="150"/>
        <v>0</v>
      </c>
    </row>
    <row r="1887" spans="7:11" hidden="1" x14ac:dyDescent="0.25">
      <c r="G1887">
        <f t="shared" si="146"/>
        <v>0</v>
      </c>
      <c r="H1887">
        <f t="shared" si="147"/>
        <v>0</v>
      </c>
      <c r="I1887" s="141">
        <f t="shared" si="148"/>
        <v>0</v>
      </c>
      <c r="J1887">
        <f t="shared" si="149"/>
        <v>0</v>
      </c>
      <c r="K1887" s="141">
        <f t="shared" si="150"/>
        <v>0</v>
      </c>
    </row>
    <row r="1888" spans="7:11" hidden="1" x14ac:dyDescent="0.25">
      <c r="G1888">
        <f t="shared" si="146"/>
        <v>0</v>
      </c>
      <c r="H1888">
        <f t="shared" si="147"/>
        <v>0</v>
      </c>
      <c r="I1888" s="141">
        <f t="shared" si="148"/>
        <v>0</v>
      </c>
      <c r="J1888">
        <f t="shared" si="149"/>
        <v>0</v>
      </c>
      <c r="K1888" s="141">
        <f t="shared" si="150"/>
        <v>0</v>
      </c>
    </row>
    <row r="1889" spans="7:11" hidden="1" x14ac:dyDescent="0.25">
      <c r="G1889">
        <f t="shared" si="146"/>
        <v>0</v>
      </c>
      <c r="H1889">
        <f t="shared" si="147"/>
        <v>0</v>
      </c>
      <c r="I1889" s="141">
        <f t="shared" si="148"/>
        <v>0</v>
      </c>
      <c r="J1889">
        <f t="shared" si="149"/>
        <v>0</v>
      </c>
      <c r="K1889" s="141">
        <f t="shared" si="150"/>
        <v>0</v>
      </c>
    </row>
    <row r="1890" spans="7:11" hidden="1" x14ac:dyDescent="0.25">
      <c r="G1890">
        <f t="shared" si="146"/>
        <v>0</v>
      </c>
      <c r="H1890">
        <f t="shared" si="147"/>
        <v>0</v>
      </c>
      <c r="I1890" s="141">
        <f t="shared" si="148"/>
        <v>0</v>
      </c>
      <c r="J1890">
        <f t="shared" si="149"/>
        <v>0</v>
      </c>
      <c r="K1890" s="141">
        <f t="shared" si="150"/>
        <v>0</v>
      </c>
    </row>
    <row r="1891" spans="7:11" hidden="1" x14ac:dyDescent="0.25">
      <c r="G1891">
        <f t="shared" si="146"/>
        <v>0</v>
      </c>
      <c r="H1891">
        <f t="shared" si="147"/>
        <v>0</v>
      </c>
      <c r="I1891" s="141">
        <f t="shared" si="148"/>
        <v>0</v>
      </c>
      <c r="J1891">
        <f t="shared" si="149"/>
        <v>0</v>
      </c>
      <c r="K1891" s="141">
        <f t="shared" si="150"/>
        <v>0</v>
      </c>
    </row>
    <row r="1892" spans="7:11" hidden="1" x14ac:dyDescent="0.25">
      <c r="G1892">
        <f t="shared" si="146"/>
        <v>0</v>
      </c>
      <c r="H1892">
        <f t="shared" si="147"/>
        <v>0</v>
      </c>
      <c r="I1892" s="141">
        <f t="shared" si="148"/>
        <v>0</v>
      </c>
      <c r="J1892">
        <f t="shared" si="149"/>
        <v>0</v>
      </c>
      <c r="K1892" s="141">
        <f t="shared" si="150"/>
        <v>0</v>
      </c>
    </row>
    <row r="1893" spans="7:11" hidden="1" x14ac:dyDescent="0.25">
      <c r="G1893">
        <f t="shared" si="146"/>
        <v>0</v>
      </c>
      <c r="H1893">
        <f t="shared" si="147"/>
        <v>0</v>
      </c>
      <c r="I1893" s="141">
        <f t="shared" si="148"/>
        <v>0</v>
      </c>
      <c r="J1893">
        <f t="shared" si="149"/>
        <v>0</v>
      </c>
      <c r="K1893" s="141">
        <f t="shared" si="150"/>
        <v>0</v>
      </c>
    </row>
    <row r="1894" spans="7:11" hidden="1" x14ac:dyDescent="0.25">
      <c r="G1894">
        <f t="shared" si="146"/>
        <v>0</v>
      </c>
      <c r="H1894">
        <f t="shared" si="147"/>
        <v>0</v>
      </c>
      <c r="I1894" s="141">
        <f t="shared" si="148"/>
        <v>0</v>
      </c>
      <c r="J1894">
        <f t="shared" si="149"/>
        <v>0</v>
      </c>
      <c r="K1894" s="141">
        <f t="shared" si="150"/>
        <v>0</v>
      </c>
    </row>
    <row r="1895" spans="7:11" hidden="1" x14ac:dyDescent="0.25">
      <c r="G1895">
        <f t="shared" si="146"/>
        <v>0</v>
      </c>
      <c r="H1895">
        <f t="shared" si="147"/>
        <v>0</v>
      </c>
      <c r="I1895" s="141">
        <f t="shared" si="148"/>
        <v>0</v>
      </c>
      <c r="J1895">
        <f t="shared" si="149"/>
        <v>0</v>
      </c>
      <c r="K1895" s="141">
        <f t="shared" si="150"/>
        <v>0</v>
      </c>
    </row>
    <row r="1896" spans="7:11" hidden="1" x14ac:dyDescent="0.25">
      <c r="G1896">
        <f t="shared" si="146"/>
        <v>0</v>
      </c>
      <c r="H1896">
        <f t="shared" si="147"/>
        <v>0</v>
      </c>
      <c r="I1896" s="141">
        <f t="shared" si="148"/>
        <v>0</v>
      </c>
      <c r="J1896">
        <f t="shared" si="149"/>
        <v>0</v>
      </c>
      <c r="K1896" s="141">
        <f t="shared" si="150"/>
        <v>0</v>
      </c>
    </row>
    <row r="1897" spans="7:11" hidden="1" x14ac:dyDescent="0.25">
      <c r="G1897">
        <f t="shared" si="146"/>
        <v>0</v>
      </c>
      <c r="H1897">
        <f t="shared" si="147"/>
        <v>0</v>
      </c>
      <c r="I1897" s="141">
        <f t="shared" si="148"/>
        <v>0</v>
      </c>
      <c r="J1897">
        <f t="shared" si="149"/>
        <v>0</v>
      </c>
      <c r="K1897" s="141">
        <f t="shared" si="150"/>
        <v>0</v>
      </c>
    </row>
    <row r="1898" spans="7:11" hidden="1" x14ac:dyDescent="0.25">
      <c r="G1898">
        <f t="shared" si="146"/>
        <v>0</v>
      </c>
      <c r="H1898">
        <f t="shared" si="147"/>
        <v>0</v>
      </c>
      <c r="I1898" s="141">
        <f t="shared" si="148"/>
        <v>0</v>
      </c>
      <c r="J1898">
        <f t="shared" si="149"/>
        <v>0</v>
      </c>
      <c r="K1898" s="141">
        <f t="shared" si="150"/>
        <v>0</v>
      </c>
    </row>
    <row r="1899" spans="7:11" hidden="1" x14ac:dyDescent="0.25">
      <c r="G1899">
        <f t="shared" si="146"/>
        <v>0</v>
      </c>
      <c r="H1899">
        <f t="shared" si="147"/>
        <v>0</v>
      </c>
      <c r="I1899" s="141">
        <f t="shared" si="148"/>
        <v>0</v>
      </c>
      <c r="J1899">
        <f t="shared" si="149"/>
        <v>0</v>
      </c>
      <c r="K1899" s="141">
        <f t="shared" si="150"/>
        <v>0</v>
      </c>
    </row>
    <row r="1900" spans="7:11" hidden="1" x14ac:dyDescent="0.25">
      <c r="G1900">
        <f t="shared" si="146"/>
        <v>0</v>
      </c>
      <c r="H1900">
        <f t="shared" si="147"/>
        <v>0</v>
      </c>
      <c r="I1900" s="141">
        <f t="shared" si="148"/>
        <v>0</v>
      </c>
      <c r="J1900">
        <f t="shared" si="149"/>
        <v>0</v>
      </c>
      <c r="K1900" s="141">
        <f t="shared" si="150"/>
        <v>0</v>
      </c>
    </row>
    <row r="1901" spans="7:11" hidden="1" x14ac:dyDescent="0.25">
      <c r="G1901">
        <f t="shared" si="146"/>
        <v>0</v>
      </c>
      <c r="H1901">
        <f t="shared" si="147"/>
        <v>0</v>
      </c>
      <c r="I1901" s="141">
        <f t="shared" si="148"/>
        <v>0</v>
      </c>
      <c r="J1901">
        <f t="shared" si="149"/>
        <v>0</v>
      </c>
      <c r="K1901" s="141">
        <f t="shared" si="150"/>
        <v>0</v>
      </c>
    </row>
    <row r="1902" spans="7:11" hidden="1" x14ac:dyDescent="0.25">
      <c r="G1902">
        <f t="shared" si="146"/>
        <v>0</v>
      </c>
      <c r="H1902">
        <f t="shared" si="147"/>
        <v>0</v>
      </c>
      <c r="I1902" s="141">
        <f t="shared" si="148"/>
        <v>0</v>
      </c>
      <c r="J1902">
        <f t="shared" si="149"/>
        <v>0</v>
      </c>
      <c r="K1902" s="141">
        <f t="shared" si="150"/>
        <v>0</v>
      </c>
    </row>
    <row r="1903" spans="7:11" hidden="1" x14ac:dyDescent="0.25">
      <c r="G1903">
        <f t="shared" si="146"/>
        <v>0</v>
      </c>
      <c r="H1903">
        <f t="shared" si="147"/>
        <v>0</v>
      </c>
      <c r="I1903" s="141">
        <f t="shared" si="148"/>
        <v>0</v>
      </c>
      <c r="J1903">
        <f t="shared" si="149"/>
        <v>0</v>
      </c>
      <c r="K1903" s="141">
        <f t="shared" si="150"/>
        <v>0</v>
      </c>
    </row>
    <row r="1904" spans="7:11" hidden="1" x14ac:dyDescent="0.25">
      <c r="G1904">
        <f t="shared" si="146"/>
        <v>0</v>
      </c>
      <c r="H1904">
        <f t="shared" si="147"/>
        <v>0</v>
      </c>
      <c r="I1904" s="141">
        <f t="shared" si="148"/>
        <v>0</v>
      </c>
      <c r="J1904">
        <f t="shared" si="149"/>
        <v>0</v>
      </c>
      <c r="K1904" s="141">
        <f t="shared" si="150"/>
        <v>0</v>
      </c>
    </row>
    <row r="1905" spans="7:11" hidden="1" x14ac:dyDescent="0.25">
      <c r="G1905">
        <f t="shared" si="146"/>
        <v>0</v>
      </c>
      <c r="H1905">
        <f t="shared" si="147"/>
        <v>0</v>
      </c>
      <c r="I1905" s="141">
        <f t="shared" si="148"/>
        <v>0</v>
      </c>
      <c r="J1905">
        <f t="shared" si="149"/>
        <v>0</v>
      </c>
      <c r="K1905" s="141">
        <f t="shared" si="150"/>
        <v>0</v>
      </c>
    </row>
    <row r="1906" spans="7:11" hidden="1" x14ac:dyDescent="0.25">
      <c r="G1906">
        <f t="shared" si="146"/>
        <v>0</v>
      </c>
      <c r="H1906">
        <f t="shared" si="147"/>
        <v>0</v>
      </c>
      <c r="I1906" s="141">
        <f t="shared" si="148"/>
        <v>0</v>
      </c>
      <c r="J1906">
        <f t="shared" si="149"/>
        <v>0</v>
      </c>
      <c r="K1906" s="141">
        <f t="shared" si="150"/>
        <v>0</v>
      </c>
    </row>
    <row r="1907" spans="7:11" hidden="1" x14ac:dyDescent="0.25">
      <c r="G1907">
        <f t="shared" si="146"/>
        <v>0</v>
      </c>
      <c r="H1907">
        <f t="shared" si="147"/>
        <v>0</v>
      </c>
      <c r="I1907" s="141">
        <f t="shared" si="148"/>
        <v>0</v>
      </c>
      <c r="J1907">
        <f t="shared" si="149"/>
        <v>0</v>
      </c>
      <c r="K1907" s="141">
        <f t="shared" si="150"/>
        <v>0</v>
      </c>
    </row>
    <row r="1908" spans="7:11" hidden="1" x14ac:dyDescent="0.25">
      <c r="G1908">
        <f t="shared" si="146"/>
        <v>0</v>
      </c>
      <c r="H1908">
        <f t="shared" si="147"/>
        <v>0</v>
      </c>
      <c r="I1908" s="141">
        <f t="shared" si="148"/>
        <v>0</v>
      </c>
      <c r="J1908">
        <f t="shared" si="149"/>
        <v>0</v>
      </c>
      <c r="K1908" s="141">
        <f t="shared" si="150"/>
        <v>0</v>
      </c>
    </row>
    <row r="1909" spans="7:11" hidden="1" x14ac:dyDescent="0.25">
      <c r="G1909">
        <f t="shared" si="146"/>
        <v>0</v>
      </c>
      <c r="H1909">
        <f t="shared" si="147"/>
        <v>0</v>
      </c>
      <c r="I1909" s="141">
        <f t="shared" si="148"/>
        <v>0</v>
      </c>
      <c r="J1909">
        <f t="shared" si="149"/>
        <v>0</v>
      </c>
      <c r="K1909" s="141">
        <f t="shared" si="150"/>
        <v>0</v>
      </c>
    </row>
    <row r="1910" spans="7:11" hidden="1" x14ac:dyDescent="0.25">
      <c r="G1910">
        <f t="shared" si="146"/>
        <v>0</v>
      </c>
      <c r="H1910">
        <f t="shared" si="147"/>
        <v>0</v>
      </c>
      <c r="I1910" s="141">
        <f t="shared" si="148"/>
        <v>0</v>
      </c>
      <c r="J1910">
        <f t="shared" si="149"/>
        <v>0</v>
      </c>
      <c r="K1910" s="141">
        <f t="shared" si="150"/>
        <v>0</v>
      </c>
    </row>
    <row r="1911" spans="7:11" hidden="1" x14ac:dyDescent="0.25">
      <c r="G1911">
        <f t="shared" si="146"/>
        <v>0</v>
      </c>
      <c r="H1911">
        <f t="shared" si="147"/>
        <v>0</v>
      </c>
      <c r="I1911" s="141">
        <f t="shared" si="148"/>
        <v>0</v>
      </c>
      <c r="J1911">
        <f t="shared" si="149"/>
        <v>0</v>
      </c>
      <c r="K1911" s="141">
        <f t="shared" si="150"/>
        <v>0</v>
      </c>
    </row>
    <row r="1912" spans="7:11" hidden="1" x14ac:dyDescent="0.25">
      <c r="G1912">
        <f t="shared" si="146"/>
        <v>0</v>
      </c>
      <c r="H1912">
        <f t="shared" si="147"/>
        <v>0</v>
      </c>
      <c r="I1912" s="141">
        <f t="shared" si="148"/>
        <v>0</v>
      </c>
      <c r="J1912">
        <f t="shared" si="149"/>
        <v>0</v>
      </c>
      <c r="K1912" s="141">
        <f t="shared" si="150"/>
        <v>0</v>
      </c>
    </row>
    <row r="1913" spans="7:11" hidden="1" x14ac:dyDescent="0.25">
      <c r="G1913">
        <f t="shared" si="146"/>
        <v>0</v>
      </c>
      <c r="H1913">
        <f t="shared" si="147"/>
        <v>0</v>
      </c>
      <c r="I1913" s="141">
        <f t="shared" si="148"/>
        <v>0</v>
      </c>
      <c r="J1913">
        <f t="shared" si="149"/>
        <v>0</v>
      </c>
      <c r="K1913" s="141">
        <f t="shared" si="150"/>
        <v>0</v>
      </c>
    </row>
    <row r="1914" spans="7:11" hidden="1" x14ac:dyDescent="0.25">
      <c r="G1914">
        <f t="shared" si="146"/>
        <v>0</v>
      </c>
      <c r="H1914">
        <f t="shared" si="147"/>
        <v>0</v>
      </c>
      <c r="I1914" s="141">
        <f t="shared" si="148"/>
        <v>0</v>
      </c>
      <c r="J1914">
        <f t="shared" si="149"/>
        <v>0</v>
      </c>
      <c r="K1914" s="141">
        <f t="shared" si="150"/>
        <v>0</v>
      </c>
    </row>
    <row r="1915" spans="7:11" hidden="1" x14ac:dyDescent="0.25">
      <c r="G1915">
        <f t="shared" si="146"/>
        <v>0</v>
      </c>
      <c r="H1915">
        <f t="shared" si="147"/>
        <v>0</v>
      </c>
      <c r="I1915" s="141">
        <f t="shared" si="148"/>
        <v>0</v>
      </c>
      <c r="J1915">
        <f t="shared" si="149"/>
        <v>0</v>
      </c>
      <c r="K1915" s="141">
        <f t="shared" si="150"/>
        <v>0</v>
      </c>
    </row>
    <row r="1916" spans="7:11" hidden="1" x14ac:dyDescent="0.25">
      <c r="G1916">
        <f t="shared" si="146"/>
        <v>0</v>
      </c>
      <c r="H1916">
        <f t="shared" si="147"/>
        <v>0</v>
      </c>
      <c r="I1916" s="141">
        <f t="shared" si="148"/>
        <v>0</v>
      </c>
      <c r="J1916">
        <f t="shared" si="149"/>
        <v>0</v>
      </c>
      <c r="K1916" s="141">
        <f t="shared" si="150"/>
        <v>0</v>
      </c>
    </row>
    <row r="1917" spans="7:11" hidden="1" x14ac:dyDescent="0.25">
      <c r="G1917">
        <f t="shared" si="146"/>
        <v>0</v>
      </c>
      <c r="H1917">
        <f t="shared" si="147"/>
        <v>0</v>
      </c>
      <c r="I1917" s="141">
        <f t="shared" si="148"/>
        <v>0</v>
      </c>
      <c r="J1917">
        <f t="shared" si="149"/>
        <v>0</v>
      </c>
      <c r="K1917" s="141">
        <f t="shared" si="150"/>
        <v>0</v>
      </c>
    </row>
    <row r="1918" spans="7:11" hidden="1" x14ac:dyDescent="0.25">
      <c r="G1918">
        <f t="shared" si="146"/>
        <v>0</v>
      </c>
      <c r="H1918">
        <f t="shared" si="147"/>
        <v>0</v>
      </c>
      <c r="I1918" s="141">
        <f t="shared" si="148"/>
        <v>0</v>
      </c>
      <c r="J1918">
        <f t="shared" si="149"/>
        <v>0</v>
      </c>
      <c r="K1918" s="141">
        <f t="shared" si="150"/>
        <v>0</v>
      </c>
    </row>
    <row r="1919" spans="7:11" hidden="1" x14ac:dyDescent="0.25">
      <c r="G1919">
        <f t="shared" si="146"/>
        <v>0</v>
      </c>
      <c r="H1919">
        <f t="shared" si="147"/>
        <v>0</v>
      </c>
      <c r="I1919" s="141">
        <f t="shared" si="148"/>
        <v>0</v>
      </c>
      <c r="J1919">
        <f t="shared" si="149"/>
        <v>0</v>
      </c>
      <c r="K1919" s="141">
        <f t="shared" si="150"/>
        <v>0</v>
      </c>
    </row>
    <row r="1920" spans="7:11" hidden="1" x14ac:dyDescent="0.25">
      <c r="G1920">
        <f t="shared" si="146"/>
        <v>0</v>
      </c>
      <c r="H1920">
        <f t="shared" si="147"/>
        <v>0</v>
      </c>
      <c r="I1920" s="141">
        <f t="shared" si="148"/>
        <v>0</v>
      </c>
      <c r="J1920">
        <f t="shared" si="149"/>
        <v>0</v>
      </c>
      <c r="K1920" s="141">
        <f t="shared" si="150"/>
        <v>0</v>
      </c>
    </row>
    <row r="1921" spans="7:11" hidden="1" x14ac:dyDescent="0.25">
      <c r="G1921">
        <f t="shared" si="146"/>
        <v>0</v>
      </c>
      <c r="H1921">
        <f t="shared" si="147"/>
        <v>0</v>
      </c>
      <c r="I1921" s="141">
        <f t="shared" si="148"/>
        <v>0</v>
      </c>
      <c r="J1921">
        <f t="shared" si="149"/>
        <v>0</v>
      </c>
      <c r="K1921" s="141">
        <f t="shared" si="150"/>
        <v>0</v>
      </c>
    </row>
    <row r="1922" spans="7:11" hidden="1" x14ac:dyDescent="0.25">
      <c r="G1922">
        <f t="shared" ref="G1922:G1985" si="151">A1922</f>
        <v>0</v>
      </c>
      <c r="H1922">
        <f t="shared" ref="H1922:H1985" si="152">B1922</f>
        <v>0</v>
      </c>
      <c r="I1922" s="141">
        <f t="shared" ref="I1922:I1985" si="153">C1922</f>
        <v>0</v>
      </c>
      <c r="J1922">
        <f t="shared" ref="J1922:J1985" si="154">D1922</f>
        <v>0</v>
      </c>
      <c r="K1922" s="141">
        <f t="shared" ref="K1922:K1985" si="155">E1922</f>
        <v>0</v>
      </c>
    </row>
    <row r="1923" spans="7:11" hidden="1" x14ac:dyDescent="0.25">
      <c r="G1923">
        <f t="shared" si="151"/>
        <v>0</v>
      </c>
      <c r="H1923">
        <f t="shared" si="152"/>
        <v>0</v>
      </c>
      <c r="I1923" s="141">
        <f t="shared" si="153"/>
        <v>0</v>
      </c>
      <c r="J1923">
        <f t="shared" si="154"/>
        <v>0</v>
      </c>
      <c r="K1923" s="141">
        <f t="shared" si="155"/>
        <v>0</v>
      </c>
    </row>
    <row r="1924" spans="7:11" hidden="1" x14ac:dyDescent="0.25">
      <c r="G1924">
        <f t="shared" si="151"/>
        <v>0</v>
      </c>
      <c r="H1924">
        <f t="shared" si="152"/>
        <v>0</v>
      </c>
      <c r="I1924" s="141">
        <f t="shared" si="153"/>
        <v>0</v>
      </c>
      <c r="J1924">
        <f t="shared" si="154"/>
        <v>0</v>
      </c>
      <c r="K1924" s="141">
        <f t="shared" si="155"/>
        <v>0</v>
      </c>
    </row>
    <row r="1925" spans="7:11" hidden="1" x14ac:dyDescent="0.25">
      <c r="G1925">
        <f t="shared" si="151"/>
        <v>0</v>
      </c>
      <c r="H1925">
        <f t="shared" si="152"/>
        <v>0</v>
      </c>
      <c r="I1925" s="141">
        <f t="shared" si="153"/>
        <v>0</v>
      </c>
      <c r="J1925">
        <f t="shared" si="154"/>
        <v>0</v>
      </c>
      <c r="K1925" s="141">
        <f t="shared" si="155"/>
        <v>0</v>
      </c>
    </row>
    <row r="1926" spans="7:11" hidden="1" x14ac:dyDescent="0.25">
      <c r="G1926">
        <f t="shared" si="151"/>
        <v>0</v>
      </c>
      <c r="H1926">
        <f t="shared" si="152"/>
        <v>0</v>
      </c>
      <c r="I1926" s="141">
        <f t="shared" si="153"/>
        <v>0</v>
      </c>
      <c r="J1926">
        <f t="shared" si="154"/>
        <v>0</v>
      </c>
      <c r="K1926" s="141">
        <f t="shared" si="155"/>
        <v>0</v>
      </c>
    </row>
    <row r="1927" spans="7:11" hidden="1" x14ac:dyDescent="0.25">
      <c r="G1927">
        <f t="shared" si="151"/>
        <v>0</v>
      </c>
      <c r="H1927">
        <f t="shared" si="152"/>
        <v>0</v>
      </c>
      <c r="I1927" s="141">
        <f t="shared" si="153"/>
        <v>0</v>
      </c>
      <c r="J1927">
        <f t="shared" si="154"/>
        <v>0</v>
      </c>
      <c r="K1927" s="141">
        <f t="shared" si="155"/>
        <v>0</v>
      </c>
    </row>
    <row r="1928" spans="7:11" hidden="1" x14ac:dyDescent="0.25">
      <c r="G1928">
        <f t="shared" si="151"/>
        <v>0</v>
      </c>
      <c r="H1928">
        <f t="shared" si="152"/>
        <v>0</v>
      </c>
      <c r="I1928" s="141">
        <f t="shared" si="153"/>
        <v>0</v>
      </c>
      <c r="J1928">
        <f t="shared" si="154"/>
        <v>0</v>
      </c>
      <c r="K1928" s="141">
        <f t="shared" si="155"/>
        <v>0</v>
      </c>
    </row>
    <row r="1929" spans="7:11" hidden="1" x14ac:dyDescent="0.25">
      <c r="G1929">
        <f t="shared" si="151"/>
        <v>0</v>
      </c>
      <c r="H1929">
        <f t="shared" si="152"/>
        <v>0</v>
      </c>
      <c r="I1929" s="141">
        <f t="shared" si="153"/>
        <v>0</v>
      </c>
      <c r="J1929">
        <f t="shared" si="154"/>
        <v>0</v>
      </c>
      <c r="K1929" s="141">
        <f t="shared" si="155"/>
        <v>0</v>
      </c>
    </row>
    <row r="1930" spans="7:11" hidden="1" x14ac:dyDescent="0.25">
      <c r="G1930">
        <f t="shared" si="151"/>
        <v>0</v>
      </c>
      <c r="H1930">
        <f t="shared" si="152"/>
        <v>0</v>
      </c>
      <c r="I1930" s="141">
        <f t="shared" si="153"/>
        <v>0</v>
      </c>
      <c r="J1930">
        <f t="shared" si="154"/>
        <v>0</v>
      </c>
      <c r="K1930" s="141">
        <f t="shared" si="155"/>
        <v>0</v>
      </c>
    </row>
    <row r="1931" spans="7:11" hidden="1" x14ac:dyDescent="0.25">
      <c r="G1931">
        <f t="shared" si="151"/>
        <v>0</v>
      </c>
      <c r="H1931">
        <f t="shared" si="152"/>
        <v>0</v>
      </c>
      <c r="I1931" s="141">
        <f t="shared" si="153"/>
        <v>0</v>
      </c>
      <c r="J1931">
        <f t="shared" si="154"/>
        <v>0</v>
      </c>
      <c r="K1931" s="141">
        <f t="shared" si="155"/>
        <v>0</v>
      </c>
    </row>
    <row r="1932" spans="7:11" hidden="1" x14ac:dyDescent="0.25">
      <c r="G1932">
        <f t="shared" si="151"/>
        <v>0</v>
      </c>
      <c r="H1932">
        <f t="shared" si="152"/>
        <v>0</v>
      </c>
      <c r="I1932" s="141">
        <f t="shared" si="153"/>
        <v>0</v>
      </c>
      <c r="J1932">
        <f t="shared" si="154"/>
        <v>0</v>
      </c>
      <c r="K1932" s="141">
        <f t="shared" si="155"/>
        <v>0</v>
      </c>
    </row>
    <row r="1933" spans="7:11" hidden="1" x14ac:dyDescent="0.25">
      <c r="G1933">
        <f t="shared" si="151"/>
        <v>0</v>
      </c>
      <c r="H1933">
        <f t="shared" si="152"/>
        <v>0</v>
      </c>
      <c r="I1933" s="141">
        <f t="shared" si="153"/>
        <v>0</v>
      </c>
      <c r="J1933">
        <f t="shared" si="154"/>
        <v>0</v>
      </c>
      <c r="K1933" s="141">
        <f t="shared" si="155"/>
        <v>0</v>
      </c>
    </row>
    <row r="1934" spans="7:11" hidden="1" x14ac:dyDescent="0.25">
      <c r="G1934">
        <f t="shared" si="151"/>
        <v>0</v>
      </c>
      <c r="H1934">
        <f t="shared" si="152"/>
        <v>0</v>
      </c>
      <c r="I1934" s="141">
        <f t="shared" si="153"/>
        <v>0</v>
      </c>
      <c r="J1934">
        <f t="shared" si="154"/>
        <v>0</v>
      </c>
      <c r="K1934" s="141">
        <f t="shared" si="155"/>
        <v>0</v>
      </c>
    </row>
    <row r="1935" spans="7:11" hidden="1" x14ac:dyDescent="0.25">
      <c r="G1935">
        <f t="shared" si="151"/>
        <v>0</v>
      </c>
      <c r="H1935">
        <f t="shared" si="152"/>
        <v>0</v>
      </c>
      <c r="I1935" s="141">
        <f t="shared" si="153"/>
        <v>0</v>
      </c>
      <c r="J1935">
        <f t="shared" si="154"/>
        <v>0</v>
      </c>
      <c r="K1935" s="141">
        <f t="shared" si="155"/>
        <v>0</v>
      </c>
    </row>
    <row r="1936" spans="7:11" hidden="1" x14ac:dyDescent="0.25">
      <c r="G1936">
        <f t="shared" si="151"/>
        <v>0</v>
      </c>
      <c r="H1936">
        <f t="shared" si="152"/>
        <v>0</v>
      </c>
      <c r="I1936" s="141">
        <f t="shared" si="153"/>
        <v>0</v>
      </c>
      <c r="J1936">
        <f t="shared" si="154"/>
        <v>0</v>
      </c>
      <c r="K1936" s="141">
        <f t="shared" si="155"/>
        <v>0</v>
      </c>
    </row>
    <row r="1937" spans="7:11" hidden="1" x14ac:dyDescent="0.25">
      <c r="G1937">
        <f t="shared" si="151"/>
        <v>0</v>
      </c>
      <c r="H1937">
        <f t="shared" si="152"/>
        <v>0</v>
      </c>
      <c r="I1937" s="141">
        <f t="shared" si="153"/>
        <v>0</v>
      </c>
      <c r="J1937">
        <f t="shared" si="154"/>
        <v>0</v>
      </c>
      <c r="K1937" s="141">
        <f t="shared" si="155"/>
        <v>0</v>
      </c>
    </row>
    <row r="1938" spans="7:11" hidden="1" x14ac:dyDescent="0.25">
      <c r="G1938">
        <f t="shared" si="151"/>
        <v>0</v>
      </c>
      <c r="H1938">
        <f t="shared" si="152"/>
        <v>0</v>
      </c>
      <c r="I1938" s="141">
        <f t="shared" si="153"/>
        <v>0</v>
      </c>
      <c r="J1938">
        <f t="shared" si="154"/>
        <v>0</v>
      </c>
      <c r="K1938" s="141">
        <f t="shared" si="155"/>
        <v>0</v>
      </c>
    </row>
    <row r="1939" spans="7:11" hidden="1" x14ac:dyDescent="0.25">
      <c r="G1939">
        <f t="shared" si="151"/>
        <v>0</v>
      </c>
      <c r="H1939">
        <f t="shared" si="152"/>
        <v>0</v>
      </c>
      <c r="I1939" s="141">
        <f t="shared" si="153"/>
        <v>0</v>
      </c>
      <c r="J1939">
        <f t="shared" si="154"/>
        <v>0</v>
      </c>
      <c r="K1939" s="141">
        <f t="shared" si="155"/>
        <v>0</v>
      </c>
    </row>
    <row r="1940" spans="7:11" hidden="1" x14ac:dyDescent="0.25">
      <c r="G1940">
        <f t="shared" si="151"/>
        <v>0</v>
      </c>
      <c r="H1940">
        <f t="shared" si="152"/>
        <v>0</v>
      </c>
      <c r="I1940" s="141">
        <f t="shared" si="153"/>
        <v>0</v>
      </c>
      <c r="J1940">
        <f t="shared" si="154"/>
        <v>0</v>
      </c>
      <c r="K1940" s="141">
        <f t="shared" si="155"/>
        <v>0</v>
      </c>
    </row>
    <row r="1941" spans="7:11" hidden="1" x14ac:dyDescent="0.25">
      <c r="G1941">
        <f t="shared" si="151"/>
        <v>0</v>
      </c>
      <c r="H1941">
        <f t="shared" si="152"/>
        <v>0</v>
      </c>
      <c r="I1941" s="141">
        <f t="shared" si="153"/>
        <v>0</v>
      </c>
      <c r="J1941">
        <f t="shared" si="154"/>
        <v>0</v>
      </c>
      <c r="K1941" s="141">
        <f t="shared" si="155"/>
        <v>0</v>
      </c>
    </row>
    <row r="1942" spans="7:11" hidden="1" x14ac:dyDescent="0.25">
      <c r="G1942">
        <f t="shared" si="151"/>
        <v>0</v>
      </c>
      <c r="H1942">
        <f t="shared" si="152"/>
        <v>0</v>
      </c>
      <c r="I1942" s="141">
        <f t="shared" si="153"/>
        <v>0</v>
      </c>
      <c r="J1942">
        <f t="shared" si="154"/>
        <v>0</v>
      </c>
      <c r="K1942" s="141">
        <f t="shared" si="155"/>
        <v>0</v>
      </c>
    </row>
    <row r="1943" spans="7:11" hidden="1" x14ac:dyDescent="0.25">
      <c r="G1943">
        <f t="shared" si="151"/>
        <v>0</v>
      </c>
      <c r="H1943">
        <f t="shared" si="152"/>
        <v>0</v>
      </c>
      <c r="I1943" s="141">
        <f t="shared" si="153"/>
        <v>0</v>
      </c>
      <c r="J1943">
        <f t="shared" si="154"/>
        <v>0</v>
      </c>
      <c r="K1943" s="141">
        <f t="shared" si="155"/>
        <v>0</v>
      </c>
    </row>
    <row r="1944" spans="7:11" hidden="1" x14ac:dyDescent="0.25">
      <c r="G1944">
        <f t="shared" si="151"/>
        <v>0</v>
      </c>
      <c r="H1944">
        <f t="shared" si="152"/>
        <v>0</v>
      </c>
      <c r="I1944" s="141">
        <f t="shared" si="153"/>
        <v>0</v>
      </c>
      <c r="J1944">
        <f t="shared" si="154"/>
        <v>0</v>
      </c>
      <c r="K1944" s="141">
        <f t="shared" si="155"/>
        <v>0</v>
      </c>
    </row>
    <row r="1945" spans="7:11" hidden="1" x14ac:dyDescent="0.25">
      <c r="G1945">
        <f t="shared" si="151"/>
        <v>0</v>
      </c>
      <c r="H1945">
        <f t="shared" si="152"/>
        <v>0</v>
      </c>
      <c r="I1945" s="141">
        <f t="shared" si="153"/>
        <v>0</v>
      </c>
      <c r="J1945">
        <f t="shared" si="154"/>
        <v>0</v>
      </c>
      <c r="K1945" s="141">
        <f t="shared" si="155"/>
        <v>0</v>
      </c>
    </row>
    <row r="1946" spans="7:11" hidden="1" x14ac:dyDescent="0.25">
      <c r="G1946">
        <f t="shared" si="151"/>
        <v>0</v>
      </c>
      <c r="H1946">
        <f t="shared" si="152"/>
        <v>0</v>
      </c>
      <c r="I1946" s="141">
        <f t="shared" si="153"/>
        <v>0</v>
      </c>
      <c r="J1946">
        <f t="shared" si="154"/>
        <v>0</v>
      </c>
      <c r="K1946" s="141">
        <f t="shared" si="155"/>
        <v>0</v>
      </c>
    </row>
    <row r="1947" spans="7:11" hidden="1" x14ac:dyDescent="0.25">
      <c r="G1947">
        <f t="shared" si="151"/>
        <v>0</v>
      </c>
      <c r="H1947">
        <f t="shared" si="152"/>
        <v>0</v>
      </c>
      <c r="I1947" s="141">
        <f t="shared" si="153"/>
        <v>0</v>
      </c>
      <c r="J1947">
        <f t="shared" si="154"/>
        <v>0</v>
      </c>
      <c r="K1947" s="141">
        <f t="shared" si="155"/>
        <v>0</v>
      </c>
    </row>
    <row r="1948" spans="7:11" hidden="1" x14ac:dyDescent="0.25">
      <c r="G1948">
        <f t="shared" si="151"/>
        <v>0</v>
      </c>
      <c r="H1948">
        <f t="shared" si="152"/>
        <v>0</v>
      </c>
      <c r="I1948" s="141">
        <f t="shared" si="153"/>
        <v>0</v>
      </c>
      <c r="J1948">
        <f t="shared" si="154"/>
        <v>0</v>
      </c>
      <c r="K1948" s="141">
        <f t="shared" si="155"/>
        <v>0</v>
      </c>
    </row>
    <row r="1949" spans="7:11" hidden="1" x14ac:dyDescent="0.25">
      <c r="G1949">
        <f t="shared" si="151"/>
        <v>0</v>
      </c>
      <c r="H1949">
        <f t="shared" si="152"/>
        <v>0</v>
      </c>
      <c r="I1949" s="141">
        <f t="shared" si="153"/>
        <v>0</v>
      </c>
      <c r="J1949">
        <f t="shared" si="154"/>
        <v>0</v>
      </c>
      <c r="K1949" s="141">
        <f t="shared" si="155"/>
        <v>0</v>
      </c>
    </row>
    <row r="1950" spans="7:11" hidden="1" x14ac:dyDescent="0.25">
      <c r="G1950">
        <f t="shared" si="151"/>
        <v>0</v>
      </c>
      <c r="H1950">
        <f t="shared" si="152"/>
        <v>0</v>
      </c>
      <c r="I1950" s="141">
        <f t="shared" si="153"/>
        <v>0</v>
      </c>
      <c r="J1950">
        <f t="shared" si="154"/>
        <v>0</v>
      </c>
      <c r="K1950" s="141">
        <f t="shared" si="155"/>
        <v>0</v>
      </c>
    </row>
    <row r="1951" spans="7:11" hidden="1" x14ac:dyDescent="0.25">
      <c r="G1951">
        <f t="shared" si="151"/>
        <v>0</v>
      </c>
      <c r="H1951">
        <f t="shared" si="152"/>
        <v>0</v>
      </c>
      <c r="I1951" s="141">
        <f t="shared" si="153"/>
        <v>0</v>
      </c>
      <c r="J1951">
        <f t="shared" si="154"/>
        <v>0</v>
      </c>
      <c r="K1951" s="141">
        <f t="shared" si="155"/>
        <v>0</v>
      </c>
    </row>
    <row r="1952" spans="7:11" hidden="1" x14ac:dyDescent="0.25">
      <c r="G1952">
        <f t="shared" si="151"/>
        <v>0</v>
      </c>
      <c r="H1952">
        <f t="shared" si="152"/>
        <v>0</v>
      </c>
      <c r="I1952" s="141">
        <f t="shared" si="153"/>
        <v>0</v>
      </c>
      <c r="J1952">
        <f t="shared" si="154"/>
        <v>0</v>
      </c>
      <c r="K1952" s="141">
        <f t="shared" si="155"/>
        <v>0</v>
      </c>
    </row>
    <row r="1953" spans="7:11" hidden="1" x14ac:dyDescent="0.25">
      <c r="G1953">
        <f t="shared" si="151"/>
        <v>0</v>
      </c>
      <c r="H1953">
        <f t="shared" si="152"/>
        <v>0</v>
      </c>
      <c r="I1953" s="141">
        <f t="shared" si="153"/>
        <v>0</v>
      </c>
      <c r="J1953">
        <f t="shared" si="154"/>
        <v>0</v>
      </c>
      <c r="K1953" s="141">
        <f t="shared" si="155"/>
        <v>0</v>
      </c>
    </row>
    <row r="1954" spans="7:11" hidden="1" x14ac:dyDescent="0.25">
      <c r="G1954">
        <f t="shared" si="151"/>
        <v>0</v>
      </c>
      <c r="H1954">
        <f t="shared" si="152"/>
        <v>0</v>
      </c>
      <c r="I1954" s="141">
        <f t="shared" si="153"/>
        <v>0</v>
      </c>
      <c r="J1954">
        <f t="shared" si="154"/>
        <v>0</v>
      </c>
      <c r="K1954" s="141">
        <f t="shared" si="155"/>
        <v>0</v>
      </c>
    </row>
    <row r="1955" spans="7:11" hidden="1" x14ac:dyDescent="0.25">
      <c r="G1955">
        <f t="shared" si="151"/>
        <v>0</v>
      </c>
      <c r="H1955">
        <f t="shared" si="152"/>
        <v>0</v>
      </c>
      <c r="I1955" s="141">
        <f t="shared" si="153"/>
        <v>0</v>
      </c>
      <c r="J1955">
        <f t="shared" si="154"/>
        <v>0</v>
      </c>
      <c r="K1955" s="141">
        <f t="shared" si="155"/>
        <v>0</v>
      </c>
    </row>
    <row r="1956" spans="7:11" hidden="1" x14ac:dyDescent="0.25">
      <c r="G1956">
        <f t="shared" si="151"/>
        <v>0</v>
      </c>
      <c r="H1956">
        <f t="shared" si="152"/>
        <v>0</v>
      </c>
      <c r="I1956" s="141">
        <f t="shared" si="153"/>
        <v>0</v>
      </c>
      <c r="J1956">
        <f t="shared" si="154"/>
        <v>0</v>
      </c>
      <c r="K1956" s="141">
        <f t="shared" si="155"/>
        <v>0</v>
      </c>
    </row>
    <row r="1957" spans="7:11" hidden="1" x14ac:dyDescent="0.25">
      <c r="G1957">
        <f t="shared" si="151"/>
        <v>0</v>
      </c>
      <c r="H1957">
        <f t="shared" si="152"/>
        <v>0</v>
      </c>
      <c r="I1957" s="141">
        <f t="shared" si="153"/>
        <v>0</v>
      </c>
      <c r="J1957">
        <f t="shared" si="154"/>
        <v>0</v>
      </c>
      <c r="K1957" s="141">
        <f t="shared" si="155"/>
        <v>0</v>
      </c>
    </row>
    <row r="1958" spans="7:11" hidden="1" x14ac:dyDescent="0.25">
      <c r="G1958">
        <f t="shared" si="151"/>
        <v>0</v>
      </c>
      <c r="H1958">
        <f t="shared" si="152"/>
        <v>0</v>
      </c>
      <c r="I1958" s="141">
        <f t="shared" si="153"/>
        <v>0</v>
      </c>
      <c r="J1958">
        <f t="shared" si="154"/>
        <v>0</v>
      </c>
      <c r="K1958" s="141">
        <f t="shared" si="155"/>
        <v>0</v>
      </c>
    </row>
    <row r="1959" spans="7:11" hidden="1" x14ac:dyDescent="0.25">
      <c r="G1959">
        <f t="shared" si="151"/>
        <v>0</v>
      </c>
      <c r="H1959">
        <f t="shared" si="152"/>
        <v>0</v>
      </c>
      <c r="I1959" s="141">
        <f t="shared" si="153"/>
        <v>0</v>
      </c>
      <c r="J1959">
        <f t="shared" si="154"/>
        <v>0</v>
      </c>
      <c r="K1959" s="141">
        <f t="shared" si="155"/>
        <v>0</v>
      </c>
    </row>
    <row r="1960" spans="7:11" hidden="1" x14ac:dyDescent="0.25">
      <c r="G1960">
        <f t="shared" si="151"/>
        <v>0</v>
      </c>
      <c r="H1960">
        <f t="shared" si="152"/>
        <v>0</v>
      </c>
      <c r="I1960" s="141">
        <f t="shared" si="153"/>
        <v>0</v>
      </c>
      <c r="J1960">
        <f t="shared" si="154"/>
        <v>0</v>
      </c>
      <c r="K1960" s="141">
        <f t="shared" si="155"/>
        <v>0</v>
      </c>
    </row>
    <row r="1961" spans="7:11" hidden="1" x14ac:dyDescent="0.25">
      <c r="G1961">
        <f t="shared" si="151"/>
        <v>0</v>
      </c>
      <c r="H1961">
        <f t="shared" si="152"/>
        <v>0</v>
      </c>
      <c r="I1961" s="141">
        <f t="shared" si="153"/>
        <v>0</v>
      </c>
      <c r="J1961">
        <f t="shared" si="154"/>
        <v>0</v>
      </c>
      <c r="K1961" s="141">
        <f t="shared" si="155"/>
        <v>0</v>
      </c>
    </row>
    <row r="1962" spans="7:11" hidden="1" x14ac:dyDescent="0.25">
      <c r="G1962">
        <f t="shared" si="151"/>
        <v>0</v>
      </c>
      <c r="H1962">
        <f t="shared" si="152"/>
        <v>0</v>
      </c>
      <c r="I1962" s="141">
        <f t="shared" si="153"/>
        <v>0</v>
      </c>
      <c r="J1962">
        <f t="shared" si="154"/>
        <v>0</v>
      </c>
      <c r="K1962" s="141">
        <f t="shared" si="155"/>
        <v>0</v>
      </c>
    </row>
    <row r="1963" spans="7:11" hidden="1" x14ac:dyDescent="0.25">
      <c r="G1963">
        <f t="shared" si="151"/>
        <v>0</v>
      </c>
      <c r="H1963">
        <f t="shared" si="152"/>
        <v>0</v>
      </c>
      <c r="I1963" s="141">
        <f t="shared" si="153"/>
        <v>0</v>
      </c>
      <c r="J1963">
        <f t="shared" si="154"/>
        <v>0</v>
      </c>
      <c r="K1963" s="141">
        <f t="shared" si="155"/>
        <v>0</v>
      </c>
    </row>
    <row r="1964" spans="7:11" hidden="1" x14ac:dyDescent="0.25">
      <c r="G1964">
        <f t="shared" si="151"/>
        <v>0</v>
      </c>
      <c r="H1964">
        <f t="shared" si="152"/>
        <v>0</v>
      </c>
      <c r="I1964" s="141">
        <f t="shared" si="153"/>
        <v>0</v>
      </c>
      <c r="J1964">
        <f t="shared" si="154"/>
        <v>0</v>
      </c>
      <c r="K1964" s="141">
        <f t="shared" si="155"/>
        <v>0</v>
      </c>
    </row>
    <row r="1965" spans="7:11" hidden="1" x14ac:dyDescent="0.25">
      <c r="G1965">
        <f t="shared" si="151"/>
        <v>0</v>
      </c>
      <c r="H1965">
        <f t="shared" si="152"/>
        <v>0</v>
      </c>
      <c r="I1965" s="141">
        <f t="shared" si="153"/>
        <v>0</v>
      </c>
      <c r="J1965">
        <f t="shared" si="154"/>
        <v>0</v>
      </c>
      <c r="K1965" s="141">
        <f t="shared" si="155"/>
        <v>0</v>
      </c>
    </row>
    <row r="1966" spans="7:11" hidden="1" x14ac:dyDescent="0.25">
      <c r="G1966">
        <f t="shared" si="151"/>
        <v>0</v>
      </c>
      <c r="H1966">
        <f t="shared" si="152"/>
        <v>0</v>
      </c>
      <c r="I1966" s="141">
        <f t="shared" si="153"/>
        <v>0</v>
      </c>
      <c r="J1966">
        <f t="shared" si="154"/>
        <v>0</v>
      </c>
      <c r="K1966" s="141">
        <f t="shared" si="155"/>
        <v>0</v>
      </c>
    </row>
    <row r="1967" spans="7:11" hidden="1" x14ac:dyDescent="0.25">
      <c r="G1967">
        <f t="shared" si="151"/>
        <v>0</v>
      </c>
      <c r="H1967">
        <f t="shared" si="152"/>
        <v>0</v>
      </c>
      <c r="I1967" s="141">
        <f t="shared" si="153"/>
        <v>0</v>
      </c>
      <c r="J1967">
        <f t="shared" si="154"/>
        <v>0</v>
      </c>
      <c r="K1967" s="141">
        <f t="shared" si="155"/>
        <v>0</v>
      </c>
    </row>
    <row r="1968" spans="7:11" hidden="1" x14ac:dyDescent="0.25">
      <c r="G1968">
        <f t="shared" si="151"/>
        <v>0</v>
      </c>
      <c r="H1968">
        <f t="shared" si="152"/>
        <v>0</v>
      </c>
      <c r="I1968" s="141">
        <f t="shared" si="153"/>
        <v>0</v>
      </c>
      <c r="J1968">
        <f t="shared" si="154"/>
        <v>0</v>
      </c>
      <c r="K1968" s="141">
        <f t="shared" si="155"/>
        <v>0</v>
      </c>
    </row>
    <row r="1969" spans="7:11" hidden="1" x14ac:dyDescent="0.25">
      <c r="G1969">
        <f t="shared" si="151"/>
        <v>0</v>
      </c>
      <c r="H1969">
        <f t="shared" si="152"/>
        <v>0</v>
      </c>
      <c r="I1969" s="141">
        <f t="shared" si="153"/>
        <v>0</v>
      </c>
      <c r="J1969">
        <f t="shared" si="154"/>
        <v>0</v>
      </c>
      <c r="K1969" s="141">
        <f t="shared" si="155"/>
        <v>0</v>
      </c>
    </row>
    <row r="1970" spans="7:11" hidden="1" x14ac:dyDescent="0.25">
      <c r="G1970">
        <f t="shared" si="151"/>
        <v>0</v>
      </c>
      <c r="H1970">
        <f t="shared" si="152"/>
        <v>0</v>
      </c>
      <c r="I1970" s="141">
        <f t="shared" si="153"/>
        <v>0</v>
      </c>
      <c r="J1970">
        <f t="shared" si="154"/>
        <v>0</v>
      </c>
      <c r="K1970" s="141">
        <f t="shared" si="155"/>
        <v>0</v>
      </c>
    </row>
    <row r="1971" spans="7:11" hidden="1" x14ac:dyDescent="0.25">
      <c r="G1971">
        <f t="shared" si="151"/>
        <v>0</v>
      </c>
      <c r="H1971">
        <f t="shared" si="152"/>
        <v>0</v>
      </c>
      <c r="I1971" s="141">
        <f t="shared" si="153"/>
        <v>0</v>
      </c>
      <c r="J1971">
        <f t="shared" si="154"/>
        <v>0</v>
      </c>
      <c r="K1971" s="141">
        <f t="shared" si="155"/>
        <v>0</v>
      </c>
    </row>
    <row r="1972" spans="7:11" hidden="1" x14ac:dyDescent="0.25">
      <c r="G1972">
        <f t="shared" si="151"/>
        <v>0</v>
      </c>
      <c r="H1972">
        <f t="shared" si="152"/>
        <v>0</v>
      </c>
      <c r="I1972" s="141">
        <f t="shared" si="153"/>
        <v>0</v>
      </c>
      <c r="J1972">
        <f t="shared" si="154"/>
        <v>0</v>
      </c>
      <c r="K1972" s="141">
        <f t="shared" si="155"/>
        <v>0</v>
      </c>
    </row>
    <row r="1973" spans="7:11" hidden="1" x14ac:dyDescent="0.25">
      <c r="G1973">
        <f t="shared" si="151"/>
        <v>0</v>
      </c>
      <c r="H1973">
        <f t="shared" si="152"/>
        <v>0</v>
      </c>
      <c r="I1973" s="141">
        <f t="shared" si="153"/>
        <v>0</v>
      </c>
      <c r="J1973">
        <f t="shared" si="154"/>
        <v>0</v>
      </c>
      <c r="K1973" s="141">
        <f t="shared" si="155"/>
        <v>0</v>
      </c>
    </row>
    <row r="1974" spans="7:11" hidden="1" x14ac:dyDescent="0.25">
      <c r="G1974">
        <f t="shared" si="151"/>
        <v>0</v>
      </c>
      <c r="H1974">
        <f t="shared" si="152"/>
        <v>0</v>
      </c>
      <c r="I1974" s="141">
        <f t="shared" si="153"/>
        <v>0</v>
      </c>
      <c r="J1974">
        <f t="shared" si="154"/>
        <v>0</v>
      </c>
      <c r="K1974" s="141">
        <f t="shared" si="155"/>
        <v>0</v>
      </c>
    </row>
    <row r="1975" spans="7:11" hidden="1" x14ac:dyDescent="0.25">
      <c r="G1975">
        <f t="shared" si="151"/>
        <v>0</v>
      </c>
      <c r="H1975">
        <f t="shared" si="152"/>
        <v>0</v>
      </c>
      <c r="I1975" s="141">
        <f t="shared" si="153"/>
        <v>0</v>
      </c>
      <c r="J1975">
        <f t="shared" si="154"/>
        <v>0</v>
      </c>
      <c r="K1975" s="141">
        <f t="shared" si="155"/>
        <v>0</v>
      </c>
    </row>
    <row r="1976" spans="7:11" hidden="1" x14ac:dyDescent="0.25">
      <c r="G1976">
        <f t="shared" si="151"/>
        <v>0</v>
      </c>
      <c r="H1976">
        <f t="shared" si="152"/>
        <v>0</v>
      </c>
      <c r="I1976" s="141">
        <f t="shared" si="153"/>
        <v>0</v>
      </c>
      <c r="J1976">
        <f t="shared" si="154"/>
        <v>0</v>
      </c>
      <c r="K1976" s="141">
        <f t="shared" si="155"/>
        <v>0</v>
      </c>
    </row>
    <row r="1977" spans="7:11" hidden="1" x14ac:dyDescent="0.25">
      <c r="G1977">
        <f t="shared" si="151"/>
        <v>0</v>
      </c>
      <c r="H1977">
        <f t="shared" si="152"/>
        <v>0</v>
      </c>
      <c r="I1977" s="141">
        <f t="shared" si="153"/>
        <v>0</v>
      </c>
      <c r="J1977">
        <f t="shared" si="154"/>
        <v>0</v>
      </c>
      <c r="K1977" s="141">
        <f t="shared" si="155"/>
        <v>0</v>
      </c>
    </row>
    <row r="1978" spans="7:11" hidden="1" x14ac:dyDescent="0.25">
      <c r="G1978">
        <f t="shared" si="151"/>
        <v>0</v>
      </c>
      <c r="H1978">
        <f t="shared" si="152"/>
        <v>0</v>
      </c>
      <c r="I1978" s="141">
        <f t="shared" si="153"/>
        <v>0</v>
      </c>
      <c r="J1978">
        <f t="shared" si="154"/>
        <v>0</v>
      </c>
      <c r="K1978" s="141">
        <f t="shared" si="155"/>
        <v>0</v>
      </c>
    </row>
    <row r="1979" spans="7:11" hidden="1" x14ac:dyDescent="0.25">
      <c r="G1979">
        <f t="shared" si="151"/>
        <v>0</v>
      </c>
      <c r="H1979">
        <f t="shared" si="152"/>
        <v>0</v>
      </c>
      <c r="I1979" s="141">
        <f t="shared" si="153"/>
        <v>0</v>
      </c>
      <c r="J1979">
        <f t="shared" si="154"/>
        <v>0</v>
      </c>
      <c r="K1979" s="141">
        <f t="shared" si="155"/>
        <v>0</v>
      </c>
    </row>
    <row r="1980" spans="7:11" hidden="1" x14ac:dyDescent="0.25">
      <c r="G1980">
        <f t="shared" si="151"/>
        <v>0</v>
      </c>
      <c r="H1980">
        <f t="shared" si="152"/>
        <v>0</v>
      </c>
      <c r="I1980" s="141">
        <f t="shared" si="153"/>
        <v>0</v>
      </c>
      <c r="J1980">
        <f t="shared" si="154"/>
        <v>0</v>
      </c>
      <c r="K1980" s="141">
        <f t="shared" si="155"/>
        <v>0</v>
      </c>
    </row>
    <row r="1981" spans="7:11" hidden="1" x14ac:dyDescent="0.25">
      <c r="G1981">
        <f t="shared" si="151"/>
        <v>0</v>
      </c>
      <c r="H1981">
        <f t="shared" si="152"/>
        <v>0</v>
      </c>
      <c r="I1981" s="141">
        <f t="shared" si="153"/>
        <v>0</v>
      </c>
      <c r="J1981">
        <f t="shared" si="154"/>
        <v>0</v>
      </c>
      <c r="K1981" s="141">
        <f t="shared" si="155"/>
        <v>0</v>
      </c>
    </row>
    <row r="1982" spans="7:11" hidden="1" x14ac:dyDescent="0.25">
      <c r="G1982">
        <f t="shared" si="151"/>
        <v>0</v>
      </c>
      <c r="H1982">
        <f t="shared" si="152"/>
        <v>0</v>
      </c>
      <c r="I1982" s="141">
        <f t="shared" si="153"/>
        <v>0</v>
      </c>
      <c r="J1982">
        <f t="shared" si="154"/>
        <v>0</v>
      </c>
      <c r="K1982" s="141">
        <f t="shared" si="155"/>
        <v>0</v>
      </c>
    </row>
    <row r="1983" spans="7:11" hidden="1" x14ac:dyDescent="0.25">
      <c r="G1983">
        <f t="shared" si="151"/>
        <v>0</v>
      </c>
      <c r="H1983">
        <f t="shared" si="152"/>
        <v>0</v>
      </c>
      <c r="I1983" s="141">
        <f t="shared" si="153"/>
        <v>0</v>
      </c>
      <c r="J1983">
        <f t="shared" si="154"/>
        <v>0</v>
      </c>
      <c r="K1983" s="141">
        <f t="shared" si="155"/>
        <v>0</v>
      </c>
    </row>
    <row r="1984" spans="7:11" hidden="1" x14ac:dyDescent="0.25">
      <c r="G1984">
        <f t="shared" si="151"/>
        <v>0</v>
      </c>
      <c r="H1984">
        <f t="shared" si="152"/>
        <v>0</v>
      </c>
      <c r="I1984" s="141">
        <f t="shared" si="153"/>
        <v>0</v>
      </c>
      <c r="J1984">
        <f t="shared" si="154"/>
        <v>0</v>
      </c>
      <c r="K1984" s="141">
        <f t="shared" si="155"/>
        <v>0</v>
      </c>
    </row>
    <row r="1985" spans="7:11" hidden="1" x14ac:dyDescent="0.25">
      <c r="G1985">
        <f t="shared" si="151"/>
        <v>0</v>
      </c>
      <c r="H1985">
        <f t="shared" si="152"/>
        <v>0</v>
      </c>
      <c r="I1985" s="141">
        <f t="shared" si="153"/>
        <v>0</v>
      </c>
      <c r="J1985">
        <f t="shared" si="154"/>
        <v>0</v>
      </c>
      <c r="K1985" s="141">
        <f t="shared" si="155"/>
        <v>0</v>
      </c>
    </row>
    <row r="1986" spans="7:11" hidden="1" x14ac:dyDescent="0.25">
      <c r="G1986">
        <f t="shared" ref="G1986:G2049" si="156">A1986</f>
        <v>0</v>
      </c>
      <c r="H1986">
        <f t="shared" ref="H1986:H2049" si="157">B1986</f>
        <v>0</v>
      </c>
      <c r="I1986" s="141">
        <f t="shared" ref="I1986:I2049" si="158">C1986</f>
        <v>0</v>
      </c>
      <c r="J1986">
        <f t="shared" ref="J1986:J2049" si="159">D1986</f>
        <v>0</v>
      </c>
      <c r="K1986" s="141">
        <f t="shared" ref="K1986:K2049" si="160">E1986</f>
        <v>0</v>
      </c>
    </row>
    <row r="1987" spans="7:11" hidden="1" x14ac:dyDescent="0.25">
      <c r="G1987">
        <f t="shared" si="156"/>
        <v>0</v>
      </c>
      <c r="H1987">
        <f t="shared" si="157"/>
        <v>0</v>
      </c>
      <c r="I1987" s="141">
        <f t="shared" si="158"/>
        <v>0</v>
      </c>
      <c r="J1987">
        <f t="shared" si="159"/>
        <v>0</v>
      </c>
      <c r="K1987" s="141">
        <f t="shared" si="160"/>
        <v>0</v>
      </c>
    </row>
    <row r="1988" spans="7:11" hidden="1" x14ac:dyDescent="0.25">
      <c r="G1988">
        <f t="shared" si="156"/>
        <v>0</v>
      </c>
      <c r="H1988">
        <f t="shared" si="157"/>
        <v>0</v>
      </c>
      <c r="I1988" s="141">
        <f t="shared" si="158"/>
        <v>0</v>
      </c>
      <c r="J1988">
        <f t="shared" si="159"/>
        <v>0</v>
      </c>
      <c r="K1988" s="141">
        <f t="shared" si="160"/>
        <v>0</v>
      </c>
    </row>
    <row r="1989" spans="7:11" hidden="1" x14ac:dyDescent="0.25">
      <c r="G1989">
        <f t="shared" si="156"/>
        <v>0</v>
      </c>
      <c r="H1989">
        <f t="shared" si="157"/>
        <v>0</v>
      </c>
      <c r="I1989" s="141">
        <f t="shared" si="158"/>
        <v>0</v>
      </c>
      <c r="J1989">
        <f t="shared" si="159"/>
        <v>0</v>
      </c>
      <c r="K1989" s="141">
        <f t="shared" si="160"/>
        <v>0</v>
      </c>
    </row>
    <row r="1990" spans="7:11" hidden="1" x14ac:dyDescent="0.25">
      <c r="G1990">
        <f t="shared" si="156"/>
        <v>0</v>
      </c>
      <c r="H1990">
        <f t="shared" si="157"/>
        <v>0</v>
      </c>
      <c r="I1990" s="141">
        <f t="shared" si="158"/>
        <v>0</v>
      </c>
      <c r="J1990">
        <f t="shared" si="159"/>
        <v>0</v>
      </c>
      <c r="K1990" s="141">
        <f t="shared" si="160"/>
        <v>0</v>
      </c>
    </row>
    <row r="1991" spans="7:11" hidden="1" x14ac:dyDescent="0.25">
      <c r="G1991">
        <f t="shared" si="156"/>
        <v>0</v>
      </c>
      <c r="H1991">
        <f t="shared" si="157"/>
        <v>0</v>
      </c>
      <c r="I1991" s="141">
        <f t="shared" si="158"/>
        <v>0</v>
      </c>
      <c r="J1991">
        <f t="shared" si="159"/>
        <v>0</v>
      </c>
      <c r="K1991" s="141">
        <f t="shared" si="160"/>
        <v>0</v>
      </c>
    </row>
    <row r="1992" spans="7:11" hidden="1" x14ac:dyDescent="0.25">
      <c r="G1992">
        <f t="shared" si="156"/>
        <v>0</v>
      </c>
      <c r="H1992">
        <f t="shared" si="157"/>
        <v>0</v>
      </c>
      <c r="I1992" s="141">
        <f t="shared" si="158"/>
        <v>0</v>
      </c>
      <c r="J1992">
        <f t="shared" si="159"/>
        <v>0</v>
      </c>
      <c r="K1992" s="141">
        <f t="shared" si="160"/>
        <v>0</v>
      </c>
    </row>
    <row r="1993" spans="7:11" hidden="1" x14ac:dyDescent="0.25">
      <c r="G1993">
        <f t="shared" si="156"/>
        <v>0</v>
      </c>
      <c r="H1993">
        <f t="shared" si="157"/>
        <v>0</v>
      </c>
      <c r="I1993" s="141">
        <f t="shared" si="158"/>
        <v>0</v>
      </c>
      <c r="J1993">
        <f t="shared" si="159"/>
        <v>0</v>
      </c>
      <c r="K1993" s="141">
        <f t="shared" si="160"/>
        <v>0</v>
      </c>
    </row>
    <row r="1994" spans="7:11" hidden="1" x14ac:dyDescent="0.25">
      <c r="G1994">
        <f t="shared" si="156"/>
        <v>0</v>
      </c>
      <c r="H1994">
        <f t="shared" si="157"/>
        <v>0</v>
      </c>
      <c r="I1994" s="141">
        <f t="shared" si="158"/>
        <v>0</v>
      </c>
      <c r="J1994">
        <f t="shared" si="159"/>
        <v>0</v>
      </c>
      <c r="K1994" s="141">
        <f t="shared" si="160"/>
        <v>0</v>
      </c>
    </row>
    <row r="1995" spans="7:11" hidden="1" x14ac:dyDescent="0.25">
      <c r="G1995">
        <f t="shared" si="156"/>
        <v>0</v>
      </c>
      <c r="H1995">
        <f t="shared" si="157"/>
        <v>0</v>
      </c>
      <c r="I1995" s="141">
        <f t="shared" si="158"/>
        <v>0</v>
      </c>
      <c r="J1995">
        <f t="shared" si="159"/>
        <v>0</v>
      </c>
      <c r="K1995" s="141">
        <f t="shared" si="160"/>
        <v>0</v>
      </c>
    </row>
    <row r="1996" spans="7:11" hidden="1" x14ac:dyDescent="0.25">
      <c r="G1996">
        <f t="shared" si="156"/>
        <v>0</v>
      </c>
      <c r="H1996">
        <f t="shared" si="157"/>
        <v>0</v>
      </c>
      <c r="I1996" s="141">
        <f t="shared" si="158"/>
        <v>0</v>
      </c>
      <c r="J1996">
        <f t="shared" si="159"/>
        <v>0</v>
      </c>
      <c r="K1996" s="141">
        <f t="shared" si="160"/>
        <v>0</v>
      </c>
    </row>
    <row r="1997" spans="7:11" hidden="1" x14ac:dyDescent="0.25">
      <c r="G1997">
        <f t="shared" si="156"/>
        <v>0</v>
      </c>
      <c r="H1997">
        <f t="shared" si="157"/>
        <v>0</v>
      </c>
      <c r="I1997" s="141">
        <f t="shared" si="158"/>
        <v>0</v>
      </c>
      <c r="J1997">
        <f t="shared" si="159"/>
        <v>0</v>
      </c>
      <c r="K1997" s="141">
        <f t="shared" si="160"/>
        <v>0</v>
      </c>
    </row>
    <row r="1998" spans="7:11" hidden="1" x14ac:dyDescent="0.25">
      <c r="G1998">
        <f t="shared" si="156"/>
        <v>0</v>
      </c>
      <c r="H1998">
        <f t="shared" si="157"/>
        <v>0</v>
      </c>
      <c r="I1998" s="141">
        <f t="shared" si="158"/>
        <v>0</v>
      </c>
      <c r="J1998">
        <f t="shared" si="159"/>
        <v>0</v>
      </c>
      <c r="K1998" s="141">
        <f t="shared" si="160"/>
        <v>0</v>
      </c>
    </row>
    <row r="1999" spans="7:11" hidden="1" x14ac:dyDescent="0.25">
      <c r="G1999">
        <f t="shared" si="156"/>
        <v>0</v>
      </c>
      <c r="H1999">
        <f t="shared" si="157"/>
        <v>0</v>
      </c>
      <c r="I1999" s="141">
        <f t="shared" si="158"/>
        <v>0</v>
      </c>
      <c r="J1999">
        <f t="shared" si="159"/>
        <v>0</v>
      </c>
      <c r="K1999" s="141">
        <f t="shared" si="160"/>
        <v>0</v>
      </c>
    </row>
    <row r="2000" spans="7:11" hidden="1" x14ac:dyDescent="0.25">
      <c r="G2000">
        <f t="shared" si="156"/>
        <v>0</v>
      </c>
      <c r="H2000">
        <f t="shared" si="157"/>
        <v>0</v>
      </c>
      <c r="I2000" s="141">
        <f t="shared" si="158"/>
        <v>0</v>
      </c>
      <c r="J2000">
        <f t="shared" si="159"/>
        <v>0</v>
      </c>
      <c r="K2000" s="141">
        <f t="shared" si="160"/>
        <v>0</v>
      </c>
    </row>
    <row r="2001" spans="7:11" hidden="1" x14ac:dyDescent="0.25">
      <c r="G2001">
        <f t="shared" si="156"/>
        <v>0</v>
      </c>
      <c r="H2001">
        <f t="shared" si="157"/>
        <v>0</v>
      </c>
      <c r="I2001" s="141">
        <f t="shared" si="158"/>
        <v>0</v>
      </c>
      <c r="J2001">
        <f t="shared" si="159"/>
        <v>0</v>
      </c>
      <c r="K2001" s="141">
        <f t="shared" si="160"/>
        <v>0</v>
      </c>
    </row>
    <row r="2002" spans="7:11" hidden="1" x14ac:dyDescent="0.25">
      <c r="G2002">
        <f t="shared" si="156"/>
        <v>0</v>
      </c>
      <c r="H2002">
        <f t="shared" si="157"/>
        <v>0</v>
      </c>
      <c r="I2002" s="141">
        <f t="shared" si="158"/>
        <v>0</v>
      </c>
      <c r="J2002">
        <f t="shared" si="159"/>
        <v>0</v>
      </c>
      <c r="K2002" s="141">
        <f t="shared" si="160"/>
        <v>0</v>
      </c>
    </row>
    <row r="2003" spans="7:11" hidden="1" x14ac:dyDescent="0.25">
      <c r="G2003">
        <f t="shared" si="156"/>
        <v>0</v>
      </c>
      <c r="H2003">
        <f t="shared" si="157"/>
        <v>0</v>
      </c>
      <c r="I2003" s="141">
        <f t="shared" si="158"/>
        <v>0</v>
      </c>
      <c r="J2003">
        <f t="shared" si="159"/>
        <v>0</v>
      </c>
      <c r="K2003" s="141">
        <f t="shared" si="160"/>
        <v>0</v>
      </c>
    </row>
    <row r="2004" spans="7:11" hidden="1" x14ac:dyDescent="0.25">
      <c r="G2004">
        <f t="shared" si="156"/>
        <v>0</v>
      </c>
      <c r="H2004">
        <f t="shared" si="157"/>
        <v>0</v>
      </c>
      <c r="I2004" s="141">
        <f t="shared" si="158"/>
        <v>0</v>
      </c>
      <c r="J2004">
        <f t="shared" si="159"/>
        <v>0</v>
      </c>
      <c r="K2004" s="141">
        <f t="shared" si="160"/>
        <v>0</v>
      </c>
    </row>
    <row r="2005" spans="7:11" hidden="1" x14ac:dyDescent="0.25">
      <c r="G2005">
        <f t="shared" si="156"/>
        <v>0</v>
      </c>
      <c r="H2005">
        <f t="shared" si="157"/>
        <v>0</v>
      </c>
      <c r="I2005" s="141">
        <f t="shared" si="158"/>
        <v>0</v>
      </c>
      <c r="J2005">
        <f t="shared" si="159"/>
        <v>0</v>
      </c>
      <c r="K2005" s="141">
        <f t="shared" si="160"/>
        <v>0</v>
      </c>
    </row>
    <row r="2006" spans="7:11" hidden="1" x14ac:dyDescent="0.25">
      <c r="G2006">
        <f t="shared" si="156"/>
        <v>0</v>
      </c>
      <c r="H2006">
        <f t="shared" si="157"/>
        <v>0</v>
      </c>
      <c r="I2006" s="141">
        <f t="shared" si="158"/>
        <v>0</v>
      </c>
      <c r="J2006">
        <f t="shared" si="159"/>
        <v>0</v>
      </c>
      <c r="K2006" s="141">
        <f t="shared" si="160"/>
        <v>0</v>
      </c>
    </row>
    <row r="2007" spans="7:11" hidden="1" x14ac:dyDescent="0.25">
      <c r="G2007">
        <f t="shared" si="156"/>
        <v>0</v>
      </c>
      <c r="H2007">
        <f t="shared" si="157"/>
        <v>0</v>
      </c>
      <c r="I2007" s="141">
        <f t="shared" si="158"/>
        <v>0</v>
      </c>
      <c r="J2007">
        <f t="shared" si="159"/>
        <v>0</v>
      </c>
      <c r="K2007" s="141">
        <f t="shared" si="160"/>
        <v>0</v>
      </c>
    </row>
    <row r="2008" spans="7:11" hidden="1" x14ac:dyDescent="0.25">
      <c r="G2008">
        <f t="shared" si="156"/>
        <v>0</v>
      </c>
      <c r="H2008">
        <f t="shared" si="157"/>
        <v>0</v>
      </c>
      <c r="I2008" s="141">
        <f t="shared" si="158"/>
        <v>0</v>
      </c>
      <c r="J2008">
        <f t="shared" si="159"/>
        <v>0</v>
      </c>
      <c r="K2008" s="141">
        <f t="shared" si="160"/>
        <v>0</v>
      </c>
    </row>
    <row r="2009" spans="7:11" hidden="1" x14ac:dyDescent="0.25">
      <c r="G2009">
        <f t="shared" si="156"/>
        <v>0</v>
      </c>
      <c r="H2009">
        <f t="shared" si="157"/>
        <v>0</v>
      </c>
      <c r="I2009" s="141">
        <f t="shared" si="158"/>
        <v>0</v>
      </c>
      <c r="J2009">
        <f t="shared" si="159"/>
        <v>0</v>
      </c>
      <c r="K2009" s="141">
        <f t="shared" si="160"/>
        <v>0</v>
      </c>
    </row>
    <row r="2010" spans="7:11" hidden="1" x14ac:dyDescent="0.25">
      <c r="G2010">
        <f t="shared" si="156"/>
        <v>0</v>
      </c>
      <c r="H2010">
        <f t="shared" si="157"/>
        <v>0</v>
      </c>
      <c r="I2010" s="141">
        <f t="shared" si="158"/>
        <v>0</v>
      </c>
      <c r="J2010">
        <f t="shared" si="159"/>
        <v>0</v>
      </c>
      <c r="K2010" s="141">
        <f t="shared" si="160"/>
        <v>0</v>
      </c>
    </row>
    <row r="2011" spans="7:11" hidden="1" x14ac:dyDescent="0.25">
      <c r="G2011">
        <f t="shared" si="156"/>
        <v>0</v>
      </c>
      <c r="H2011">
        <f t="shared" si="157"/>
        <v>0</v>
      </c>
      <c r="I2011" s="141">
        <f t="shared" si="158"/>
        <v>0</v>
      </c>
      <c r="J2011">
        <f t="shared" si="159"/>
        <v>0</v>
      </c>
      <c r="K2011" s="141">
        <f t="shared" si="160"/>
        <v>0</v>
      </c>
    </row>
    <row r="2012" spans="7:11" hidden="1" x14ac:dyDescent="0.25">
      <c r="G2012">
        <f t="shared" si="156"/>
        <v>0</v>
      </c>
      <c r="H2012">
        <f t="shared" si="157"/>
        <v>0</v>
      </c>
      <c r="I2012" s="141">
        <f t="shared" si="158"/>
        <v>0</v>
      </c>
      <c r="J2012">
        <f t="shared" si="159"/>
        <v>0</v>
      </c>
      <c r="K2012" s="141">
        <f t="shared" si="160"/>
        <v>0</v>
      </c>
    </row>
    <row r="2013" spans="7:11" hidden="1" x14ac:dyDescent="0.25">
      <c r="G2013">
        <f t="shared" si="156"/>
        <v>0</v>
      </c>
      <c r="H2013">
        <f t="shared" si="157"/>
        <v>0</v>
      </c>
      <c r="I2013" s="141">
        <f t="shared" si="158"/>
        <v>0</v>
      </c>
      <c r="J2013">
        <f t="shared" si="159"/>
        <v>0</v>
      </c>
      <c r="K2013" s="141">
        <f t="shared" si="160"/>
        <v>0</v>
      </c>
    </row>
    <row r="2014" spans="7:11" hidden="1" x14ac:dyDescent="0.25">
      <c r="G2014">
        <f t="shared" si="156"/>
        <v>0</v>
      </c>
      <c r="H2014">
        <f t="shared" si="157"/>
        <v>0</v>
      </c>
      <c r="I2014" s="141">
        <f t="shared" si="158"/>
        <v>0</v>
      </c>
      <c r="J2014">
        <f t="shared" si="159"/>
        <v>0</v>
      </c>
      <c r="K2014" s="141">
        <f t="shared" si="160"/>
        <v>0</v>
      </c>
    </row>
    <row r="2015" spans="7:11" hidden="1" x14ac:dyDescent="0.25">
      <c r="G2015">
        <f t="shared" si="156"/>
        <v>0</v>
      </c>
      <c r="H2015">
        <f t="shared" si="157"/>
        <v>0</v>
      </c>
      <c r="I2015" s="141">
        <f t="shared" si="158"/>
        <v>0</v>
      </c>
      <c r="J2015">
        <f t="shared" si="159"/>
        <v>0</v>
      </c>
      <c r="K2015" s="141">
        <f t="shared" si="160"/>
        <v>0</v>
      </c>
    </row>
    <row r="2016" spans="7:11" hidden="1" x14ac:dyDescent="0.25">
      <c r="G2016">
        <f t="shared" si="156"/>
        <v>0</v>
      </c>
      <c r="H2016">
        <f t="shared" si="157"/>
        <v>0</v>
      </c>
      <c r="I2016" s="141">
        <f t="shared" si="158"/>
        <v>0</v>
      </c>
      <c r="J2016">
        <f t="shared" si="159"/>
        <v>0</v>
      </c>
      <c r="K2016" s="141">
        <f t="shared" si="160"/>
        <v>0</v>
      </c>
    </row>
    <row r="2017" spans="7:11" hidden="1" x14ac:dyDescent="0.25">
      <c r="G2017">
        <f t="shared" si="156"/>
        <v>0</v>
      </c>
      <c r="H2017">
        <f t="shared" si="157"/>
        <v>0</v>
      </c>
      <c r="I2017" s="141">
        <f t="shared" si="158"/>
        <v>0</v>
      </c>
      <c r="J2017">
        <f t="shared" si="159"/>
        <v>0</v>
      </c>
      <c r="K2017" s="141">
        <f t="shared" si="160"/>
        <v>0</v>
      </c>
    </row>
    <row r="2018" spans="7:11" hidden="1" x14ac:dyDescent="0.25">
      <c r="G2018">
        <f t="shared" si="156"/>
        <v>0</v>
      </c>
      <c r="H2018">
        <f t="shared" si="157"/>
        <v>0</v>
      </c>
      <c r="I2018" s="141">
        <f t="shared" si="158"/>
        <v>0</v>
      </c>
      <c r="J2018">
        <f t="shared" si="159"/>
        <v>0</v>
      </c>
      <c r="K2018" s="141">
        <f t="shared" si="160"/>
        <v>0</v>
      </c>
    </row>
    <row r="2019" spans="7:11" hidden="1" x14ac:dyDescent="0.25">
      <c r="G2019">
        <f t="shared" si="156"/>
        <v>0</v>
      </c>
      <c r="H2019">
        <f t="shared" si="157"/>
        <v>0</v>
      </c>
      <c r="I2019" s="141">
        <f t="shared" si="158"/>
        <v>0</v>
      </c>
      <c r="J2019">
        <f t="shared" si="159"/>
        <v>0</v>
      </c>
      <c r="K2019" s="141">
        <f t="shared" si="160"/>
        <v>0</v>
      </c>
    </row>
    <row r="2020" spans="7:11" hidden="1" x14ac:dyDescent="0.25">
      <c r="G2020">
        <f t="shared" si="156"/>
        <v>0</v>
      </c>
      <c r="H2020">
        <f t="shared" si="157"/>
        <v>0</v>
      </c>
      <c r="I2020" s="141">
        <f t="shared" si="158"/>
        <v>0</v>
      </c>
      <c r="J2020">
        <f t="shared" si="159"/>
        <v>0</v>
      </c>
      <c r="K2020" s="141">
        <f t="shared" si="160"/>
        <v>0</v>
      </c>
    </row>
    <row r="2021" spans="7:11" hidden="1" x14ac:dyDescent="0.25">
      <c r="G2021">
        <f t="shared" si="156"/>
        <v>0</v>
      </c>
      <c r="H2021">
        <f t="shared" si="157"/>
        <v>0</v>
      </c>
      <c r="I2021" s="141">
        <f t="shared" si="158"/>
        <v>0</v>
      </c>
      <c r="J2021">
        <f t="shared" si="159"/>
        <v>0</v>
      </c>
      <c r="K2021" s="141">
        <f t="shared" si="160"/>
        <v>0</v>
      </c>
    </row>
    <row r="2022" spans="7:11" hidden="1" x14ac:dyDescent="0.25">
      <c r="G2022">
        <f t="shared" si="156"/>
        <v>0</v>
      </c>
      <c r="H2022">
        <f t="shared" si="157"/>
        <v>0</v>
      </c>
      <c r="I2022" s="141">
        <f t="shared" si="158"/>
        <v>0</v>
      </c>
      <c r="J2022">
        <f t="shared" si="159"/>
        <v>0</v>
      </c>
      <c r="K2022" s="141">
        <f t="shared" si="160"/>
        <v>0</v>
      </c>
    </row>
    <row r="2023" spans="7:11" hidden="1" x14ac:dyDescent="0.25">
      <c r="G2023">
        <f t="shared" si="156"/>
        <v>0</v>
      </c>
      <c r="H2023">
        <f t="shared" si="157"/>
        <v>0</v>
      </c>
      <c r="I2023" s="141">
        <f t="shared" si="158"/>
        <v>0</v>
      </c>
      <c r="J2023">
        <f t="shared" si="159"/>
        <v>0</v>
      </c>
      <c r="K2023" s="141">
        <f t="shared" si="160"/>
        <v>0</v>
      </c>
    </row>
    <row r="2024" spans="7:11" hidden="1" x14ac:dyDescent="0.25">
      <c r="G2024">
        <f t="shared" si="156"/>
        <v>0</v>
      </c>
      <c r="H2024">
        <f t="shared" si="157"/>
        <v>0</v>
      </c>
      <c r="I2024" s="141">
        <f t="shared" si="158"/>
        <v>0</v>
      </c>
      <c r="J2024">
        <f t="shared" si="159"/>
        <v>0</v>
      </c>
      <c r="K2024" s="141">
        <f t="shared" si="160"/>
        <v>0</v>
      </c>
    </row>
    <row r="2025" spans="7:11" hidden="1" x14ac:dyDescent="0.25">
      <c r="G2025">
        <f t="shared" si="156"/>
        <v>0</v>
      </c>
      <c r="H2025">
        <f t="shared" si="157"/>
        <v>0</v>
      </c>
      <c r="I2025" s="141">
        <f t="shared" si="158"/>
        <v>0</v>
      </c>
      <c r="J2025">
        <f t="shared" si="159"/>
        <v>0</v>
      </c>
      <c r="K2025" s="141">
        <f t="shared" si="160"/>
        <v>0</v>
      </c>
    </row>
    <row r="2026" spans="7:11" hidden="1" x14ac:dyDescent="0.25">
      <c r="G2026">
        <f t="shared" si="156"/>
        <v>0</v>
      </c>
      <c r="H2026">
        <f t="shared" si="157"/>
        <v>0</v>
      </c>
      <c r="I2026" s="141">
        <f t="shared" si="158"/>
        <v>0</v>
      </c>
      <c r="J2026">
        <f t="shared" si="159"/>
        <v>0</v>
      </c>
      <c r="K2026" s="141">
        <f t="shared" si="160"/>
        <v>0</v>
      </c>
    </row>
    <row r="2027" spans="7:11" hidden="1" x14ac:dyDescent="0.25">
      <c r="G2027">
        <f t="shared" si="156"/>
        <v>0</v>
      </c>
      <c r="H2027">
        <f t="shared" si="157"/>
        <v>0</v>
      </c>
      <c r="I2027" s="141">
        <f t="shared" si="158"/>
        <v>0</v>
      </c>
      <c r="J2027">
        <f t="shared" si="159"/>
        <v>0</v>
      </c>
      <c r="K2027" s="141">
        <f t="shared" si="160"/>
        <v>0</v>
      </c>
    </row>
    <row r="2028" spans="7:11" hidden="1" x14ac:dyDescent="0.25">
      <c r="G2028">
        <f t="shared" si="156"/>
        <v>0</v>
      </c>
      <c r="H2028">
        <f t="shared" si="157"/>
        <v>0</v>
      </c>
      <c r="I2028" s="141">
        <f t="shared" si="158"/>
        <v>0</v>
      </c>
      <c r="J2028">
        <f t="shared" si="159"/>
        <v>0</v>
      </c>
      <c r="K2028" s="141">
        <f t="shared" si="160"/>
        <v>0</v>
      </c>
    </row>
    <row r="2029" spans="7:11" hidden="1" x14ac:dyDescent="0.25">
      <c r="G2029">
        <f t="shared" si="156"/>
        <v>0</v>
      </c>
      <c r="H2029">
        <f t="shared" si="157"/>
        <v>0</v>
      </c>
      <c r="I2029" s="141">
        <f t="shared" si="158"/>
        <v>0</v>
      </c>
      <c r="J2029">
        <f t="shared" si="159"/>
        <v>0</v>
      </c>
      <c r="K2029" s="141">
        <f t="shared" si="160"/>
        <v>0</v>
      </c>
    </row>
    <row r="2030" spans="7:11" hidden="1" x14ac:dyDescent="0.25">
      <c r="G2030">
        <f t="shared" si="156"/>
        <v>0</v>
      </c>
      <c r="H2030">
        <f t="shared" si="157"/>
        <v>0</v>
      </c>
      <c r="I2030" s="141">
        <f t="shared" si="158"/>
        <v>0</v>
      </c>
      <c r="J2030">
        <f t="shared" si="159"/>
        <v>0</v>
      </c>
      <c r="K2030" s="141">
        <f t="shared" si="160"/>
        <v>0</v>
      </c>
    </row>
    <row r="2031" spans="7:11" hidden="1" x14ac:dyDescent="0.25">
      <c r="G2031">
        <f t="shared" si="156"/>
        <v>0</v>
      </c>
      <c r="H2031">
        <f t="shared" si="157"/>
        <v>0</v>
      </c>
      <c r="I2031" s="141">
        <f t="shared" si="158"/>
        <v>0</v>
      </c>
      <c r="J2031">
        <f t="shared" si="159"/>
        <v>0</v>
      </c>
      <c r="K2031" s="141">
        <f t="shared" si="160"/>
        <v>0</v>
      </c>
    </row>
    <row r="2032" spans="7:11" hidden="1" x14ac:dyDescent="0.25">
      <c r="G2032">
        <f t="shared" si="156"/>
        <v>0</v>
      </c>
      <c r="H2032">
        <f t="shared" si="157"/>
        <v>0</v>
      </c>
      <c r="I2032" s="141">
        <f t="shared" si="158"/>
        <v>0</v>
      </c>
      <c r="J2032">
        <f t="shared" si="159"/>
        <v>0</v>
      </c>
      <c r="K2032" s="141">
        <f t="shared" si="160"/>
        <v>0</v>
      </c>
    </row>
    <row r="2033" spans="7:11" hidden="1" x14ac:dyDescent="0.25">
      <c r="G2033">
        <f t="shared" si="156"/>
        <v>0</v>
      </c>
      <c r="H2033">
        <f t="shared" si="157"/>
        <v>0</v>
      </c>
      <c r="I2033" s="141">
        <f t="shared" si="158"/>
        <v>0</v>
      </c>
      <c r="J2033">
        <f t="shared" si="159"/>
        <v>0</v>
      </c>
      <c r="K2033" s="141">
        <f t="shared" si="160"/>
        <v>0</v>
      </c>
    </row>
    <row r="2034" spans="7:11" hidden="1" x14ac:dyDescent="0.25">
      <c r="G2034">
        <f t="shared" si="156"/>
        <v>0</v>
      </c>
      <c r="H2034">
        <f t="shared" si="157"/>
        <v>0</v>
      </c>
      <c r="I2034" s="141">
        <f t="shared" si="158"/>
        <v>0</v>
      </c>
      <c r="J2034">
        <f t="shared" si="159"/>
        <v>0</v>
      </c>
      <c r="K2034" s="141">
        <f t="shared" si="160"/>
        <v>0</v>
      </c>
    </row>
    <row r="2035" spans="7:11" hidden="1" x14ac:dyDescent="0.25">
      <c r="G2035">
        <f t="shared" si="156"/>
        <v>0</v>
      </c>
      <c r="H2035">
        <f t="shared" si="157"/>
        <v>0</v>
      </c>
      <c r="I2035" s="141">
        <f t="shared" si="158"/>
        <v>0</v>
      </c>
      <c r="J2035">
        <f t="shared" si="159"/>
        <v>0</v>
      </c>
      <c r="K2035" s="141">
        <f t="shared" si="160"/>
        <v>0</v>
      </c>
    </row>
    <row r="2036" spans="7:11" hidden="1" x14ac:dyDescent="0.25">
      <c r="G2036">
        <f t="shared" si="156"/>
        <v>0</v>
      </c>
      <c r="H2036">
        <f t="shared" si="157"/>
        <v>0</v>
      </c>
      <c r="I2036" s="141">
        <f t="shared" si="158"/>
        <v>0</v>
      </c>
      <c r="J2036">
        <f t="shared" si="159"/>
        <v>0</v>
      </c>
      <c r="K2036" s="141">
        <f t="shared" si="160"/>
        <v>0</v>
      </c>
    </row>
    <row r="2037" spans="7:11" hidden="1" x14ac:dyDescent="0.25">
      <c r="G2037">
        <f t="shared" si="156"/>
        <v>0</v>
      </c>
      <c r="H2037">
        <f t="shared" si="157"/>
        <v>0</v>
      </c>
      <c r="I2037" s="141">
        <f t="shared" si="158"/>
        <v>0</v>
      </c>
      <c r="J2037">
        <f t="shared" si="159"/>
        <v>0</v>
      </c>
      <c r="K2037" s="141">
        <f t="shared" si="160"/>
        <v>0</v>
      </c>
    </row>
    <row r="2038" spans="7:11" hidden="1" x14ac:dyDescent="0.25">
      <c r="G2038">
        <f t="shared" si="156"/>
        <v>0</v>
      </c>
      <c r="H2038">
        <f t="shared" si="157"/>
        <v>0</v>
      </c>
      <c r="I2038" s="141">
        <f t="shared" si="158"/>
        <v>0</v>
      </c>
      <c r="J2038">
        <f t="shared" si="159"/>
        <v>0</v>
      </c>
      <c r="K2038" s="141">
        <f t="shared" si="160"/>
        <v>0</v>
      </c>
    </row>
    <row r="2039" spans="7:11" hidden="1" x14ac:dyDescent="0.25">
      <c r="G2039">
        <f t="shared" si="156"/>
        <v>0</v>
      </c>
      <c r="H2039">
        <f t="shared" si="157"/>
        <v>0</v>
      </c>
      <c r="I2039" s="141">
        <f t="shared" si="158"/>
        <v>0</v>
      </c>
      <c r="J2039">
        <f t="shared" si="159"/>
        <v>0</v>
      </c>
      <c r="K2039" s="141">
        <f t="shared" si="160"/>
        <v>0</v>
      </c>
    </row>
    <row r="2040" spans="7:11" hidden="1" x14ac:dyDescent="0.25">
      <c r="G2040">
        <f t="shared" si="156"/>
        <v>0</v>
      </c>
      <c r="H2040">
        <f t="shared" si="157"/>
        <v>0</v>
      </c>
      <c r="I2040" s="141">
        <f t="shared" si="158"/>
        <v>0</v>
      </c>
      <c r="J2040">
        <f t="shared" si="159"/>
        <v>0</v>
      </c>
      <c r="K2040" s="141">
        <f t="shared" si="160"/>
        <v>0</v>
      </c>
    </row>
    <row r="2041" spans="7:11" hidden="1" x14ac:dyDescent="0.25">
      <c r="G2041">
        <f t="shared" si="156"/>
        <v>0</v>
      </c>
      <c r="H2041">
        <f t="shared" si="157"/>
        <v>0</v>
      </c>
      <c r="I2041" s="141">
        <f t="shared" si="158"/>
        <v>0</v>
      </c>
      <c r="J2041">
        <f t="shared" si="159"/>
        <v>0</v>
      </c>
      <c r="K2041" s="141">
        <f t="shared" si="160"/>
        <v>0</v>
      </c>
    </row>
    <row r="2042" spans="7:11" hidden="1" x14ac:dyDescent="0.25">
      <c r="G2042">
        <f t="shared" si="156"/>
        <v>0</v>
      </c>
      <c r="H2042">
        <f t="shared" si="157"/>
        <v>0</v>
      </c>
      <c r="I2042" s="141">
        <f t="shared" si="158"/>
        <v>0</v>
      </c>
      <c r="J2042">
        <f t="shared" si="159"/>
        <v>0</v>
      </c>
      <c r="K2042" s="141">
        <f t="shared" si="160"/>
        <v>0</v>
      </c>
    </row>
    <row r="2043" spans="7:11" hidden="1" x14ac:dyDescent="0.25">
      <c r="G2043">
        <f t="shared" si="156"/>
        <v>0</v>
      </c>
      <c r="H2043">
        <f t="shared" si="157"/>
        <v>0</v>
      </c>
      <c r="I2043" s="141">
        <f t="shared" si="158"/>
        <v>0</v>
      </c>
      <c r="J2043">
        <f t="shared" si="159"/>
        <v>0</v>
      </c>
      <c r="K2043" s="141">
        <f t="shared" si="160"/>
        <v>0</v>
      </c>
    </row>
    <row r="2044" spans="7:11" hidden="1" x14ac:dyDescent="0.25">
      <c r="G2044">
        <f t="shared" si="156"/>
        <v>0</v>
      </c>
      <c r="H2044">
        <f t="shared" si="157"/>
        <v>0</v>
      </c>
      <c r="I2044" s="141">
        <f t="shared" si="158"/>
        <v>0</v>
      </c>
      <c r="J2044">
        <f t="shared" si="159"/>
        <v>0</v>
      </c>
      <c r="K2044" s="141">
        <f t="shared" si="160"/>
        <v>0</v>
      </c>
    </row>
    <row r="2045" spans="7:11" hidden="1" x14ac:dyDescent="0.25">
      <c r="G2045">
        <f t="shared" si="156"/>
        <v>0</v>
      </c>
      <c r="H2045">
        <f t="shared" si="157"/>
        <v>0</v>
      </c>
      <c r="I2045" s="141">
        <f t="shared" si="158"/>
        <v>0</v>
      </c>
      <c r="J2045">
        <f t="shared" si="159"/>
        <v>0</v>
      </c>
      <c r="K2045" s="141">
        <f t="shared" si="160"/>
        <v>0</v>
      </c>
    </row>
    <row r="2046" spans="7:11" hidden="1" x14ac:dyDescent="0.25">
      <c r="G2046">
        <f t="shared" si="156"/>
        <v>0</v>
      </c>
      <c r="H2046">
        <f t="shared" si="157"/>
        <v>0</v>
      </c>
      <c r="I2046" s="141">
        <f t="shared" si="158"/>
        <v>0</v>
      </c>
      <c r="J2046">
        <f t="shared" si="159"/>
        <v>0</v>
      </c>
      <c r="K2046" s="141">
        <f t="shared" si="160"/>
        <v>0</v>
      </c>
    </row>
    <row r="2047" spans="7:11" hidden="1" x14ac:dyDescent="0.25">
      <c r="G2047">
        <f t="shared" si="156"/>
        <v>0</v>
      </c>
      <c r="H2047">
        <f t="shared" si="157"/>
        <v>0</v>
      </c>
      <c r="I2047" s="141">
        <f t="shared" si="158"/>
        <v>0</v>
      </c>
      <c r="J2047">
        <f t="shared" si="159"/>
        <v>0</v>
      </c>
      <c r="K2047" s="141">
        <f t="shared" si="160"/>
        <v>0</v>
      </c>
    </row>
    <row r="2048" spans="7:11" hidden="1" x14ac:dyDescent="0.25">
      <c r="G2048">
        <f t="shared" si="156"/>
        <v>0</v>
      </c>
      <c r="H2048">
        <f t="shared" si="157"/>
        <v>0</v>
      </c>
      <c r="I2048" s="141">
        <f t="shared" si="158"/>
        <v>0</v>
      </c>
      <c r="J2048">
        <f t="shared" si="159"/>
        <v>0</v>
      </c>
      <c r="K2048" s="141">
        <f t="shared" si="160"/>
        <v>0</v>
      </c>
    </row>
    <row r="2049" spans="7:11" hidden="1" x14ac:dyDescent="0.25">
      <c r="G2049">
        <f t="shared" si="156"/>
        <v>0</v>
      </c>
      <c r="H2049">
        <f t="shared" si="157"/>
        <v>0</v>
      </c>
      <c r="I2049" s="141">
        <f t="shared" si="158"/>
        <v>0</v>
      </c>
      <c r="J2049">
        <f t="shared" si="159"/>
        <v>0</v>
      </c>
      <c r="K2049" s="141">
        <f t="shared" si="160"/>
        <v>0</v>
      </c>
    </row>
    <row r="2050" spans="7:11" hidden="1" x14ac:dyDescent="0.25">
      <c r="G2050">
        <f t="shared" ref="G2050:G2113" si="161">A2050</f>
        <v>0</v>
      </c>
      <c r="H2050">
        <f t="shared" ref="H2050:H2113" si="162">B2050</f>
        <v>0</v>
      </c>
      <c r="I2050" s="141">
        <f t="shared" ref="I2050:I2113" si="163">C2050</f>
        <v>0</v>
      </c>
      <c r="J2050">
        <f t="shared" ref="J2050:J2113" si="164">D2050</f>
        <v>0</v>
      </c>
      <c r="K2050" s="141">
        <f t="shared" ref="K2050:K2113" si="165">E2050</f>
        <v>0</v>
      </c>
    </row>
    <row r="2051" spans="7:11" hidden="1" x14ac:dyDescent="0.25">
      <c r="G2051">
        <f t="shared" si="161"/>
        <v>0</v>
      </c>
      <c r="H2051">
        <f t="shared" si="162"/>
        <v>0</v>
      </c>
      <c r="I2051" s="141">
        <f t="shared" si="163"/>
        <v>0</v>
      </c>
      <c r="J2051">
        <f t="shared" si="164"/>
        <v>0</v>
      </c>
      <c r="K2051" s="141">
        <f t="shared" si="165"/>
        <v>0</v>
      </c>
    </row>
    <row r="2052" spans="7:11" hidden="1" x14ac:dyDescent="0.25">
      <c r="G2052">
        <f t="shared" si="161"/>
        <v>0</v>
      </c>
      <c r="H2052">
        <f t="shared" si="162"/>
        <v>0</v>
      </c>
      <c r="I2052" s="141">
        <f t="shared" si="163"/>
        <v>0</v>
      </c>
      <c r="J2052">
        <f t="shared" si="164"/>
        <v>0</v>
      </c>
      <c r="K2052" s="141">
        <f t="shared" si="165"/>
        <v>0</v>
      </c>
    </row>
    <row r="2053" spans="7:11" hidden="1" x14ac:dyDescent="0.25">
      <c r="G2053">
        <f t="shared" si="161"/>
        <v>0</v>
      </c>
      <c r="H2053">
        <f t="shared" si="162"/>
        <v>0</v>
      </c>
      <c r="I2053" s="141">
        <f t="shared" si="163"/>
        <v>0</v>
      </c>
      <c r="J2053">
        <f t="shared" si="164"/>
        <v>0</v>
      </c>
      <c r="K2053" s="141">
        <f t="shared" si="165"/>
        <v>0</v>
      </c>
    </row>
    <row r="2054" spans="7:11" hidden="1" x14ac:dyDescent="0.25">
      <c r="G2054">
        <f t="shared" si="161"/>
        <v>0</v>
      </c>
      <c r="H2054">
        <f t="shared" si="162"/>
        <v>0</v>
      </c>
      <c r="I2054" s="141">
        <f t="shared" si="163"/>
        <v>0</v>
      </c>
      <c r="J2054">
        <f t="shared" si="164"/>
        <v>0</v>
      </c>
      <c r="K2054" s="141">
        <f t="shared" si="165"/>
        <v>0</v>
      </c>
    </row>
    <row r="2055" spans="7:11" hidden="1" x14ac:dyDescent="0.25">
      <c r="G2055">
        <f t="shared" si="161"/>
        <v>0</v>
      </c>
      <c r="H2055">
        <f t="shared" si="162"/>
        <v>0</v>
      </c>
      <c r="I2055" s="141">
        <f t="shared" si="163"/>
        <v>0</v>
      </c>
      <c r="J2055">
        <f t="shared" si="164"/>
        <v>0</v>
      </c>
      <c r="K2055" s="141">
        <f t="shared" si="165"/>
        <v>0</v>
      </c>
    </row>
    <row r="2056" spans="7:11" hidden="1" x14ac:dyDescent="0.25">
      <c r="G2056">
        <f t="shared" si="161"/>
        <v>0</v>
      </c>
      <c r="H2056">
        <f t="shared" si="162"/>
        <v>0</v>
      </c>
      <c r="I2056" s="141">
        <f t="shared" si="163"/>
        <v>0</v>
      </c>
      <c r="J2056">
        <f t="shared" si="164"/>
        <v>0</v>
      </c>
      <c r="K2056" s="141">
        <f t="shared" si="165"/>
        <v>0</v>
      </c>
    </row>
    <row r="2057" spans="7:11" hidden="1" x14ac:dyDescent="0.25">
      <c r="G2057">
        <f t="shared" si="161"/>
        <v>0</v>
      </c>
      <c r="H2057">
        <f t="shared" si="162"/>
        <v>0</v>
      </c>
      <c r="I2057" s="141">
        <f t="shared" si="163"/>
        <v>0</v>
      </c>
      <c r="J2057">
        <f t="shared" si="164"/>
        <v>0</v>
      </c>
      <c r="K2057" s="141">
        <f t="shared" si="165"/>
        <v>0</v>
      </c>
    </row>
    <row r="2058" spans="7:11" hidden="1" x14ac:dyDescent="0.25">
      <c r="G2058">
        <f t="shared" si="161"/>
        <v>0</v>
      </c>
      <c r="H2058">
        <f t="shared" si="162"/>
        <v>0</v>
      </c>
      <c r="I2058" s="141">
        <f t="shared" si="163"/>
        <v>0</v>
      </c>
      <c r="J2058">
        <f t="shared" si="164"/>
        <v>0</v>
      </c>
      <c r="K2058" s="141">
        <f t="shared" si="165"/>
        <v>0</v>
      </c>
    </row>
    <row r="2059" spans="7:11" hidden="1" x14ac:dyDescent="0.25">
      <c r="G2059">
        <f t="shared" si="161"/>
        <v>0</v>
      </c>
      <c r="H2059">
        <f t="shared" si="162"/>
        <v>0</v>
      </c>
      <c r="I2059" s="141">
        <f t="shared" si="163"/>
        <v>0</v>
      </c>
      <c r="J2059">
        <f t="shared" si="164"/>
        <v>0</v>
      </c>
      <c r="K2059" s="141">
        <f t="shared" si="165"/>
        <v>0</v>
      </c>
    </row>
    <row r="2060" spans="7:11" hidden="1" x14ac:dyDescent="0.25">
      <c r="G2060">
        <f t="shared" si="161"/>
        <v>0</v>
      </c>
      <c r="H2060">
        <f t="shared" si="162"/>
        <v>0</v>
      </c>
      <c r="I2060" s="141">
        <f t="shared" si="163"/>
        <v>0</v>
      </c>
      <c r="J2060">
        <f t="shared" si="164"/>
        <v>0</v>
      </c>
      <c r="K2060" s="141">
        <f t="shared" si="165"/>
        <v>0</v>
      </c>
    </row>
    <row r="2061" spans="7:11" hidden="1" x14ac:dyDescent="0.25">
      <c r="G2061">
        <f t="shared" si="161"/>
        <v>0</v>
      </c>
      <c r="H2061">
        <f t="shared" si="162"/>
        <v>0</v>
      </c>
      <c r="I2061" s="141">
        <f t="shared" si="163"/>
        <v>0</v>
      </c>
      <c r="J2061">
        <f t="shared" si="164"/>
        <v>0</v>
      </c>
      <c r="K2061" s="141">
        <f t="shared" si="165"/>
        <v>0</v>
      </c>
    </row>
    <row r="2062" spans="7:11" hidden="1" x14ac:dyDescent="0.25">
      <c r="G2062">
        <f t="shared" si="161"/>
        <v>0</v>
      </c>
      <c r="H2062">
        <f t="shared" si="162"/>
        <v>0</v>
      </c>
      <c r="I2062" s="141">
        <f t="shared" si="163"/>
        <v>0</v>
      </c>
      <c r="J2062">
        <f t="shared" si="164"/>
        <v>0</v>
      </c>
      <c r="K2062" s="141">
        <f t="shared" si="165"/>
        <v>0</v>
      </c>
    </row>
    <row r="2063" spans="7:11" hidden="1" x14ac:dyDescent="0.25">
      <c r="G2063">
        <f t="shared" si="161"/>
        <v>0</v>
      </c>
      <c r="H2063">
        <f t="shared" si="162"/>
        <v>0</v>
      </c>
      <c r="I2063" s="141">
        <f t="shared" si="163"/>
        <v>0</v>
      </c>
      <c r="J2063">
        <f t="shared" si="164"/>
        <v>0</v>
      </c>
      <c r="K2063" s="141">
        <f t="shared" si="165"/>
        <v>0</v>
      </c>
    </row>
    <row r="2064" spans="7:11" hidden="1" x14ac:dyDescent="0.25">
      <c r="G2064">
        <f t="shared" si="161"/>
        <v>0</v>
      </c>
      <c r="H2064">
        <f t="shared" si="162"/>
        <v>0</v>
      </c>
      <c r="I2064" s="141">
        <f t="shared" si="163"/>
        <v>0</v>
      </c>
      <c r="J2064">
        <f t="shared" si="164"/>
        <v>0</v>
      </c>
      <c r="K2064" s="141">
        <f t="shared" si="165"/>
        <v>0</v>
      </c>
    </row>
    <row r="2065" spans="7:11" hidden="1" x14ac:dyDescent="0.25">
      <c r="G2065">
        <f t="shared" si="161"/>
        <v>0</v>
      </c>
      <c r="H2065">
        <f t="shared" si="162"/>
        <v>0</v>
      </c>
      <c r="I2065" s="141">
        <f t="shared" si="163"/>
        <v>0</v>
      </c>
      <c r="J2065">
        <f t="shared" si="164"/>
        <v>0</v>
      </c>
      <c r="K2065" s="141">
        <f t="shared" si="165"/>
        <v>0</v>
      </c>
    </row>
    <row r="2066" spans="7:11" hidden="1" x14ac:dyDescent="0.25">
      <c r="G2066">
        <f t="shared" si="161"/>
        <v>0</v>
      </c>
      <c r="H2066">
        <f t="shared" si="162"/>
        <v>0</v>
      </c>
      <c r="I2066" s="141">
        <f t="shared" si="163"/>
        <v>0</v>
      </c>
      <c r="J2066">
        <f t="shared" si="164"/>
        <v>0</v>
      </c>
      <c r="K2066" s="141">
        <f t="shared" si="165"/>
        <v>0</v>
      </c>
    </row>
    <row r="2067" spans="7:11" hidden="1" x14ac:dyDescent="0.25">
      <c r="G2067">
        <f t="shared" si="161"/>
        <v>0</v>
      </c>
      <c r="H2067">
        <f t="shared" si="162"/>
        <v>0</v>
      </c>
      <c r="I2067" s="141">
        <f t="shared" si="163"/>
        <v>0</v>
      </c>
      <c r="J2067">
        <f t="shared" si="164"/>
        <v>0</v>
      </c>
      <c r="K2067" s="141">
        <f t="shared" si="165"/>
        <v>0</v>
      </c>
    </row>
    <row r="2068" spans="7:11" hidden="1" x14ac:dyDescent="0.25">
      <c r="G2068">
        <f t="shared" si="161"/>
        <v>0</v>
      </c>
      <c r="H2068">
        <f t="shared" si="162"/>
        <v>0</v>
      </c>
      <c r="I2068" s="141">
        <f t="shared" si="163"/>
        <v>0</v>
      </c>
      <c r="J2068">
        <f t="shared" si="164"/>
        <v>0</v>
      </c>
      <c r="K2068" s="141">
        <f t="shared" si="165"/>
        <v>0</v>
      </c>
    </row>
    <row r="2069" spans="7:11" hidden="1" x14ac:dyDescent="0.25">
      <c r="G2069">
        <f t="shared" si="161"/>
        <v>0</v>
      </c>
      <c r="H2069">
        <f t="shared" si="162"/>
        <v>0</v>
      </c>
      <c r="I2069" s="141">
        <f t="shared" si="163"/>
        <v>0</v>
      </c>
      <c r="J2069">
        <f t="shared" si="164"/>
        <v>0</v>
      </c>
      <c r="K2069" s="141">
        <f t="shared" si="165"/>
        <v>0</v>
      </c>
    </row>
    <row r="2070" spans="7:11" hidden="1" x14ac:dyDescent="0.25">
      <c r="G2070">
        <f t="shared" si="161"/>
        <v>0</v>
      </c>
      <c r="H2070">
        <f t="shared" si="162"/>
        <v>0</v>
      </c>
      <c r="I2070" s="141">
        <f t="shared" si="163"/>
        <v>0</v>
      </c>
      <c r="J2070">
        <f t="shared" si="164"/>
        <v>0</v>
      </c>
      <c r="K2070" s="141">
        <f t="shared" si="165"/>
        <v>0</v>
      </c>
    </row>
    <row r="2071" spans="7:11" hidden="1" x14ac:dyDescent="0.25">
      <c r="G2071">
        <f t="shared" si="161"/>
        <v>0</v>
      </c>
      <c r="H2071">
        <f t="shared" si="162"/>
        <v>0</v>
      </c>
      <c r="I2071" s="141">
        <f t="shared" si="163"/>
        <v>0</v>
      </c>
      <c r="J2071">
        <f t="shared" si="164"/>
        <v>0</v>
      </c>
      <c r="K2071" s="141">
        <f t="shared" si="165"/>
        <v>0</v>
      </c>
    </row>
    <row r="2072" spans="7:11" hidden="1" x14ac:dyDescent="0.25">
      <c r="G2072">
        <f t="shared" si="161"/>
        <v>0</v>
      </c>
      <c r="H2072">
        <f t="shared" si="162"/>
        <v>0</v>
      </c>
      <c r="I2072" s="141">
        <f t="shared" si="163"/>
        <v>0</v>
      </c>
      <c r="J2072">
        <f t="shared" si="164"/>
        <v>0</v>
      </c>
      <c r="K2072" s="141">
        <f t="shared" si="165"/>
        <v>0</v>
      </c>
    </row>
    <row r="2073" spans="7:11" hidden="1" x14ac:dyDescent="0.25">
      <c r="G2073">
        <f t="shared" si="161"/>
        <v>0</v>
      </c>
      <c r="H2073">
        <f t="shared" si="162"/>
        <v>0</v>
      </c>
      <c r="I2073" s="141">
        <f t="shared" si="163"/>
        <v>0</v>
      </c>
      <c r="J2073">
        <f t="shared" si="164"/>
        <v>0</v>
      </c>
      <c r="K2073" s="141">
        <f t="shared" si="165"/>
        <v>0</v>
      </c>
    </row>
    <row r="2074" spans="7:11" hidden="1" x14ac:dyDescent="0.25">
      <c r="G2074">
        <f t="shared" si="161"/>
        <v>0</v>
      </c>
      <c r="H2074">
        <f t="shared" si="162"/>
        <v>0</v>
      </c>
      <c r="I2074" s="141">
        <f t="shared" si="163"/>
        <v>0</v>
      </c>
      <c r="J2074">
        <f t="shared" si="164"/>
        <v>0</v>
      </c>
      <c r="K2074" s="141">
        <f t="shared" si="165"/>
        <v>0</v>
      </c>
    </row>
    <row r="2075" spans="7:11" hidden="1" x14ac:dyDescent="0.25">
      <c r="G2075">
        <f t="shared" si="161"/>
        <v>0</v>
      </c>
      <c r="H2075">
        <f t="shared" si="162"/>
        <v>0</v>
      </c>
      <c r="I2075" s="141">
        <f t="shared" si="163"/>
        <v>0</v>
      </c>
      <c r="J2075">
        <f t="shared" si="164"/>
        <v>0</v>
      </c>
      <c r="K2075" s="141">
        <f t="shared" si="165"/>
        <v>0</v>
      </c>
    </row>
    <row r="2076" spans="7:11" hidden="1" x14ac:dyDescent="0.25">
      <c r="G2076">
        <f t="shared" si="161"/>
        <v>0</v>
      </c>
      <c r="H2076">
        <f t="shared" si="162"/>
        <v>0</v>
      </c>
      <c r="I2076" s="141">
        <f t="shared" si="163"/>
        <v>0</v>
      </c>
      <c r="J2076">
        <f t="shared" si="164"/>
        <v>0</v>
      </c>
      <c r="K2076" s="141">
        <f t="shared" si="165"/>
        <v>0</v>
      </c>
    </row>
    <row r="2077" spans="7:11" hidden="1" x14ac:dyDescent="0.25">
      <c r="G2077">
        <f t="shared" si="161"/>
        <v>0</v>
      </c>
      <c r="H2077">
        <f t="shared" si="162"/>
        <v>0</v>
      </c>
      <c r="I2077" s="141">
        <f t="shared" si="163"/>
        <v>0</v>
      </c>
      <c r="J2077">
        <f t="shared" si="164"/>
        <v>0</v>
      </c>
      <c r="K2077" s="141">
        <f t="shared" si="165"/>
        <v>0</v>
      </c>
    </row>
    <row r="2078" spans="7:11" hidden="1" x14ac:dyDescent="0.25">
      <c r="G2078">
        <f t="shared" si="161"/>
        <v>0</v>
      </c>
      <c r="H2078">
        <f t="shared" si="162"/>
        <v>0</v>
      </c>
      <c r="I2078" s="141">
        <f t="shared" si="163"/>
        <v>0</v>
      </c>
      <c r="J2078">
        <f t="shared" si="164"/>
        <v>0</v>
      </c>
      <c r="K2078" s="141">
        <f t="shared" si="165"/>
        <v>0</v>
      </c>
    </row>
    <row r="2079" spans="7:11" hidden="1" x14ac:dyDescent="0.25">
      <c r="G2079">
        <f t="shared" si="161"/>
        <v>0</v>
      </c>
      <c r="H2079">
        <f t="shared" si="162"/>
        <v>0</v>
      </c>
      <c r="I2079" s="141">
        <f t="shared" si="163"/>
        <v>0</v>
      </c>
      <c r="J2079">
        <f t="shared" si="164"/>
        <v>0</v>
      </c>
      <c r="K2079" s="141">
        <f t="shared" si="165"/>
        <v>0</v>
      </c>
    </row>
    <row r="2080" spans="7:11" hidden="1" x14ac:dyDescent="0.25">
      <c r="G2080">
        <f t="shared" si="161"/>
        <v>0</v>
      </c>
      <c r="H2080">
        <f t="shared" si="162"/>
        <v>0</v>
      </c>
      <c r="I2080" s="141">
        <f t="shared" si="163"/>
        <v>0</v>
      </c>
      <c r="J2080">
        <f t="shared" si="164"/>
        <v>0</v>
      </c>
      <c r="K2080" s="141">
        <f t="shared" si="165"/>
        <v>0</v>
      </c>
    </row>
    <row r="2081" spans="7:11" hidden="1" x14ac:dyDescent="0.25">
      <c r="G2081">
        <f t="shared" si="161"/>
        <v>0</v>
      </c>
      <c r="H2081">
        <f t="shared" si="162"/>
        <v>0</v>
      </c>
      <c r="I2081" s="141">
        <f t="shared" si="163"/>
        <v>0</v>
      </c>
      <c r="J2081">
        <f t="shared" si="164"/>
        <v>0</v>
      </c>
      <c r="K2081" s="141">
        <f t="shared" si="165"/>
        <v>0</v>
      </c>
    </row>
    <row r="2082" spans="7:11" hidden="1" x14ac:dyDescent="0.25">
      <c r="G2082">
        <f t="shared" si="161"/>
        <v>0</v>
      </c>
      <c r="H2082">
        <f t="shared" si="162"/>
        <v>0</v>
      </c>
      <c r="I2082" s="141">
        <f t="shared" si="163"/>
        <v>0</v>
      </c>
      <c r="J2082">
        <f t="shared" si="164"/>
        <v>0</v>
      </c>
      <c r="K2082" s="141">
        <f t="shared" si="165"/>
        <v>0</v>
      </c>
    </row>
    <row r="2083" spans="7:11" hidden="1" x14ac:dyDescent="0.25">
      <c r="G2083">
        <f t="shared" si="161"/>
        <v>0</v>
      </c>
      <c r="H2083">
        <f t="shared" si="162"/>
        <v>0</v>
      </c>
      <c r="I2083" s="141">
        <f t="shared" si="163"/>
        <v>0</v>
      </c>
      <c r="J2083">
        <f t="shared" si="164"/>
        <v>0</v>
      </c>
      <c r="K2083" s="141">
        <f t="shared" si="165"/>
        <v>0</v>
      </c>
    </row>
    <row r="2084" spans="7:11" hidden="1" x14ac:dyDescent="0.25">
      <c r="G2084">
        <f t="shared" si="161"/>
        <v>0</v>
      </c>
      <c r="H2084">
        <f t="shared" si="162"/>
        <v>0</v>
      </c>
      <c r="I2084" s="141">
        <f t="shared" si="163"/>
        <v>0</v>
      </c>
      <c r="J2084">
        <f t="shared" si="164"/>
        <v>0</v>
      </c>
      <c r="K2084" s="141">
        <f t="shared" si="165"/>
        <v>0</v>
      </c>
    </row>
    <row r="2085" spans="7:11" hidden="1" x14ac:dyDescent="0.25">
      <c r="G2085">
        <f t="shared" si="161"/>
        <v>0</v>
      </c>
      <c r="H2085">
        <f t="shared" si="162"/>
        <v>0</v>
      </c>
      <c r="I2085" s="141">
        <f t="shared" si="163"/>
        <v>0</v>
      </c>
      <c r="J2085">
        <f t="shared" si="164"/>
        <v>0</v>
      </c>
      <c r="K2085" s="141">
        <f t="shared" si="165"/>
        <v>0</v>
      </c>
    </row>
    <row r="2086" spans="7:11" hidden="1" x14ac:dyDescent="0.25">
      <c r="G2086">
        <f t="shared" si="161"/>
        <v>0</v>
      </c>
      <c r="H2086">
        <f t="shared" si="162"/>
        <v>0</v>
      </c>
      <c r="I2086" s="141">
        <f t="shared" si="163"/>
        <v>0</v>
      </c>
      <c r="J2086">
        <f t="shared" si="164"/>
        <v>0</v>
      </c>
      <c r="K2086" s="141">
        <f t="shared" si="165"/>
        <v>0</v>
      </c>
    </row>
    <row r="2087" spans="7:11" hidden="1" x14ac:dyDescent="0.25">
      <c r="G2087">
        <f t="shared" si="161"/>
        <v>0</v>
      </c>
      <c r="H2087">
        <f t="shared" si="162"/>
        <v>0</v>
      </c>
      <c r="I2087" s="141">
        <f t="shared" si="163"/>
        <v>0</v>
      </c>
      <c r="J2087">
        <f t="shared" si="164"/>
        <v>0</v>
      </c>
      <c r="K2087" s="141">
        <f t="shared" si="165"/>
        <v>0</v>
      </c>
    </row>
    <row r="2088" spans="7:11" hidden="1" x14ac:dyDescent="0.25">
      <c r="G2088">
        <f t="shared" si="161"/>
        <v>0</v>
      </c>
      <c r="H2088">
        <f t="shared" si="162"/>
        <v>0</v>
      </c>
      <c r="I2088" s="141">
        <f t="shared" si="163"/>
        <v>0</v>
      </c>
      <c r="J2088">
        <f t="shared" si="164"/>
        <v>0</v>
      </c>
      <c r="K2088" s="141">
        <f t="shared" si="165"/>
        <v>0</v>
      </c>
    </row>
    <row r="2089" spans="7:11" hidden="1" x14ac:dyDescent="0.25">
      <c r="G2089">
        <f t="shared" si="161"/>
        <v>0</v>
      </c>
      <c r="H2089">
        <f t="shared" si="162"/>
        <v>0</v>
      </c>
      <c r="I2089" s="141">
        <f t="shared" si="163"/>
        <v>0</v>
      </c>
      <c r="J2089">
        <f t="shared" si="164"/>
        <v>0</v>
      </c>
      <c r="K2089" s="141">
        <f t="shared" si="165"/>
        <v>0</v>
      </c>
    </row>
    <row r="2090" spans="7:11" hidden="1" x14ac:dyDescent="0.25">
      <c r="G2090">
        <f t="shared" si="161"/>
        <v>0</v>
      </c>
      <c r="H2090">
        <f t="shared" si="162"/>
        <v>0</v>
      </c>
      <c r="I2090" s="141">
        <f t="shared" si="163"/>
        <v>0</v>
      </c>
      <c r="J2090">
        <f t="shared" si="164"/>
        <v>0</v>
      </c>
      <c r="K2090" s="141">
        <f t="shared" si="165"/>
        <v>0</v>
      </c>
    </row>
    <row r="2091" spans="7:11" hidden="1" x14ac:dyDescent="0.25">
      <c r="G2091">
        <f t="shared" si="161"/>
        <v>0</v>
      </c>
      <c r="H2091">
        <f t="shared" si="162"/>
        <v>0</v>
      </c>
      <c r="I2091" s="141">
        <f t="shared" si="163"/>
        <v>0</v>
      </c>
      <c r="J2091">
        <f t="shared" si="164"/>
        <v>0</v>
      </c>
      <c r="K2091" s="141">
        <f t="shared" si="165"/>
        <v>0</v>
      </c>
    </row>
    <row r="2092" spans="7:11" hidden="1" x14ac:dyDescent="0.25">
      <c r="G2092">
        <f t="shared" si="161"/>
        <v>0</v>
      </c>
      <c r="H2092">
        <f t="shared" si="162"/>
        <v>0</v>
      </c>
      <c r="I2092" s="141">
        <f t="shared" si="163"/>
        <v>0</v>
      </c>
      <c r="J2092">
        <f t="shared" si="164"/>
        <v>0</v>
      </c>
      <c r="K2092" s="141">
        <f t="shared" si="165"/>
        <v>0</v>
      </c>
    </row>
    <row r="2093" spans="7:11" hidden="1" x14ac:dyDescent="0.25">
      <c r="G2093">
        <f t="shared" si="161"/>
        <v>0</v>
      </c>
      <c r="H2093">
        <f t="shared" si="162"/>
        <v>0</v>
      </c>
      <c r="I2093" s="141">
        <f t="shared" si="163"/>
        <v>0</v>
      </c>
      <c r="J2093">
        <f t="shared" si="164"/>
        <v>0</v>
      </c>
      <c r="K2093" s="141">
        <f t="shared" si="165"/>
        <v>0</v>
      </c>
    </row>
    <row r="2094" spans="7:11" hidden="1" x14ac:dyDescent="0.25">
      <c r="G2094">
        <f t="shared" si="161"/>
        <v>0</v>
      </c>
      <c r="H2094">
        <f t="shared" si="162"/>
        <v>0</v>
      </c>
      <c r="I2094" s="141">
        <f t="shared" si="163"/>
        <v>0</v>
      </c>
      <c r="J2094">
        <f t="shared" si="164"/>
        <v>0</v>
      </c>
      <c r="K2094" s="141">
        <f t="shared" si="165"/>
        <v>0</v>
      </c>
    </row>
    <row r="2095" spans="7:11" hidden="1" x14ac:dyDescent="0.25">
      <c r="G2095">
        <f t="shared" si="161"/>
        <v>0</v>
      </c>
      <c r="H2095">
        <f t="shared" si="162"/>
        <v>0</v>
      </c>
      <c r="I2095" s="141">
        <f t="shared" si="163"/>
        <v>0</v>
      </c>
      <c r="J2095">
        <f t="shared" si="164"/>
        <v>0</v>
      </c>
      <c r="K2095" s="141">
        <f t="shared" si="165"/>
        <v>0</v>
      </c>
    </row>
    <row r="2096" spans="7:11" hidden="1" x14ac:dyDescent="0.25">
      <c r="G2096">
        <f t="shared" si="161"/>
        <v>0</v>
      </c>
      <c r="H2096">
        <f t="shared" si="162"/>
        <v>0</v>
      </c>
      <c r="I2096" s="141">
        <f t="shared" si="163"/>
        <v>0</v>
      </c>
      <c r="J2096">
        <f t="shared" si="164"/>
        <v>0</v>
      </c>
      <c r="K2096" s="141">
        <f t="shared" si="165"/>
        <v>0</v>
      </c>
    </row>
    <row r="2097" spans="7:11" hidden="1" x14ac:dyDescent="0.25">
      <c r="G2097">
        <f t="shared" si="161"/>
        <v>0</v>
      </c>
      <c r="H2097">
        <f t="shared" si="162"/>
        <v>0</v>
      </c>
      <c r="I2097" s="141">
        <f t="shared" si="163"/>
        <v>0</v>
      </c>
      <c r="J2097">
        <f t="shared" si="164"/>
        <v>0</v>
      </c>
      <c r="K2097" s="141">
        <f t="shared" si="165"/>
        <v>0</v>
      </c>
    </row>
    <row r="2098" spans="7:11" hidden="1" x14ac:dyDescent="0.25">
      <c r="G2098">
        <f t="shared" si="161"/>
        <v>0</v>
      </c>
      <c r="H2098">
        <f t="shared" si="162"/>
        <v>0</v>
      </c>
      <c r="I2098" s="141">
        <f t="shared" si="163"/>
        <v>0</v>
      </c>
      <c r="J2098">
        <f t="shared" si="164"/>
        <v>0</v>
      </c>
      <c r="K2098" s="141">
        <f t="shared" si="165"/>
        <v>0</v>
      </c>
    </row>
    <row r="2099" spans="7:11" hidden="1" x14ac:dyDescent="0.25">
      <c r="G2099">
        <f t="shared" si="161"/>
        <v>0</v>
      </c>
      <c r="H2099">
        <f t="shared" si="162"/>
        <v>0</v>
      </c>
      <c r="I2099" s="141">
        <f t="shared" si="163"/>
        <v>0</v>
      </c>
      <c r="J2099">
        <f t="shared" si="164"/>
        <v>0</v>
      </c>
      <c r="K2099" s="141">
        <f t="shared" si="165"/>
        <v>0</v>
      </c>
    </row>
    <row r="2100" spans="7:11" hidden="1" x14ac:dyDescent="0.25">
      <c r="G2100">
        <f t="shared" si="161"/>
        <v>0</v>
      </c>
      <c r="H2100">
        <f t="shared" si="162"/>
        <v>0</v>
      </c>
      <c r="I2100" s="141">
        <f t="shared" si="163"/>
        <v>0</v>
      </c>
      <c r="J2100">
        <f t="shared" si="164"/>
        <v>0</v>
      </c>
      <c r="K2100" s="141">
        <f t="shared" si="165"/>
        <v>0</v>
      </c>
    </row>
    <row r="2101" spans="7:11" hidden="1" x14ac:dyDescent="0.25">
      <c r="G2101">
        <f t="shared" si="161"/>
        <v>0</v>
      </c>
      <c r="H2101">
        <f t="shared" si="162"/>
        <v>0</v>
      </c>
      <c r="I2101" s="141">
        <f t="shared" si="163"/>
        <v>0</v>
      </c>
      <c r="J2101">
        <f t="shared" si="164"/>
        <v>0</v>
      </c>
      <c r="K2101" s="141">
        <f t="shared" si="165"/>
        <v>0</v>
      </c>
    </row>
    <row r="2102" spans="7:11" hidden="1" x14ac:dyDescent="0.25">
      <c r="G2102">
        <f t="shared" si="161"/>
        <v>0</v>
      </c>
      <c r="H2102">
        <f t="shared" si="162"/>
        <v>0</v>
      </c>
      <c r="I2102" s="141">
        <f t="shared" si="163"/>
        <v>0</v>
      </c>
      <c r="J2102">
        <f t="shared" si="164"/>
        <v>0</v>
      </c>
      <c r="K2102" s="141">
        <f t="shared" si="165"/>
        <v>0</v>
      </c>
    </row>
    <row r="2103" spans="7:11" hidden="1" x14ac:dyDescent="0.25">
      <c r="G2103">
        <f t="shared" si="161"/>
        <v>0</v>
      </c>
      <c r="H2103">
        <f t="shared" si="162"/>
        <v>0</v>
      </c>
      <c r="I2103" s="141">
        <f t="shared" si="163"/>
        <v>0</v>
      </c>
      <c r="J2103">
        <f t="shared" si="164"/>
        <v>0</v>
      </c>
      <c r="K2103" s="141">
        <f t="shared" si="165"/>
        <v>0</v>
      </c>
    </row>
    <row r="2104" spans="7:11" hidden="1" x14ac:dyDescent="0.25">
      <c r="G2104">
        <f t="shared" si="161"/>
        <v>0</v>
      </c>
      <c r="H2104">
        <f t="shared" si="162"/>
        <v>0</v>
      </c>
      <c r="I2104" s="141">
        <f t="shared" si="163"/>
        <v>0</v>
      </c>
      <c r="J2104">
        <f t="shared" si="164"/>
        <v>0</v>
      </c>
      <c r="K2104" s="141">
        <f t="shared" si="165"/>
        <v>0</v>
      </c>
    </row>
    <row r="2105" spans="7:11" hidden="1" x14ac:dyDescent="0.25">
      <c r="G2105">
        <f t="shared" si="161"/>
        <v>0</v>
      </c>
      <c r="H2105">
        <f t="shared" si="162"/>
        <v>0</v>
      </c>
      <c r="I2105" s="141">
        <f t="shared" si="163"/>
        <v>0</v>
      </c>
      <c r="J2105">
        <f t="shared" si="164"/>
        <v>0</v>
      </c>
      <c r="K2105" s="141">
        <f t="shared" si="165"/>
        <v>0</v>
      </c>
    </row>
    <row r="2106" spans="7:11" hidden="1" x14ac:dyDescent="0.25">
      <c r="G2106">
        <f t="shared" si="161"/>
        <v>0</v>
      </c>
      <c r="H2106">
        <f t="shared" si="162"/>
        <v>0</v>
      </c>
      <c r="I2106" s="141">
        <f t="shared" si="163"/>
        <v>0</v>
      </c>
      <c r="J2106">
        <f t="shared" si="164"/>
        <v>0</v>
      </c>
      <c r="K2106" s="141">
        <f t="shared" si="165"/>
        <v>0</v>
      </c>
    </row>
    <row r="2107" spans="7:11" hidden="1" x14ac:dyDescent="0.25">
      <c r="G2107">
        <f t="shared" si="161"/>
        <v>0</v>
      </c>
      <c r="H2107">
        <f t="shared" si="162"/>
        <v>0</v>
      </c>
      <c r="I2107" s="141">
        <f t="shared" si="163"/>
        <v>0</v>
      </c>
      <c r="J2107">
        <f t="shared" si="164"/>
        <v>0</v>
      </c>
      <c r="K2107" s="141">
        <f t="shared" si="165"/>
        <v>0</v>
      </c>
    </row>
    <row r="2108" spans="7:11" hidden="1" x14ac:dyDescent="0.25">
      <c r="G2108">
        <f t="shared" si="161"/>
        <v>0</v>
      </c>
      <c r="H2108">
        <f t="shared" si="162"/>
        <v>0</v>
      </c>
      <c r="I2108" s="141">
        <f t="shared" si="163"/>
        <v>0</v>
      </c>
      <c r="J2108">
        <f t="shared" si="164"/>
        <v>0</v>
      </c>
      <c r="K2108" s="141">
        <f t="shared" si="165"/>
        <v>0</v>
      </c>
    </row>
    <row r="2109" spans="7:11" hidden="1" x14ac:dyDescent="0.25">
      <c r="G2109">
        <f t="shared" si="161"/>
        <v>0</v>
      </c>
      <c r="H2109">
        <f t="shared" si="162"/>
        <v>0</v>
      </c>
      <c r="I2109" s="141">
        <f t="shared" si="163"/>
        <v>0</v>
      </c>
      <c r="J2109">
        <f t="shared" si="164"/>
        <v>0</v>
      </c>
      <c r="K2109" s="141">
        <f t="shared" si="165"/>
        <v>0</v>
      </c>
    </row>
    <row r="2110" spans="7:11" hidden="1" x14ac:dyDescent="0.25">
      <c r="G2110">
        <f t="shared" si="161"/>
        <v>0</v>
      </c>
      <c r="H2110">
        <f t="shared" si="162"/>
        <v>0</v>
      </c>
      <c r="I2110" s="141">
        <f t="shared" si="163"/>
        <v>0</v>
      </c>
      <c r="J2110">
        <f t="shared" si="164"/>
        <v>0</v>
      </c>
      <c r="K2110" s="141">
        <f t="shared" si="165"/>
        <v>0</v>
      </c>
    </row>
    <row r="2111" spans="7:11" hidden="1" x14ac:dyDescent="0.25">
      <c r="G2111">
        <f t="shared" si="161"/>
        <v>0</v>
      </c>
      <c r="H2111">
        <f t="shared" si="162"/>
        <v>0</v>
      </c>
      <c r="I2111" s="141">
        <f t="shared" si="163"/>
        <v>0</v>
      </c>
      <c r="J2111">
        <f t="shared" si="164"/>
        <v>0</v>
      </c>
      <c r="K2111" s="141">
        <f t="shared" si="165"/>
        <v>0</v>
      </c>
    </row>
    <row r="2112" spans="7:11" hidden="1" x14ac:dyDescent="0.25">
      <c r="G2112">
        <f t="shared" si="161"/>
        <v>0</v>
      </c>
      <c r="H2112">
        <f t="shared" si="162"/>
        <v>0</v>
      </c>
      <c r="I2112" s="141">
        <f t="shared" si="163"/>
        <v>0</v>
      </c>
      <c r="J2112">
        <f t="shared" si="164"/>
        <v>0</v>
      </c>
      <c r="K2112" s="141">
        <f t="shared" si="165"/>
        <v>0</v>
      </c>
    </row>
    <row r="2113" spans="7:11" hidden="1" x14ac:dyDescent="0.25">
      <c r="G2113">
        <f t="shared" si="161"/>
        <v>0</v>
      </c>
      <c r="H2113">
        <f t="shared" si="162"/>
        <v>0</v>
      </c>
      <c r="I2113" s="141">
        <f t="shared" si="163"/>
        <v>0</v>
      </c>
      <c r="J2113">
        <f t="shared" si="164"/>
        <v>0</v>
      </c>
      <c r="K2113" s="141">
        <f t="shared" si="165"/>
        <v>0</v>
      </c>
    </row>
    <row r="2114" spans="7:11" hidden="1" x14ac:dyDescent="0.25">
      <c r="G2114">
        <f t="shared" ref="G2114:G2177" si="166">A2114</f>
        <v>0</v>
      </c>
      <c r="H2114">
        <f t="shared" ref="H2114:H2177" si="167">B2114</f>
        <v>0</v>
      </c>
      <c r="I2114" s="141">
        <f t="shared" ref="I2114:I2177" si="168">C2114</f>
        <v>0</v>
      </c>
      <c r="J2114">
        <f t="shared" ref="J2114:J2177" si="169">D2114</f>
        <v>0</v>
      </c>
      <c r="K2114" s="141">
        <f t="shared" ref="K2114:K2177" si="170">E2114</f>
        <v>0</v>
      </c>
    </row>
    <row r="2115" spans="7:11" hidden="1" x14ac:dyDescent="0.25">
      <c r="G2115">
        <f t="shared" si="166"/>
        <v>0</v>
      </c>
      <c r="H2115">
        <f t="shared" si="167"/>
        <v>0</v>
      </c>
      <c r="I2115" s="141">
        <f t="shared" si="168"/>
        <v>0</v>
      </c>
      <c r="J2115">
        <f t="shared" si="169"/>
        <v>0</v>
      </c>
      <c r="K2115" s="141">
        <f t="shared" si="170"/>
        <v>0</v>
      </c>
    </row>
    <row r="2116" spans="7:11" hidden="1" x14ac:dyDescent="0.25">
      <c r="G2116">
        <f t="shared" si="166"/>
        <v>0</v>
      </c>
      <c r="H2116">
        <f t="shared" si="167"/>
        <v>0</v>
      </c>
      <c r="I2116" s="141">
        <f t="shared" si="168"/>
        <v>0</v>
      </c>
      <c r="J2116">
        <f t="shared" si="169"/>
        <v>0</v>
      </c>
      <c r="K2116" s="141">
        <f t="shared" si="170"/>
        <v>0</v>
      </c>
    </row>
    <row r="2117" spans="7:11" hidden="1" x14ac:dyDescent="0.25">
      <c r="G2117">
        <f t="shared" si="166"/>
        <v>0</v>
      </c>
      <c r="H2117">
        <f t="shared" si="167"/>
        <v>0</v>
      </c>
      <c r="I2117" s="141">
        <f t="shared" si="168"/>
        <v>0</v>
      </c>
      <c r="J2117">
        <f t="shared" si="169"/>
        <v>0</v>
      </c>
      <c r="K2117" s="141">
        <f t="shared" si="170"/>
        <v>0</v>
      </c>
    </row>
    <row r="2118" spans="7:11" hidden="1" x14ac:dyDescent="0.25">
      <c r="G2118">
        <f t="shared" si="166"/>
        <v>0</v>
      </c>
      <c r="H2118">
        <f t="shared" si="167"/>
        <v>0</v>
      </c>
      <c r="I2118" s="141">
        <f t="shared" si="168"/>
        <v>0</v>
      </c>
      <c r="J2118">
        <f t="shared" si="169"/>
        <v>0</v>
      </c>
      <c r="K2118" s="141">
        <f t="shared" si="170"/>
        <v>0</v>
      </c>
    </row>
    <row r="2119" spans="7:11" hidden="1" x14ac:dyDescent="0.25">
      <c r="G2119">
        <f t="shared" si="166"/>
        <v>0</v>
      </c>
      <c r="H2119">
        <f t="shared" si="167"/>
        <v>0</v>
      </c>
      <c r="I2119" s="141">
        <f t="shared" si="168"/>
        <v>0</v>
      </c>
      <c r="J2119">
        <f t="shared" si="169"/>
        <v>0</v>
      </c>
      <c r="K2119" s="141">
        <f t="shared" si="170"/>
        <v>0</v>
      </c>
    </row>
    <row r="2120" spans="7:11" hidden="1" x14ac:dyDescent="0.25">
      <c r="G2120">
        <f t="shared" si="166"/>
        <v>0</v>
      </c>
      <c r="H2120">
        <f t="shared" si="167"/>
        <v>0</v>
      </c>
      <c r="I2120" s="141">
        <f t="shared" si="168"/>
        <v>0</v>
      </c>
      <c r="J2120">
        <f t="shared" si="169"/>
        <v>0</v>
      </c>
      <c r="K2120" s="141">
        <f t="shared" si="170"/>
        <v>0</v>
      </c>
    </row>
    <row r="2121" spans="7:11" hidden="1" x14ac:dyDescent="0.25">
      <c r="G2121">
        <f t="shared" si="166"/>
        <v>0</v>
      </c>
      <c r="H2121">
        <f t="shared" si="167"/>
        <v>0</v>
      </c>
      <c r="I2121" s="141">
        <f t="shared" si="168"/>
        <v>0</v>
      </c>
      <c r="J2121">
        <f t="shared" si="169"/>
        <v>0</v>
      </c>
      <c r="K2121" s="141">
        <f t="shared" si="170"/>
        <v>0</v>
      </c>
    </row>
    <row r="2122" spans="7:11" hidden="1" x14ac:dyDescent="0.25">
      <c r="G2122">
        <f t="shared" si="166"/>
        <v>0</v>
      </c>
      <c r="H2122">
        <f t="shared" si="167"/>
        <v>0</v>
      </c>
      <c r="I2122" s="141">
        <f t="shared" si="168"/>
        <v>0</v>
      </c>
      <c r="J2122">
        <f t="shared" si="169"/>
        <v>0</v>
      </c>
      <c r="K2122" s="141">
        <f t="shared" si="170"/>
        <v>0</v>
      </c>
    </row>
    <row r="2123" spans="7:11" hidden="1" x14ac:dyDescent="0.25">
      <c r="G2123">
        <f t="shared" si="166"/>
        <v>0</v>
      </c>
      <c r="H2123">
        <f t="shared" si="167"/>
        <v>0</v>
      </c>
      <c r="I2123" s="141">
        <f t="shared" si="168"/>
        <v>0</v>
      </c>
      <c r="J2123">
        <f t="shared" si="169"/>
        <v>0</v>
      </c>
      <c r="K2123" s="141">
        <f t="shared" si="170"/>
        <v>0</v>
      </c>
    </row>
    <row r="2124" spans="7:11" hidden="1" x14ac:dyDescent="0.25">
      <c r="G2124">
        <f t="shared" si="166"/>
        <v>0</v>
      </c>
      <c r="H2124">
        <f t="shared" si="167"/>
        <v>0</v>
      </c>
      <c r="I2124" s="141">
        <f t="shared" si="168"/>
        <v>0</v>
      </c>
      <c r="J2124">
        <f t="shared" si="169"/>
        <v>0</v>
      </c>
      <c r="K2124" s="141">
        <f t="shared" si="170"/>
        <v>0</v>
      </c>
    </row>
    <row r="2125" spans="7:11" hidden="1" x14ac:dyDescent="0.25">
      <c r="G2125">
        <f t="shared" si="166"/>
        <v>0</v>
      </c>
      <c r="H2125">
        <f t="shared" si="167"/>
        <v>0</v>
      </c>
      <c r="I2125" s="141">
        <f t="shared" si="168"/>
        <v>0</v>
      </c>
      <c r="J2125">
        <f t="shared" si="169"/>
        <v>0</v>
      </c>
      <c r="K2125" s="141">
        <f t="shared" si="170"/>
        <v>0</v>
      </c>
    </row>
    <row r="2126" spans="7:11" hidden="1" x14ac:dyDescent="0.25">
      <c r="G2126">
        <f t="shared" si="166"/>
        <v>0</v>
      </c>
      <c r="H2126">
        <f t="shared" si="167"/>
        <v>0</v>
      </c>
      <c r="I2126" s="141">
        <f t="shared" si="168"/>
        <v>0</v>
      </c>
      <c r="J2126">
        <f t="shared" si="169"/>
        <v>0</v>
      </c>
      <c r="K2126" s="141">
        <f t="shared" si="170"/>
        <v>0</v>
      </c>
    </row>
    <row r="2127" spans="7:11" hidden="1" x14ac:dyDescent="0.25">
      <c r="G2127">
        <f t="shared" si="166"/>
        <v>0</v>
      </c>
      <c r="H2127">
        <f t="shared" si="167"/>
        <v>0</v>
      </c>
      <c r="I2127" s="141">
        <f t="shared" si="168"/>
        <v>0</v>
      </c>
      <c r="J2127">
        <f t="shared" si="169"/>
        <v>0</v>
      </c>
      <c r="K2127" s="141">
        <f t="shared" si="170"/>
        <v>0</v>
      </c>
    </row>
    <row r="2128" spans="7:11" hidden="1" x14ac:dyDescent="0.25">
      <c r="G2128">
        <f t="shared" si="166"/>
        <v>0</v>
      </c>
      <c r="H2128">
        <f t="shared" si="167"/>
        <v>0</v>
      </c>
      <c r="I2128" s="141">
        <f t="shared" si="168"/>
        <v>0</v>
      </c>
      <c r="J2128">
        <f t="shared" si="169"/>
        <v>0</v>
      </c>
      <c r="K2128" s="141">
        <f t="shared" si="170"/>
        <v>0</v>
      </c>
    </row>
    <row r="2129" spans="7:11" hidden="1" x14ac:dyDescent="0.25">
      <c r="G2129">
        <f t="shared" si="166"/>
        <v>0</v>
      </c>
      <c r="H2129">
        <f t="shared" si="167"/>
        <v>0</v>
      </c>
      <c r="I2129" s="141">
        <f t="shared" si="168"/>
        <v>0</v>
      </c>
      <c r="J2129">
        <f t="shared" si="169"/>
        <v>0</v>
      </c>
      <c r="K2129" s="141">
        <f t="shared" si="170"/>
        <v>0</v>
      </c>
    </row>
    <row r="2130" spans="7:11" hidden="1" x14ac:dyDescent="0.25">
      <c r="G2130">
        <f t="shared" si="166"/>
        <v>0</v>
      </c>
      <c r="H2130">
        <f t="shared" si="167"/>
        <v>0</v>
      </c>
      <c r="I2130" s="141">
        <f t="shared" si="168"/>
        <v>0</v>
      </c>
      <c r="J2130">
        <f t="shared" si="169"/>
        <v>0</v>
      </c>
      <c r="K2130" s="141">
        <f t="shared" si="170"/>
        <v>0</v>
      </c>
    </row>
    <row r="2131" spans="7:11" hidden="1" x14ac:dyDescent="0.25">
      <c r="G2131">
        <f t="shared" si="166"/>
        <v>0</v>
      </c>
      <c r="H2131">
        <f t="shared" si="167"/>
        <v>0</v>
      </c>
      <c r="I2131" s="141">
        <f t="shared" si="168"/>
        <v>0</v>
      </c>
      <c r="J2131">
        <f t="shared" si="169"/>
        <v>0</v>
      </c>
      <c r="K2131" s="141">
        <f t="shared" si="170"/>
        <v>0</v>
      </c>
    </row>
    <row r="2132" spans="7:11" hidden="1" x14ac:dyDescent="0.25">
      <c r="G2132">
        <f t="shared" si="166"/>
        <v>0</v>
      </c>
      <c r="H2132">
        <f t="shared" si="167"/>
        <v>0</v>
      </c>
      <c r="I2132" s="141">
        <f t="shared" si="168"/>
        <v>0</v>
      </c>
      <c r="J2132">
        <f t="shared" si="169"/>
        <v>0</v>
      </c>
      <c r="K2132" s="141">
        <f t="shared" si="170"/>
        <v>0</v>
      </c>
    </row>
    <row r="2133" spans="7:11" hidden="1" x14ac:dyDescent="0.25">
      <c r="G2133">
        <f t="shared" si="166"/>
        <v>0</v>
      </c>
      <c r="H2133">
        <f t="shared" si="167"/>
        <v>0</v>
      </c>
      <c r="I2133" s="141">
        <f t="shared" si="168"/>
        <v>0</v>
      </c>
      <c r="J2133">
        <f t="shared" si="169"/>
        <v>0</v>
      </c>
      <c r="K2133" s="141">
        <f t="shared" si="170"/>
        <v>0</v>
      </c>
    </row>
    <row r="2134" spans="7:11" hidden="1" x14ac:dyDescent="0.25">
      <c r="G2134">
        <f t="shared" si="166"/>
        <v>0</v>
      </c>
      <c r="H2134">
        <f t="shared" si="167"/>
        <v>0</v>
      </c>
      <c r="I2134" s="141">
        <f t="shared" si="168"/>
        <v>0</v>
      </c>
      <c r="J2134">
        <f t="shared" si="169"/>
        <v>0</v>
      </c>
      <c r="K2134" s="141">
        <f t="shared" si="170"/>
        <v>0</v>
      </c>
    </row>
    <row r="2135" spans="7:11" hidden="1" x14ac:dyDescent="0.25">
      <c r="G2135">
        <f t="shared" si="166"/>
        <v>0</v>
      </c>
      <c r="H2135">
        <f t="shared" si="167"/>
        <v>0</v>
      </c>
      <c r="I2135" s="141">
        <f t="shared" si="168"/>
        <v>0</v>
      </c>
      <c r="J2135">
        <f t="shared" si="169"/>
        <v>0</v>
      </c>
      <c r="K2135" s="141">
        <f t="shared" si="170"/>
        <v>0</v>
      </c>
    </row>
    <row r="2136" spans="7:11" hidden="1" x14ac:dyDescent="0.25">
      <c r="G2136">
        <f t="shared" si="166"/>
        <v>0</v>
      </c>
      <c r="H2136">
        <f t="shared" si="167"/>
        <v>0</v>
      </c>
      <c r="I2136" s="141">
        <f t="shared" si="168"/>
        <v>0</v>
      </c>
      <c r="J2136">
        <f t="shared" si="169"/>
        <v>0</v>
      </c>
      <c r="K2136" s="141">
        <f t="shared" si="170"/>
        <v>0</v>
      </c>
    </row>
    <row r="2137" spans="7:11" hidden="1" x14ac:dyDescent="0.25">
      <c r="G2137">
        <f t="shared" si="166"/>
        <v>0</v>
      </c>
      <c r="H2137">
        <f t="shared" si="167"/>
        <v>0</v>
      </c>
      <c r="I2137" s="141">
        <f t="shared" si="168"/>
        <v>0</v>
      </c>
      <c r="J2137">
        <f t="shared" si="169"/>
        <v>0</v>
      </c>
      <c r="K2137" s="141">
        <f t="shared" si="170"/>
        <v>0</v>
      </c>
    </row>
    <row r="2138" spans="7:11" hidden="1" x14ac:dyDescent="0.25">
      <c r="G2138">
        <f t="shared" si="166"/>
        <v>0</v>
      </c>
      <c r="H2138">
        <f t="shared" si="167"/>
        <v>0</v>
      </c>
      <c r="I2138" s="141">
        <f t="shared" si="168"/>
        <v>0</v>
      </c>
      <c r="J2138">
        <f t="shared" si="169"/>
        <v>0</v>
      </c>
      <c r="K2138" s="141">
        <f t="shared" si="170"/>
        <v>0</v>
      </c>
    </row>
    <row r="2139" spans="7:11" hidden="1" x14ac:dyDescent="0.25">
      <c r="G2139">
        <f t="shared" si="166"/>
        <v>0</v>
      </c>
      <c r="H2139">
        <f t="shared" si="167"/>
        <v>0</v>
      </c>
      <c r="I2139" s="141">
        <f t="shared" si="168"/>
        <v>0</v>
      </c>
      <c r="J2139">
        <f t="shared" si="169"/>
        <v>0</v>
      </c>
      <c r="K2139" s="141">
        <f t="shared" si="170"/>
        <v>0</v>
      </c>
    </row>
    <row r="2140" spans="7:11" hidden="1" x14ac:dyDescent="0.25">
      <c r="G2140">
        <f t="shared" si="166"/>
        <v>0</v>
      </c>
      <c r="H2140">
        <f t="shared" si="167"/>
        <v>0</v>
      </c>
      <c r="I2140" s="141">
        <f t="shared" si="168"/>
        <v>0</v>
      </c>
      <c r="J2140">
        <f t="shared" si="169"/>
        <v>0</v>
      </c>
      <c r="K2140" s="141">
        <f t="shared" si="170"/>
        <v>0</v>
      </c>
    </row>
    <row r="2141" spans="7:11" hidden="1" x14ac:dyDescent="0.25">
      <c r="G2141">
        <f t="shared" si="166"/>
        <v>0</v>
      </c>
      <c r="H2141">
        <f t="shared" si="167"/>
        <v>0</v>
      </c>
      <c r="I2141" s="141">
        <f t="shared" si="168"/>
        <v>0</v>
      </c>
      <c r="J2141">
        <f t="shared" si="169"/>
        <v>0</v>
      </c>
      <c r="K2141" s="141">
        <f t="shared" si="170"/>
        <v>0</v>
      </c>
    </row>
    <row r="2142" spans="7:11" hidden="1" x14ac:dyDescent="0.25">
      <c r="G2142">
        <f t="shared" si="166"/>
        <v>0</v>
      </c>
      <c r="H2142">
        <f t="shared" si="167"/>
        <v>0</v>
      </c>
      <c r="I2142" s="141">
        <f t="shared" si="168"/>
        <v>0</v>
      </c>
      <c r="J2142">
        <f t="shared" si="169"/>
        <v>0</v>
      </c>
      <c r="K2142" s="141">
        <f t="shared" si="170"/>
        <v>0</v>
      </c>
    </row>
    <row r="2143" spans="7:11" hidden="1" x14ac:dyDescent="0.25">
      <c r="G2143">
        <f t="shared" si="166"/>
        <v>0</v>
      </c>
      <c r="H2143">
        <f t="shared" si="167"/>
        <v>0</v>
      </c>
      <c r="I2143" s="141">
        <f t="shared" si="168"/>
        <v>0</v>
      </c>
      <c r="J2143">
        <f t="shared" si="169"/>
        <v>0</v>
      </c>
      <c r="K2143" s="141">
        <f t="shared" si="170"/>
        <v>0</v>
      </c>
    </row>
    <row r="2144" spans="7:11" hidden="1" x14ac:dyDescent="0.25">
      <c r="G2144">
        <f t="shared" si="166"/>
        <v>0</v>
      </c>
      <c r="H2144">
        <f t="shared" si="167"/>
        <v>0</v>
      </c>
      <c r="I2144" s="141">
        <f t="shared" si="168"/>
        <v>0</v>
      </c>
      <c r="J2144">
        <f t="shared" si="169"/>
        <v>0</v>
      </c>
      <c r="K2144" s="141">
        <f t="shared" si="170"/>
        <v>0</v>
      </c>
    </row>
    <row r="2145" spans="7:11" hidden="1" x14ac:dyDescent="0.25">
      <c r="G2145">
        <f t="shared" si="166"/>
        <v>0</v>
      </c>
      <c r="H2145">
        <f t="shared" si="167"/>
        <v>0</v>
      </c>
      <c r="I2145" s="141">
        <f t="shared" si="168"/>
        <v>0</v>
      </c>
      <c r="J2145">
        <f t="shared" si="169"/>
        <v>0</v>
      </c>
      <c r="K2145" s="141">
        <f t="shared" si="170"/>
        <v>0</v>
      </c>
    </row>
    <row r="2146" spans="7:11" hidden="1" x14ac:dyDescent="0.25">
      <c r="G2146">
        <f t="shared" si="166"/>
        <v>0</v>
      </c>
      <c r="H2146">
        <f t="shared" si="167"/>
        <v>0</v>
      </c>
      <c r="I2146" s="141">
        <f t="shared" si="168"/>
        <v>0</v>
      </c>
      <c r="J2146">
        <f t="shared" si="169"/>
        <v>0</v>
      </c>
      <c r="K2146" s="141">
        <f t="shared" si="170"/>
        <v>0</v>
      </c>
    </row>
    <row r="2147" spans="7:11" hidden="1" x14ac:dyDescent="0.25">
      <c r="G2147">
        <f t="shared" si="166"/>
        <v>0</v>
      </c>
      <c r="H2147">
        <f t="shared" si="167"/>
        <v>0</v>
      </c>
      <c r="I2147" s="141">
        <f t="shared" si="168"/>
        <v>0</v>
      </c>
      <c r="J2147">
        <f t="shared" si="169"/>
        <v>0</v>
      </c>
      <c r="K2147" s="141">
        <f t="shared" si="170"/>
        <v>0</v>
      </c>
    </row>
    <row r="2148" spans="7:11" hidden="1" x14ac:dyDescent="0.25">
      <c r="G2148">
        <f t="shared" si="166"/>
        <v>0</v>
      </c>
      <c r="H2148">
        <f t="shared" si="167"/>
        <v>0</v>
      </c>
      <c r="I2148" s="141">
        <f t="shared" si="168"/>
        <v>0</v>
      </c>
      <c r="J2148">
        <f t="shared" si="169"/>
        <v>0</v>
      </c>
      <c r="K2148" s="141">
        <f t="shared" si="170"/>
        <v>0</v>
      </c>
    </row>
    <row r="2149" spans="7:11" hidden="1" x14ac:dyDescent="0.25">
      <c r="G2149">
        <f t="shared" si="166"/>
        <v>0</v>
      </c>
      <c r="H2149">
        <f t="shared" si="167"/>
        <v>0</v>
      </c>
      <c r="I2149" s="141">
        <f t="shared" si="168"/>
        <v>0</v>
      </c>
      <c r="J2149">
        <f t="shared" si="169"/>
        <v>0</v>
      </c>
      <c r="K2149" s="141">
        <f t="shared" si="170"/>
        <v>0</v>
      </c>
    </row>
    <row r="2150" spans="7:11" hidden="1" x14ac:dyDescent="0.25">
      <c r="G2150">
        <f t="shared" si="166"/>
        <v>0</v>
      </c>
      <c r="H2150">
        <f t="shared" si="167"/>
        <v>0</v>
      </c>
      <c r="I2150" s="141">
        <f t="shared" si="168"/>
        <v>0</v>
      </c>
      <c r="J2150">
        <f t="shared" si="169"/>
        <v>0</v>
      </c>
      <c r="K2150" s="141">
        <f t="shared" si="170"/>
        <v>0</v>
      </c>
    </row>
    <row r="2151" spans="7:11" hidden="1" x14ac:dyDescent="0.25">
      <c r="G2151">
        <f t="shared" si="166"/>
        <v>0</v>
      </c>
      <c r="H2151">
        <f t="shared" si="167"/>
        <v>0</v>
      </c>
      <c r="I2151" s="141">
        <f t="shared" si="168"/>
        <v>0</v>
      </c>
      <c r="J2151">
        <f t="shared" si="169"/>
        <v>0</v>
      </c>
      <c r="K2151" s="141">
        <f t="shared" si="170"/>
        <v>0</v>
      </c>
    </row>
    <row r="2152" spans="7:11" hidden="1" x14ac:dyDescent="0.25">
      <c r="G2152">
        <f t="shared" si="166"/>
        <v>0</v>
      </c>
      <c r="H2152">
        <f t="shared" si="167"/>
        <v>0</v>
      </c>
      <c r="I2152" s="141">
        <f t="shared" si="168"/>
        <v>0</v>
      </c>
      <c r="J2152">
        <f t="shared" si="169"/>
        <v>0</v>
      </c>
      <c r="K2152" s="141">
        <f t="shared" si="170"/>
        <v>0</v>
      </c>
    </row>
    <row r="2153" spans="7:11" hidden="1" x14ac:dyDescent="0.25">
      <c r="G2153">
        <f t="shared" si="166"/>
        <v>0</v>
      </c>
      <c r="H2153">
        <f t="shared" si="167"/>
        <v>0</v>
      </c>
      <c r="I2153" s="141">
        <f t="shared" si="168"/>
        <v>0</v>
      </c>
      <c r="J2153">
        <f t="shared" si="169"/>
        <v>0</v>
      </c>
      <c r="K2153" s="141">
        <f t="shared" si="170"/>
        <v>0</v>
      </c>
    </row>
    <row r="2154" spans="7:11" hidden="1" x14ac:dyDescent="0.25">
      <c r="G2154">
        <f t="shared" si="166"/>
        <v>0</v>
      </c>
      <c r="H2154">
        <f t="shared" si="167"/>
        <v>0</v>
      </c>
      <c r="I2154" s="141">
        <f t="shared" si="168"/>
        <v>0</v>
      </c>
      <c r="J2154">
        <f t="shared" si="169"/>
        <v>0</v>
      </c>
      <c r="K2154" s="141">
        <f t="shared" si="170"/>
        <v>0</v>
      </c>
    </row>
    <row r="2155" spans="7:11" hidden="1" x14ac:dyDescent="0.25">
      <c r="G2155">
        <f t="shared" si="166"/>
        <v>0</v>
      </c>
      <c r="H2155">
        <f t="shared" si="167"/>
        <v>0</v>
      </c>
      <c r="I2155" s="141">
        <f t="shared" si="168"/>
        <v>0</v>
      </c>
      <c r="J2155">
        <f t="shared" si="169"/>
        <v>0</v>
      </c>
      <c r="K2155" s="141">
        <f t="shared" si="170"/>
        <v>0</v>
      </c>
    </row>
    <row r="2156" spans="7:11" hidden="1" x14ac:dyDescent="0.25">
      <c r="G2156">
        <f t="shared" si="166"/>
        <v>0</v>
      </c>
      <c r="H2156">
        <f t="shared" si="167"/>
        <v>0</v>
      </c>
      <c r="I2156" s="141">
        <f t="shared" si="168"/>
        <v>0</v>
      </c>
      <c r="J2156">
        <f t="shared" si="169"/>
        <v>0</v>
      </c>
      <c r="K2156" s="141">
        <f t="shared" si="170"/>
        <v>0</v>
      </c>
    </row>
    <row r="2157" spans="7:11" hidden="1" x14ac:dyDescent="0.25">
      <c r="G2157">
        <f t="shared" si="166"/>
        <v>0</v>
      </c>
      <c r="H2157">
        <f t="shared" si="167"/>
        <v>0</v>
      </c>
      <c r="I2157" s="141">
        <f t="shared" si="168"/>
        <v>0</v>
      </c>
      <c r="J2157">
        <f t="shared" si="169"/>
        <v>0</v>
      </c>
      <c r="K2157" s="141">
        <f t="shared" si="170"/>
        <v>0</v>
      </c>
    </row>
    <row r="2158" spans="7:11" hidden="1" x14ac:dyDescent="0.25">
      <c r="G2158">
        <f t="shared" si="166"/>
        <v>0</v>
      </c>
      <c r="H2158">
        <f t="shared" si="167"/>
        <v>0</v>
      </c>
      <c r="I2158" s="141">
        <f t="shared" si="168"/>
        <v>0</v>
      </c>
      <c r="J2158">
        <f t="shared" si="169"/>
        <v>0</v>
      </c>
      <c r="K2158" s="141">
        <f t="shared" si="170"/>
        <v>0</v>
      </c>
    </row>
    <row r="2159" spans="7:11" hidden="1" x14ac:dyDescent="0.25">
      <c r="G2159">
        <f t="shared" si="166"/>
        <v>0</v>
      </c>
      <c r="H2159">
        <f t="shared" si="167"/>
        <v>0</v>
      </c>
      <c r="I2159" s="141">
        <f t="shared" si="168"/>
        <v>0</v>
      </c>
      <c r="J2159">
        <f t="shared" si="169"/>
        <v>0</v>
      </c>
      <c r="K2159" s="141">
        <f t="shared" si="170"/>
        <v>0</v>
      </c>
    </row>
    <row r="2160" spans="7:11" hidden="1" x14ac:dyDescent="0.25">
      <c r="G2160">
        <f t="shared" si="166"/>
        <v>0</v>
      </c>
      <c r="H2160">
        <f t="shared" si="167"/>
        <v>0</v>
      </c>
      <c r="I2160" s="141">
        <f t="shared" si="168"/>
        <v>0</v>
      </c>
      <c r="J2160">
        <f t="shared" si="169"/>
        <v>0</v>
      </c>
      <c r="K2160" s="141">
        <f t="shared" si="170"/>
        <v>0</v>
      </c>
    </row>
    <row r="2161" spans="7:11" hidden="1" x14ac:dyDescent="0.25">
      <c r="G2161">
        <f t="shared" si="166"/>
        <v>0</v>
      </c>
      <c r="H2161">
        <f t="shared" si="167"/>
        <v>0</v>
      </c>
      <c r="I2161" s="141">
        <f t="shared" si="168"/>
        <v>0</v>
      </c>
      <c r="J2161">
        <f t="shared" si="169"/>
        <v>0</v>
      </c>
      <c r="K2161" s="141">
        <f t="shared" si="170"/>
        <v>0</v>
      </c>
    </row>
    <row r="2162" spans="7:11" hidden="1" x14ac:dyDescent="0.25">
      <c r="G2162">
        <f t="shared" si="166"/>
        <v>0</v>
      </c>
      <c r="H2162">
        <f t="shared" si="167"/>
        <v>0</v>
      </c>
      <c r="I2162" s="141">
        <f t="shared" si="168"/>
        <v>0</v>
      </c>
      <c r="J2162">
        <f t="shared" si="169"/>
        <v>0</v>
      </c>
      <c r="K2162" s="141">
        <f t="shared" si="170"/>
        <v>0</v>
      </c>
    </row>
    <row r="2163" spans="7:11" hidden="1" x14ac:dyDescent="0.25">
      <c r="G2163">
        <f t="shared" si="166"/>
        <v>0</v>
      </c>
      <c r="H2163">
        <f t="shared" si="167"/>
        <v>0</v>
      </c>
      <c r="I2163" s="141">
        <f t="shared" si="168"/>
        <v>0</v>
      </c>
      <c r="J2163">
        <f t="shared" si="169"/>
        <v>0</v>
      </c>
      <c r="K2163" s="141">
        <f t="shared" si="170"/>
        <v>0</v>
      </c>
    </row>
    <row r="2164" spans="7:11" hidden="1" x14ac:dyDescent="0.25">
      <c r="G2164">
        <f t="shared" si="166"/>
        <v>0</v>
      </c>
      <c r="H2164">
        <f t="shared" si="167"/>
        <v>0</v>
      </c>
      <c r="I2164" s="141">
        <f t="shared" si="168"/>
        <v>0</v>
      </c>
      <c r="J2164">
        <f t="shared" si="169"/>
        <v>0</v>
      </c>
      <c r="K2164" s="141">
        <f t="shared" si="170"/>
        <v>0</v>
      </c>
    </row>
    <row r="2165" spans="7:11" hidden="1" x14ac:dyDescent="0.25">
      <c r="G2165">
        <f t="shared" si="166"/>
        <v>0</v>
      </c>
      <c r="H2165">
        <f t="shared" si="167"/>
        <v>0</v>
      </c>
      <c r="I2165" s="141">
        <f t="shared" si="168"/>
        <v>0</v>
      </c>
      <c r="J2165">
        <f t="shared" si="169"/>
        <v>0</v>
      </c>
      <c r="K2165" s="141">
        <f t="shared" si="170"/>
        <v>0</v>
      </c>
    </row>
    <row r="2166" spans="7:11" hidden="1" x14ac:dyDescent="0.25">
      <c r="G2166">
        <f t="shared" si="166"/>
        <v>0</v>
      </c>
      <c r="H2166">
        <f t="shared" si="167"/>
        <v>0</v>
      </c>
      <c r="I2166" s="141">
        <f t="shared" si="168"/>
        <v>0</v>
      </c>
      <c r="J2166">
        <f t="shared" si="169"/>
        <v>0</v>
      </c>
      <c r="K2166" s="141">
        <f t="shared" si="170"/>
        <v>0</v>
      </c>
    </row>
    <row r="2167" spans="7:11" hidden="1" x14ac:dyDescent="0.25">
      <c r="G2167">
        <f t="shared" si="166"/>
        <v>0</v>
      </c>
      <c r="H2167">
        <f t="shared" si="167"/>
        <v>0</v>
      </c>
      <c r="I2167" s="141">
        <f t="shared" si="168"/>
        <v>0</v>
      </c>
      <c r="J2167">
        <f t="shared" si="169"/>
        <v>0</v>
      </c>
      <c r="K2167" s="141">
        <f t="shared" si="170"/>
        <v>0</v>
      </c>
    </row>
    <row r="2168" spans="7:11" hidden="1" x14ac:dyDescent="0.25">
      <c r="G2168">
        <f t="shared" si="166"/>
        <v>0</v>
      </c>
      <c r="H2168">
        <f t="shared" si="167"/>
        <v>0</v>
      </c>
      <c r="I2168" s="141">
        <f t="shared" si="168"/>
        <v>0</v>
      </c>
      <c r="J2168">
        <f t="shared" si="169"/>
        <v>0</v>
      </c>
      <c r="K2168" s="141">
        <f t="shared" si="170"/>
        <v>0</v>
      </c>
    </row>
    <row r="2169" spans="7:11" hidden="1" x14ac:dyDescent="0.25">
      <c r="G2169">
        <f t="shared" si="166"/>
        <v>0</v>
      </c>
      <c r="H2169">
        <f t="shared" si="167"/>
        <v>0</v>
      </c>
      <c r="I2169" s="141">
        <f t="shared" si="168"/>
        <v>0</v>
      </c>
      <c r="J2169">
        <f t="shared" si="169"/>
        <v>0</v>
      </c>
      <c r="K2169" s="141">
        <f t="shared" si="170"/>
        <v>0</v>
      </c>
    </row>
    <row r="2170" spans="7:11" hidden="1" x14ac:dyDescent="0.25">
      <c r="G2170">
        <f t="shared" si="166"/>
        <v>0</v>
      </c>
      <c r="H2170">
        <f t="shared" si="167"/>
        <v>0</v>
      </c>
      <c r="I2170" s="141">
        <f t="shared" si="168"/>
        <v>0</v>
      </c>
      <c r="J2170">
        <f t="shared" si="169"/>
        <v>0</v>
      </c>
      <c r="K2170" s="141">
        <f t="shared" si="170"/>
        <v>0</v>
      </c>
    </row>
    <row r="2171" spans="7:11" hidden="1" x14ac:dyDescent="0.25">
      <c r="G2171">
        <f t="shared" si="166"/>
        <v>0</v>
      </c>
      <c r="H2171">
        <f t="shared" si="167"/>
        <v>0</v>
      </c>
      <c r="I2171" s="141">
        <f t="shared" si="168"/>
        <v>0</v>
      </c>
      <c r="J2171">
        <f t="shared" si="169"/>
        <v>0</v>
      </c>
      <c r="K2171" s="141">
        <f t="shared" si="170"/>
        <v>0</v>
      </c>
    </row>
    <row r="2172" spans="7:11" hidden="1" x14ac:dyDescent="0.25">
      <c r="G2172">
        <f t="shared" si="166"/>
        <v>0</v>
      </c>
      <c r="H2172">
        <f t="shared" si="167"/>
        <v>0</v>
      </c>
      <c r="I2172" s="141">
        <f t="shared" si="168"/>
        <v>0</v>
      </c>
      <c r="J2172">
        <f t="shared" si="169"/>
        <v>0</v>
      </c>
      <c r="K2172" s="141">
        <f t="shared" si="170"/>
        <v>0</v>
      </c>
    </row>
    <row r="2173" spans="7:11" hidden="1" x14ac:dyDescent="0.25">
      <c r="G2173">
        <f t="shared" si="166"/>
        <v>0</v>
      </c>
      <c r="H2173">
        <f t="shared" si="167"/>
        <v>0</v>
      </c>
      <c r="I2173" s="141">
        <f t="shared" si="168"/>
        <v>0</v>
      </c>
      <c r="J2173">
        <f t="shared" si="169"/>
        <v>0</v>
      </c>
      <c r="K2173" s="141">
        <f t="shared" si="170"/>
        <v>0</v>
      </c>
    </row>
    <row r="2174" spans="7:11" hidden="1" x14ac:dyDescent="0.25">
      <c r="G2174">
        <f t="shared" si="166"/>
        <v>0</v>
      </c>
      <c r="H2174">
        <f t="shared" si="167"/>
        <v>0</v>
      </c>
      <c r="I2174" s="141">
        <f t="shared" si="168"/>
        <v>0</v>
      </c>
      <c r="J2174">
        <f t="shared" si="169"/>
        <v>0</v>
      </c>
      <c r="K2174" s="141">
        <f t="shared" si="170"/>
        <v>0</v>
      </c>
    </row>
    <row r="2175" spans="7:11" hidden="1" x14ac:dyDescent="0.25">
      <c r="G2175">
        <f t="shared" si="166"/>
        <v>0</v>
      </c>
      <c r="H2175">
        <f t="shared" si="167"/>
        <v>0</v>
      </c>
      <c r="I2175" s="141">
        <f t="shared" si="168"/>
        <v>0</v>
      </c>
      <c r="J2175">
        <f t="shared" si="169"/>
        <v>0</v>
      </c>
      <c r="K2175" s="141">
        <f t="shared" si="170"/>
        <v>0</v>
      </c>
    </row>
    <row r="2176" spans="7:11" hidden="1" x14ac:dyDescent="0.25">
      <c r="G2176">
        <f t="shared" si="166"/>
        <v>0</v>
      </c>
      <c r="H2176">
        <f t="shared" si="167"/>
        <v>0</v>
      </c>
      <c r="I2176" s="141">
        <f t="shared" si="168"/>
        <v>0</v>
      </c>
      <c r="J2176">
        <f t="shared" si="169"/>
        <v>0</v>
      </c>
      <c r="K2176" s="141">
        <f t="shared" si="170"/>
        <v>0</v>
      </c>
    </row>
    <row r="2177" spans="7:11" hidden="1" x14ac:dyDescent="0.25">
      <c r="G2177">
        <f t="shared" si="166"/>
        <v>0</v>
      </c>
      <c r="H2177">
        <f t="shared" si="167"/>
        <v>0</v>
      </c>
      <c r="I2177" s="141">
        <f t="shared" si="168"/>
        <v>0</v>
      </c>
      <c r="J2177">
        <f t="shared" si="169"/>
        <v>0</v>
      </c>
      <c r="K2177" s="141">
        <f t="shared" si="170"/>
        <v>0</v>
      </c>
    </row>
    <row r="2178" spans="7:11" hidden="1" x14ac:dyDescent="0.25">
      <c r="G2178">
        <f t="shared" ref="G2178:G2241" si="171">A2178</f>
        <v>0</v>
      </c>
      <c r="H2178">
        <f t="shared" ref="H2178:H2241" si="172">B2178</f>
        <v>0</v>
      </c>
      <c r="I2178" s="141">
        <f t="shared" ref="I2178:I2241" si="173">C2178</f>
        <v>0</v>
      </c>
      <c r="J2178">
        <f t="shared" ref="J2178:J2241" si="174">D2178</f>
        <v>0</v>
      </c>
      <c r="K2178" s="141">
        <f t="shared" ref="K2178:K2241" si="175">E2178</f>
        <v>0</v>
      </c>
    </row>
    <row r="2179" spans="7:11" hidden="1" x14ac:dyDescent="0.25">
      <c r="G2179">
        <f t="shared" si="171"/>
        <v>0</v>
      </c>
      <c r="H2179">
        <f t="shared" si="172"/>
        <v>0</v>
      </c>
      <c r="I2179" s="141">
        <f t="shared" si="173"/>
        <v>0</v>
      </c>
      <c r="J2179">
        <f t="shared" si="174"/>
        <v>0</v>
      </c>
      <c r="K2179" s="141">
        <f t="shared" si="175"/>
        <v>0</v>
      </c>
    </row>
    <row r="2180" spans="7:11" hidden="1" x14ac:dyDescent="0.25">
      <c r="G2180">
        <f t="shared" si="171"/>
        <v>0</v>
      </c>
      <c r="H2180">
        <f t="shared" si="172"/>
        <v>0</v>
      </c>
      <c r="I2180" s="141">
        <f t="shared" si="173"/>
        <v>0</v>
      </c>
      <c r="J2180">
        <f t="shared" si="174"/>
        <v>0</v>
      </c>
      <c r="K2180" s="141">
        <f t="shared" si="175"/>
        <v>0</v>
      </c>
    </row>
    <row r="2181" spans="7:11" hidden="1" x14ac:dyDescent="0.25">
      <c r="G2181">
        <f t="shared" si="171"/>
        <v>0</v>
      </c>
      <c r="H2181">
        <f t="shared" si="172"/>
        <v>0</v>
      </c>
      <c r="I2181" s="141">
        <f t="shared" si="173"/>
        <v>0</v>
      </c>
      <c r="J2181">
        <f t="shared" si="174"/>
        <v>0</v>
      </c>
      <c r="K2181" s="141">
        <f t="shared" si="175"/>
        <v>0</v>
      </c>
    </row>
    <row r="2182" spans="7:11" hidden="1" x14ac:dyDescent="0.25">
      <c r="G2182">
        <f t="shared" si="171"/>
        <v>0</v>
      </c>
      <c r="H2182">
        <f t="shared" si="172"/>
        <v>0</v>
      </c>
      <c r="I2182" s="141">
        <f t="shared" si="173"/>
        <v>0</v>
      </c>
      <c r="J2182">
        <f t="shared" si="174"/>
        <v>0</v>
      </c>
      <c r="K2182" s="141">
        <f t="shared" si="175"/>
        <v>0</v>
      </c>
    </row>
    <row r="2183" spans="7:11" hidden="1" x14ac:dyDescent="0.25">
      <c r="G2183">
        <f t="shared" si="171"/>
        <v>0</v>
      </c>
      <c r="H2183">
        <f t="shared" si="172"/>
        <v>0</v>
      </c>
      <c r="I2183" s="141">
        <f t="shared" si="173"/>
        <v>0</v>
      </c>
      <c r="J2183">
        <f t="shared" si="174"/>
        <v>0</v>
      </c>
      <c r="K2183" s="141">
        <f t="shared" si="175"/>
        <v>0</v>
      </c>
    </row>
    <row r="2184" spans="7:11" hidden="1" x14ac:dyDescent="0.25">
      <c r="G2184">
        <f t="shared" si="171"/>
        <v>0</v>
      </c>
      <c r="H2184">
        <f t="shared" si="172"/>
        <v>0</v>
      </c>
      <c r="I2184" s="141">
        <f t="shared" si="173"/>
        <v>0</v>
      </c>
      <c r="J2184">
        <f t="shared" si="174"/>
        <v>0</v>
      </c>
      <c r="K2184" s="141">
        <f t="shared" si="175"/>
        <v>0</v>
      </c>
    </row>
    <row r="2185" spans="7:11" hidden="1" x14ac:dyDescent="0.25">
      <c r="G2185">
        <f t="shared" si="171"/>
        <v>0</v>
      </c>
      <c r="H2185">
        <f t="shared" si="172"/>
        <v>0</v>
      </c>
      <c r="I2185" s="141">
        <f t="shared" si="173"/>
        <v>0</v>
      </c>
      <c r="J2185">
        <f t="shared" si="174"/>
        <v>0</v>
      </c>
      <c r="K2185" s="141">
        <f t="shared" si="175"/>
        <v>0</v>
      </c>
    </row>
    <row r="2186" spans="7:11" hidden="1" x14ac:dyDescent="0.25">
      <c r="G2186">
        <f t="shared" si="171"/>
        <v>0</v>
      </c>
      <c r="H2186">
        <f t="shared" si="172"/>
        <v>0</v>
      </c>
      <c r="I2186" s="141">
        <f t="shared" si="173"/>
        <v>0</v>
      </c>
      <c r="J2186">
        <f t="shared" si="174"/>
        <v>0</v>
      </c>
      <c r="K2186" s="141">
        <f t="shared" si="175"/>
        <v>0</v>
      </c>
    </row>
    <row r="2187" spans="7:11" hidden="1" x14ac:dyDescent="0.25">
      <c r="G2187">
        <f t="shared" si="171"/>
        <v>0</v>
      </c>
      <c r="H2187">
        <f t="shared" si="172"/>
        <v>0</v>
      </c>
      <c r="I2187" s="141">
        <f t="shared" si="173"/>
        <v>0</v>
      </c>
      <c r="J2187">
        <f t="shared" si="174"/>
        <v>0</v>
      </c>
      <c r="K2187" s="141">
        <f t="shared" si="175"/>
        <v>0</v>
      </c>
    </row>
    <row r="2188" spans="7:11" hidden="1" x14ac:dyDescent="0.25">
      <c r="G2188">
        <f t="shared" si="171"/>
        <v>0</v>
      </c>
      <c r="H2188">
        <f t="shared" si="172"/>
        <v>0</v>
      </c>
      <c r="I2188" s="141">
        <f t="shared" si="173"/>
        <v>0</v>
      </c>
      <c r="J2188">
        <f t="shared" si="174"/>
        <v>0</v>
      </c>
      <c r="K2188" s="141">
        <f t="shared" si="175"/>
        <v>0</v>
      </c>
    </row>
    <row r="2189" spans="7:11" hidden="1" x14ac:dyDescent="0.25">
      <c r="G2189">
        <f t="shared" si="171"/>
        <v>0</v>
      </c>
      <c r="H2189">
        <f t="shared" si="172"/>
        <v>0</v>
      </c>
      <c r="I2189" s="141">
        <f t="shared" si="173"/>
        <v>0</v>
      </c>
      <c r="J2189">
        <f t="shared" si="174"/>
        <v>0</v>
      </c>
      <c r="K2189" s="141">
        <f t="shared" si="175"/>
        <v>0</v>
      </c>
    </row>
    <row r="2190" spans="7:11" hidden="1" x14ac:dyDescent="0.25">
      <c r="G2190">
        <f t="shared" si="171"/>
        <v>0</v>
      </c>
      <c r="H2190">
        <f t="shared" si="172"/>
        <v>0</v>
      </c>
      <c r="I2190" s="141">
        <f t="shared" si="173"/>
        <v>0</v>
      </c>
      <c r="J2190">
        <f t="shared" si="174"/>
        <v>0</v>
      </c>
      <c r="K2190" s="141">
        <f t="shared" si="175"/>
        <v>0</v>
      </c>
    </row>
    <row r="2191" spans="7:11" hidden="1" x14ac:dyDescent="0.25">
      <c r="G2191">
        <f t="shared" si="171"/>
        <v>0</v>
      </c>
      <c r="H2191">
        <f t="shared" si="172"/>
        <v>0</v>
      </c>
      <c r="I2191" s="141">
        <f t="shared" si="173"/>
        <v>0</v>
      </c>
      <c r="J2191">
        <f t="shared" si="174"/>
        <v>0</v>
      </c>
      <c r="K2191" s="141">
        <f t="shared" si="175"/>
        <v>0</v>
      </c>
    </row>
    <row r="2192" spans="7:11" hidden="1" x14ac:dyDescent="0.25">
      <c r="G2192">
        <f t="shared" si="171"/>
        <v>0</v>
      </c>
      <c r="H2192">
        <f t="shared" si="172"/>
        <v>0</v>
      </c>
      <c r="I2192" s="141">
        <f t="shared" si="173"/>
        <v>0</v>
      </c>
      <c r="J2192">
        <f t="shared" si="174"/>
        <v>0</v>
      </c>
      <c r="K2192" s="141">
        <f t="shared" si="175"/>
        <v>0</v>
      </c>
    </row>
    <row r="2193" spans="7:11" hidden="1" x14ac:dyDescent="0.25">
      <c r="G2193">
        <f t="shared" si="171"/>
        <v>0</v>
      </c>
      <c r="H2193">
        <f t="shared" si="172"/>
        <v>0</v>
      </c>
      <c r="I2193" s="141">
        <f t="shared" si="173"/>
        <v>0</v>
      </c>
      <c r="J2193">
        <f t="shared" si="174"/>
        <v>0</v>
      </c>
      <c r="K2193" s="141">
        <f t="shared" si="175"/>
        <v>0</v>
      </c>
    </row>
    <row r="2194" spans="7:11" hidden="1" x14ac:dyDescent="0.25">
      <c r="G2194">
        <f t="shared" si="171"/>
        <v>0</v>
      </c>
      <c r="H2194">
        <f t="shared" si="172"/>
        <v>0</v>
      </c>
      <c r="I2194" s="141">
        <f t="shared" si="173"/>
        <v>0</v>
      </c>
      <c r="J2194">
        <f t="shared" si="174"/>
        <v>0</v>
      </c>
      <c r="K2194" s="141">
        <f t="shared" si="175"/>
        <v>0</v>
      </c>
    </row>
    <row r="2195" spans="7:11" hidden="1" x14ac:dyDescent="0.25">
      <c r="G2195">
        <f t="shared" si="171"/>
        <v>0</v>
      </c>
      <c r="H2195">
        <f t="shared" si="172"/>
        <v>0</v>
      </c>
      <c r="I2195" s="141">
        <f t="shared" si="173"/>
        <v>0</v>
      </c>
      <c r="J2195">
        <f t="shared" si="174"/>
        <v>0</v>
      </c>
      <c r="K2195" s="141">
        <f t="shared" si="175"/>
        <v>0</v>
      </c>
    </row>
    <row r="2196" spans="7:11" hidden="1" x14ac:dyDescent="0.25">
      <c r="G2196">
        <f t="shared" si="171"/>
        <v>0</v>
      </c>
      <c r="H2196">
        <f t="shared" si="172"/>
        <v>0</v>
      </c>
      <c r="I2196" s="141">
        <f t="shared" si="173"/>
        <v>0</v>
      </c>
      <c r="J2196">
        <f t="shared" si="174"/>
        <v>0</v>
      </c>
      <c r="K2196" s="141">
        <f t="shared" si="175"/>
        <v>0</v>
      </c>
    </row>
    <row r="2197" spans="7:11" hidden="1" x14ac:dyDescent="0.25">
      <c r="G2197">
        <f t="shared" si="171"/>
        <v>0</v>
      </c>
      <c r="H2197">
        <f t="shared" si="172"/>
        <v>0</v>
      </c>
      <c r="I2197" s="141">
        <f t="shared" si="173"/>
        <v>0</v>
      </c>
      <c r="J2197">
        <f t="shared" si="174"/>
        <v>0</v>
      </c>
      <c r="K2197" s="141">
        <f t="shared" si="175"/>
        <v>0</v>
      </c>
    </row>
    <row r="2198" spans="7:11" hidden="1" x14ac:dyDescent="0.25">
      <c r="G2198">
        <f t="shared" si="171"/>
        <v>0</v>
      </c>
      <c r="H2198">
        <f t="shared" si="172"/>
        <v>0</v>
      </c>
      <c r="I2198" s="141">
        <f t="shared" si="173"/>
        <v>0</v>
      </c>
      <c r="J2198">
        <f t="shared" si="174"/>
        <v>0</v>
      </c>
      <c r="K2198" s="141">
        <f t="shared" si="175"/>
        <v>0</v>
      </c>
    </row>
    <row r="2199" spans="7:11" hidden="1" x14ac:dyDescent="0.25">
      <c r="G2199">
        <f t="shared" si="171"/>
        <v>0</v>
      </c>
      <c r="H2199">
        <f t="shared" si="172"/>
        <v>0</v>
      </c>
      <c r="I2199" s="141">
        <f t="shared" si="173"/>
        <v>0</v>
      </c>
      <c r="J2199">
        <f t="shared" si="174"/>
        <v>0</v>
      </c>
      <c r="K2199" s="141">
        <f t="shared" si="175"/>
        <v>0</v>
      </c>
    </row>
    <row r="2200" spans="7:11" hidden="1" x14ac:dyDescent="0.25">
      <c r="G2200">
        <f t="shared" si="171"/>
        <v>0</v>
      </c>
      <c r="H2200">
        <f t="shared" si="172"/>
        <v>0</v>
      </c>
      <c r="I2200" s="141">
        <f t="shared" si="173"/>
        <v>0</v>
      </c>
      <c r="J2200">
        <f t="shared" si="174"/>
        <v>0</v>
      </c>
      <c r="K2200" s="141">
        <f t="shared" si="175"/>
        <v>0</v>
      </c>
    </row>
    <row r="2201" spans="7:11" hidden="1" x14ac:dyDescent="0.25">
      <c r="G2201">
        <f t="shared" si="171"/>
        <v>0</v>
      </c>
      <c r="H2201">
        <f t="shared" si="172"/>
        <v>0</v>
      </c>
      <c r="I2201" s="141">
        <f t="shared" si="173"/>
        <v>0</v>
      </c>
      <c r="J2201">
        <f t="shared" si="174"/>
        <v>0</v>
      </c>
      <c r="K2201" s="141">
        <f t="shared" si="175"/>
        <v>0</v>
      </c>
    </row>
    <row r="2202" spans="7:11" hidden="1" x14ac:dyDescent="0.25">
      <c r="G2202">
        <f t="shared" si="171"/>
        <v>0</v>
      </c>
      <c r="H2202">
        <f t="shared" si="172"/>
        <v>0</v>
      </c>
      <c r="I2202" s="141">
        <f t="shared" si="173"/>
        <v>0</v>
      </c>
      <c r="J2202">
        <f t="shared" si="174"/>
        <v>0</v>
      </c>
      <c r="K2202" s="141">
        <f t="shared" si="175"/>
        <v>0</v>
      </c>
    </row>
    <row r="2203" spans="7:11" hidden="1" x14ac:dyDescent="0.25">
      <c r="G2203">
        <f t="shared" si="171"/>
        <v>0</v>
      </c>
      <c r="H2203">
        <f t="shared" si="172"/>
        <v>0</v>
      </c>
      <c r="I2203" s="141">
        <f t="shared" si="173"/>
        <v>0</v>
      </c>
      <c r="J2203">
        <f t="shared" si="174"/>
        <v>0</v>
      </c>
      <c r="K2203" s="141">
        <f t="shared" si="175"/>
        <v>0</v>
      </c>
    </row>
    <row r="2204" spans="7:11" hidden="1" x14ac:dyDescent="0.25">
      <c r="G2204">
        <f t="shared" si="171"/>
        <v>0</v>
      </c>
      <c r="H2204">
        <f t="shared" si="172"/>
        <v>0</v>
      </c>
      <c r="I2204" s="141">
        <f t="shared" si="173"/>
        <v>0</v>
      </c>
      <c r="J2204">
        <f t="shared" si="174"/>
        <v>0</v>
      </c>
      <c r="K2204" s="141">
        <f t="shared" si="175"/>
        <v>0</v>
      </c>
    </row>
    <row r="2205" spans="7:11" hidden="1" x14ac:dyDescent="0.25">
      <c r="G2205">
        <f t="shared" si="171"/>
        <v>0</v>
      </c>
      <c r="H2205">
        <f t="shared" si="172"/>
        <v>0</v>
      </c>
      <c r="I2205" s="141">
        <f t="shared" si="173"/>
        <v>0</v>
      </c>
      <c r="J2205">
        <f t="shared" si="174"/>
        <v>0</v>
      </c>
      <c r="K2205" s="141">
        <f t="shared" si="175"/>
        <v>0</v>
      </c>
    </row>
    <row r="2206" spans="7:11" hidden="1" x14ac:dyDescent="0.25">
      <c r="G2206">
        <f t="shared" si="171"/>
        <v>0</v>
      </c>
      <c r="H2206">
        <f t="shared" si="172"/>
        <v>0</v>
      </c>
      <c r="I2206" s="141">
        <f t="shared" si="173"/>
        <v>0</v>
      </c>
      <c r="J2206">
        <f t="shared" si="174"/>
        <v>0</v>
      </c>
      <c r="K2206" s="141">
        <f t="shared" si="175"/>
        <v>0</v>
      </c>
    </row>
    <row r="2207" spans="7:11" hidden="1" x14ac:dyDescent="0.25">
      <c r="G2207">
        <f t="shared" si="171"/>
        <v>0</v>
      </c>
      <c r="H2207">
        <f t="shared" si="172"/>
        <v>0</v>
      </c>
      <c r="I2207" s="141">
        <f t="shared" si="173"/>
        <v>0</v>
      </c>
      <c r="J2207">
        <f t="shared" si="174"/>
        <v>0</v>
      </c>
      <c r="K2207" s="141">
        <f t="shared" si="175"/>
        <v>0</v>
      </c>
    </row>
    <row r="2208" spans="7:11" hidden="1" x14ac:dyDescent="0.25">
      <c r="G2208">
        <f t="shared" si="171"/>
        <v>0</v>
      </c>
      <c r="H2208">
        <f t="shared" si="172"/>
        <v>0</v>
      </c>
      <c r="I2208" s="141">
        <f t="shared" si="173"/>
        <v>0</v>
      </c>
      <c r="J2208">
        <f t="shared" si="174"/>
        <v>0</v>
      </c>
      <c r="K2208" s="141">
        <f t="shared" si="175"/>
        <v>0</v>
      </c>
    </row>
    <row r="2209" spans="7:11" hidden="1" x14ac:dyDescent="0.25">
      <c r="G2209">
        <f t="shared" si="171"/>
        <v>0</v>
      </c>
      <c r="H2209">
        <f t="shared" si="172"/>
        <v>0</v>
      </c>
      <c r="I2209" s="141">
        <f t="shared" si="173"/>
        <v>0</v>
      </c>
      <c r="J2209">
        <f t="shared" si="174"/>
        <v>0</v>
      </c>
      <c r="K2209" s="141">
        <f t="shared" si="175"/>
        <v>0</v>
      </c>
    </row>
    <row r="2210" spans="7:11" hidden="1" x14ac:dyDescent="0.25">
      <c r="G2210">
        <f t="shared" si="171"/>
        <v>0</v>
      </c>
      <c r="H2210">
        <f t="shared" si="172"/>
        <v>0</v>
      </c>
      <c r="I2210" s="141">
        <f t="shared" si="173"/>
        <v>0</v>
      </c>
      <c r="J2210">
        <f t="shared" si="174"/>
        <v>0</v>
      </c>
      <c r="K2210" s="141">
        <f t="shared" si="175"/>
        <v>0</v>
      </c>
    </row>
    <row r="2211" spans="7:11" hidden="1" x14ac:dyDescent="0.25">
      <c r="G2211">
        <f t="shared" si="171"/>
        <v>0</v>
      </c>
      <c r="H2211">
        <f t="shared" si="172"/>
        <v>0</v>
      </c>
      <c r="I2211" s="141">
        <f t="shared" si="173"/>
        <v>0</v>
      </c>
      <c r="J2211">
        <f t="shared" si="174"/>
        <v>0</v>
      </c>
      <c r="K2211" s="141">
        <f t="shared" si="175"/>
        <v>0</v>
      </c>
    </row>
    <row r="2212" spans="7:11" hidden="1" x14ac:dyDescent="0.25">
      <c r="G2212">
        <f t="shared" si="171"/>
        <v>0</v>
      </c>
      <c r="H2212">
        <f t="shared" si="172"/>
        <v>0</v>
      </c>
      <c r="I2212" s="141">
        <f t="shared" si="173"/>
        <v>0</v>
      </c>
      <c r="J2212">
        <f t="shared" si="174"/>
        <v>0</v>
      </c>
      <c r="K2212" s="141">
        <f t="shared" si="175"/>
        <v>0</v>
      </c>
    </row>
    <row r="2213" spans="7:11" hidden="1" x14ac:dyDescent="0.25">
      <c r="G2213">
        <f t="shared" si="171"/>
        <v>0</v>
      </c>
      <c r="H2213">
        <f t="shared" si="172"/>
        <v>0</v>
      </c>
      <c r="I2213" s="141">
        <f t="shared" si="173"/>
        <v>0</v>
      </c>
      <c r="J2213">
        <f t="shared" si="174"/>
        <v>0</v>
      </c>
      <c r="K2213" s="141">
        <f t="shared" si="175"/>
        <v>0</v>
      </c>
    </row>
    <row r="2214" spans="7:11" hidden="1" x14ac:dyDescent="0.25">
      <c r="G2214">
        <f t="shared" si="171"/>
        <v>0</v>
      </c>
      <c r="H2214">
        <f t="shared" si="172"/>
        <v>0</v>
      </c>
      <c r="I2214" s="141">
        <f t="shared" si="173"/>
        <v>0</v>
      </c>
      <c r="J2214">
        <f t="shared" si="174"/>
        <v>0</v>
      </c>
      <c r="K2214" s="141">
        <f t="shared" si="175"/>
        <v>0</v>
      </c>
    </row>
    <row r="2215" spans="7:11" hidden="1" x14ac:dyDescent="0.25">
      <c r="G2215">
        <f t="shared" si="171"/>
        <v>0</v>
      </c>
      <c r="H2215">
        <f t="shared" si="172"/>
        <v>0</v>
      </c>
      <c r="I2215" s="141">
        <f t="shared" si="173"/>
        <v>0</v>
      </c>
      <c r="J2215">
        <f t="shared" si="174"/>
        <v>0</v>
      </c>
      <c r="K2215" s="141">
        <f t="shared" si="175"/>
        <v>0</v>
      </c>
    </row>
    <row r="2216" spans="7:11" hidden="1" x14ac:dyDescent="0.25">
      <c r="G2216">
        <f t="shared" si="171"/>
        <v>0</v>
      </c>
      <c r="H2216">
        <f t="shared" si="172"/>
        <v>0</v>
      </c>
      <c r="I2216" s="141">
        <f t="shared" si="173"/>
        <v>0</v>
      </c>
      <c r="J2216">
        <f t="shared" si="174"/>
        <v>0</v>
      </c>
      <c r="K2216" s="141">
        <f t="shared" si="175"/>
        <v>0</v>
      </c>
    </row>
    <row r="2217" spans="7:11" hidden="1" x14ac:dyDescent="0.25">
      <c r="G2217">
        <f t="shared" si="171"/>
        <v>0</v>
      </c>
      <c r="H2217">
        <f t="shared" si="172"/>
        <v>0</v>
      </c>
      <c r="I2217" s="141">
        <f t="shared" si="173"/>
        <v>0</v>
      </c>
      <c r="J2217">
        <f t="shared" si="174"/>
        <v>0</v>
      </c>
      <c r="K2217" s="141">
        <f t="shared" si="175"/>
        <v>0</v>
      </c>
    </row>
    <row r="2218" spans="7:11" hidden="1" x14ac:dyDescent="0.25">
      <c r="G2218">
        <f t="shared" si="171"/>
        <v>0</v>
      </c>
      <c r="H2218">
        <f t="shared" si="172"/>
        <v>0</v>
      </c>
      <c r="I2218" s="141">
        <f t="shared" si="173"/>
        <v>0</v>
      </c>
      <c r="J2218">
        <f t="shared" si="174"/>
        <v>0</v>
      </c>
      <c r="K2218" s="141">
        <f t="shared" si="175"/>
        <v>0</v>
      </c>
    </row>
    <row r="2219" spans="7:11" hidden="1" x14ac:dyDescent="0.25">
      <c r="G2219">
        <f t="shared" si="171"/>
        <v>0</v>
      </c>
      <c r="H2219">
        <f t="shared" si="172"/>
        <v>0</v>
      </c>
      <c r="I2219" s="141">
        <f t="shared" si="173"/>
        <v>0</v>
      </c>
      <c r="J2219">
        <f t="shared" si="174"/>
        <v>0</v>
      </c>
      <c r="K2219" s="141">
        <f t="shared" si="175"/>
        <v>0</v>
      </c>
    </row>
    <row r="2220" spans="7:11" hidden="1" x14ac:dyDescent="0.25">
      <c r="G2220">
        <f t="shared" si="171"/>
        <v>0</v>
      </c>
      <c r="H2220">
        <f t="shared" si="172"/>
        <v>0</v>
      </c>
      <c r="I2220" s="141">
        <f t="shared" si="173"/>
        <v>0</v>
      </c>
      <c r="J2220">
        <f t="shared" si="174"/>
        <v>0</v>
      </c>
      <c r="K2220" s="141">
        <f t="shared" si="175"/>
        <v>0</v>
      </c>
    </row>
    <row r="2221" spans="7:11" hidden="1" x14ac:dyDescent="0.25">
      <c r="G2221">
        <f t="shared" si="171"/>
        <v>0</v>
      </c>
      <c r="H2221">
        <f t="shared" si="172"/>
        <v>0</v>
      </c>
      <c r="I2221" s="141">
        <f t="shared" si="173"/>
        <v>0</v>
      </c>
      <c r="J2221">
        <f t="shared" si="174"/>
        <v>0</v>
      </c>
      <c r="K2221" s="141">
        <f t="shared" si="175"/>
        <v>0</v>
      </c>
    </row>
    <row r="2222" spans="7:11" hidden="1" x14ac:dyDescent="0.25">
      <c r="G2222">
        <f t="shared" si="171"/>
        <v>0</v>
      </c>
      <c r="H2222">
        <f t="shared" si="172"/>
        <v>0</v>
      </c>
      <c r="I2222" s="141">
        <f t="shared" si="173"/>
        <v>0</v>
      </c>
      <c r="J2222">
        <f t="shared" si="174"/>
        <v>0</v>
      </c>
      <c r="K2222" s="141">
        <f t="shared" si="175"/>
        <v>0</v>
      </c>
    </row>
    <row r="2223" spans="7:11" hidden="1" x14ac:dyDescent="0.25">
      <c r="G2223">
        <f t="shared" si="171"/>
        <v>0</v>
      </c>
      <c r="H2223">
        <f t="shared" si="172"/>
        <v>0</v>
      </c>
      <c r="I2223" s="141">
        <f t="shared" si="173"/>
        <v>0</v>
      </c>
      <c r="J2223">
        <f t="shared" si="174"/>
        <v>0</v>
      </c>
      <c r="K2223" s="141">
        <f t="shared" si="175"/>
        <v>0</v>
      </c>
    </row>
    <row r="2224" spans="7:11" hidden="1" x14ac:dyDescent="0.25">
      <c r="G2224">
        <f t="shared" si="171"/>
        <v>0</v>
      </c>
      <c r="H2224">
        <f t="shared" si="172"/>
        <v>0</v>
      </c>
      <c r="I2224" s="141">
        <f t="shared" si="173"/>
        <v>0</v>
      </c>
      <c r="J2224">
        <f t="shared" si="174"/>
        <v>0</v>
      </c>
      <c r="K2224" s="141">
        <f t="shared" si="175"/>
        <v>0</v>
      </c>
    </row>
    <row r="2225" spans="7:11" hidden="1" x14ac:dyDescent="0.25">
      <c r="G2225">
        <f t="shared" si="171"/>
        <v>0</v>
      </c>
      <c r="H2225">
        <f t="shared" si="172"/>
        <v>0</v>
      </c>
      <c r="I2225" s="141">
        <f t="shared" si="173"/>
        <v>0</v>
      </c>
      <c r="J2225">
        <f t="shared" si="174"/>
        <v>0</v>
      </c>
      <c r="K2225" s="141">
        <f t="shared" si="175"/>
        <v>0</v>
      </c>
    </row>
    <row r="2226" spans="7:11" hidden="1" x14ac:dyDescent="0.25">
      <c r="G2226">
        <f t="shared" si="171"/>
        <v>0</v>
      </c>
      <c r="H2226">
        <f t="shared" si="172"/>
        <v>0</v>
      </c>
      <c r="I2226" s="141">
        <f t="shared" si="173"/>
        <v>0</v>
      </c>
      <c r="J2226">
        <f t="shared" si="174"/>
        <v>0</v>
      </c>
      <c r="K2226" s="141">
        <f t="shared" si="175"/>
        <v>0</v>
      </c>
    </row>
    <row r="2227" spans="7:11" hidden="1" x14ac:dyDescent="0.25">
      <c r="G2227">
        <f t="shared" si="171"/>
        <v>0</v>
      </c>
      <c r="H2227">
        <f t="shared" si="172"/>
        <v>0</v>
      </c>
      <c r="I2227" s="141">
        <f t="shared" si="173"/>
        <v>0</v>
      </c>
      <c r="J2227">
        <f t="shared" si="174"/>
        <v>0</v>
      </c>
      <c r="K2227" s="141">
        <f t="shared" si="175"/>
        <v>0</v>
      </c>
    </row>
    <row r="2228" spans="7:11" hidden="1" x14ac:dyDescent="0.25">
      <c r="G2228">
        <f t="shared" si="171"/>
        <v>0</v>
      </c>
      <c r="H2228">
        <f t="shared" si="172"/>
        <v>0</v>
      </c>
      <c r="I2228" s="141">
        <f t="shared" si="173"/>
        <v>0</v>
      </c>
      <c r="J2228">
        <f t="shared" si="174"/>
        <v>0</v>
      </c>
      <c r="K2228" s="141">
        <f t="shared" si="175"/>
        <v>0</v>
      </c>
    </row>
    <row r="2229" spans="7:11" hidden="1" x14ac:dyDescent="0.25">
      <c r="G2229">
        <f t="shared" si="171"/>
        <v>0</v>
      </c>
      <c r="H2229">
        <f t="shared" si="172"/>
        <v>0</v>
      </c>
      <c r="I2229" s="141">
        <f t="shared" si="173"/>
        <v>0</v>
      </c>
      <c r="J2229">
        <f t="shared" si="174"/>
        <v>0</v>
      </c>
      <c r="K2229" s="141">
        <f t="shared" si="175"/>
        <v>0</v>
      </c>
    </row>
    <row r="2230" spans="7:11" hidden="1" x14ac:dyDescent="0.25">
      <c r="G2230">
        <f t="shared" si="171"/>
        <v>0</v>
      </c>
      <c r="H2230">
        <f t="shared" si="172"/>
        <v>0</v>
      </c>
      <c r="I2230" s="141">
        <f t="shared" si="173"/>
        <v>0</v>
      </c>
      <c r="J2230">
        <f t="shared" si="174"/>
        <v>0</v>
      </c>
      <c r="K2230" s="141">
        <f t="shared" si="175"/>
        <v>0</v>
      </c>
    </row>
    <row r="2231" spans="7:11" hidden="1" x14ac:dyDescent="0.25">
      <c r="G2231">
        <f t="shared" si="171"/>
        <v>0</v>
      </c>
      <c r="H2231">
        <f t="shared" si="172"/>
        <v>0</v>
      </c>
      <c r="I2231" s="141">
        <f t="shared" si="173"/>
        <v>0</v>
      </c>
      <c r="J2231">
        <f t="shared" si="174"/>
        <v>0</v>
      </c>
      <c r="K2231" s="141">
        <f t="shared" si="175"/>
        <v>0</v>
      </c>
    </row>
    <row r="2232" spans="7:11" hidden="1" x14ac:dyDescent="0.25">
      <c r="G2232">
        <f t="shared" si="171"/>
        <v>0</v>
      </c>
      <c r="H2232">
        <f t="shared" si="172"/>
        <v>0</v>
      </c>
      <c r="I2232" s="141">
        <f t="shared" si="173"/>
        <v>0</v>
      </c>
      <c r="J2232">
        <f t="shared" si="174"/>
        <v>0</v>
      </c>
      <c r="K2232" s="141">
        <f t="shared" si="175"/>
        <v>0</v>
      </c>
    </row>
    <row r="2233" spans="7:11" hidden="1" x14ac:dyDescent="0.25">
      <c r="G2233">
        <f t="shared" si="171"/>
        <v>0</v>
      </c>
      <c r="H2233">
        <f t="shared" si="172"/>
        <v>0</v>
      </c>
      <c r="I2233" s="141">
        <f t="shared" si="173"/>
        <v>0</v>
      </c>
      <c r="J2233">
        <f t="shared" si="174"/>
        <v>0</v>
      </c>
      <c r="K2233" s="141">
        <f t="shared" si="175"/>
        <v>0</v>
      </c>
    </row>
    <row r="2234" spans="7:11" hidden="1" x14ac:dyDescent="0.25">
      <c r="G2234">
        <f t="shared" si="171"/>
        <v>0</v>
      </c>
      <c r="H2234">
        <f t="shared" si="172"/>
        <v>0</v>
      </c>
      <c r="I2234" s="141">
        <f t="shared" si="173"/>
        <v>0</v>
      </c>
      <c r="J2234">
        <f t="shared" si="174"/>
        <v>0</v>
      </c>
      <c r="K2234" s="141">
        <f t="shared" si="175"/>
        <v>0</v>
      </c>
    </row>
    <row r="2235" spans="7:11" hidden="1" x14ac:dyDescent="0.25">
      <c r="G2235">
        <f t="shared" si="171"/>
        <v>0</v>
      </c>
      <c r="H2235">
        <f t="shared" si="172"/>
        <v>0</v>
      </c>
      <c r="I2235" s="141">
        <f t="shared" si="173"/>
        <v>0</v>
      </c>
      <c r="J2235">
        <f t="shared" si="174"/>
        <v>0</v>
      </c>
      <c r="K2235" s="141">
        <f t="shared" si="175"/>
        <v>0</v>
      </c>
    </row>
    <row r="2236" spans="7:11" hidden="1" x14ac:dyDescent="0.25">
      <c r="G2236">
        <f t="shared" si="171"/>
        <v>0</v>
      </c>
      <c r="H2236">
        <f t="shared" si="172"/>
        <v>0</v>
      </c>
      <c r="I2236" s="141">
        <f t="shared" si="173"/>
        <v>0</v>
      </c>
      <c r="J2236">
        <f t="shared" si="174"/>
        <v>0</v>
      </c>
      <c r="K2236" s="141">
        <f t="shared" si="175"/>
        <v>0</v>
      </c>
    </row>
    <row r="2237" spans="7:11" hidden="1" x14ac:dyDescent="0.25">
      <c r="G2237">
        <f t="shared" si="171"/>
        <v>0</v>
      </c>
      <c r="H2237">
        <f t="shared" si="172"/>
        <v>0</v>
      </c>
      <c r="I2237" s="141">
        <f t="shared" si="173"/>
        <v>0</v>
      </c>
      <c r="J2237">
        <f t="shared" si="174"/>
        <v>0</v>
      </c>
      <c r="K2237" s="141">
        <f t="shared" si="175"/>
        <v>0</v>
      </c>
    </row>
    <row r="2238" spans="7:11" hidden="1" x14ac:dyDescent="0.25">
      <c r="G2238">
        <f t="shared" si="171"/>
        <v>0</v>
      </c>
      <c r="H2238">
        <f t="shared" si="172"/>
        <v>0</v>
      </c>
      <c r="I2238" s="141">
        <f t="shared" si="173"/>
        <v>0</v>
      </c>
      <c r="J2238">
        <f t="shared" si="174"/>
        <v>0</v>
      </c>
      <c r="K2238" s="141">
        <f t="shared" si="175"/>
        <v>0</v>
      </c>
    </row>
    <row r="2239" spans="7:11" hidden="1" x14ac:dyDescent="0.25">
      <c r="G2239">
        <f t="shared" si="171"/>
        <v>0</v>
      </c>
      <c r="H2239">
        <f t="shared" si="172"/>
        <v>0</v>
      </c>
      <c r="I2239" s="141">
        <f t="shared" si="173"/>
        <v>0</v>
      </c>
      <c r="J2239">
        <f t="shared" si="174"/>
        <v>0</v>
      </c>
      <c r="K2239" s="141">
        <f t="shared" si="175"/>
        <v>0</v>
      </c>
    </row>
    <row r="2240" spans="7:11" hidden="1" x14ac:dyDescent="0.25">
      <c r="G2240">
        <f t="shared" si="171"/>
        <v>0</v>
      </c>
      <c r="H2240">
        <f t="shared" si="172"/>
        <v>0</v>
      </c>
      <c r="I2240" s="141">
        <f t="shared" si="173"/>
        <v>0</v>
      </c>
      <c r="J2240">
        <f t="shared" si="174"/>
        <v>0</v>
      </c>
      <c r="K2240" s="141">
        <f t="shared" si="175"/>
        <v>0</v>
      </c>
    </row>
    <row r="2241" spans="7:11" hidden="1" x14ac:dyDescent="0.25">
      <c r="G2241">
        <f t="shared" si="171"/>
        <v>0</v>
      </c>
      <c r="H2241">
        <f t="shared" si="172"/>
        <v>0</v>
      </c>
      <c r="I2241" s="141">
        <f t="shared" si="173"/>
        <v>0</v>
      </c>
      <c r="J2241">
        <f t="shared" si="174"/>
        <v>0</v>
      </c>
      <c r="K2241" s="141">
        <f t="shared" si="175"/>
        <v>0</v>
      </c>
    </row>
    <row r="2242" spans="7:11" hidden="1" x14ac:dyDescent="0.25">
      <c r="G2242">
        <f t="shared" ref="G2242:G2305" si="176">A2242</f>
        <v>0</v>
      </c>
      <c r="H2242">
        <f t="shared" ref="H2242:H2305" si="177">B2242</f>
        <v>0</v>
      </c>
      <c r="I2242" s="141">
        <f t="shared" ref="I2242:I2305" si="178">C2242</f>
        <v>0</v>
      </c>
      <c r="J2242">
        <f t="shared" ref="J2242:J2305" si="179">D2242</f>
        <v>0</v>
      </c>
      <c r="K2242" s="141">
        <f t="shared" ref="K2242:K2305" si="180">E2242</f>
        <v>0</v>
      </c>
    </row>
    <row r="2243" spans="7:11" hidden="1" x14ac:dyDescent="0.25">
      <c r="G2243">
        <f t="shared" si="176"/>
        <v>0</v>
      </c>
      <c r="H2243">
        <f t="shared" si="177"/>
        <v>0</v>
      </c>
      <c r="I2243" s="141">
        <f t="shared" si="178"/>
        <v>0</v>
      </c>
      <c r="J2243">
        <f t="shared" si="179"/>
        <v>0</v>
      </c>
      <c r="K2243" s="141">
        <f t="shared" si="180"/>
        <v>0</v>
      </c>
    </row>
    <row r="2244" spans="7:11" hidden="1" x14ac:dyDescent="0.25">
      <c r="G2244">
        <f t="shared" si="176"/>
        <v>0</v>
      </c>
      <c r="H2244">
        <f t="shared" si="177"/>
        <v>0</v>
      </c>
      <c r="I2244" s="141">
        <f t="shared" si="178"/>
        <v>0</v>
      </c>
      <c r="J2244">
        <f t="shared" si="179"/>
        <v>0</v>
      </c>
      <c r="K2244" s="141">
        <f t="shared" si="180"/>
        <v>0</v>
      </c>
    </row>
    <row r="2245" spans="7:11" hidden="1" x14ac:dyDescent="0.25">
      <c r="G2245">
        <f t="shared" si="176"/>
        <v>0</v>
      </c>
      <c r="H2245">
        <f t="shared" si="177"/>
        <v>0</v>
      </c>
      <c r="I2245" s="141">
        <f t="shared" si="178"/>
        <v>0</v>
      </c>
      <c r="J2245">
        <f t="shared" si="179"/>
        <v>0</v>
      </c>
      <c r="K2245" s="141">
        <f t="shared" si="180"/>
        <v>0</v>
      </c>
    </row>
    <row r="2246" spans="7:11" hidden="1" x14ac:dyDescent="0.25">
      <c r="G2246">
        <f t="shared" si="176"/>
        <v>0</v>
      </c>
      <c r="H2246">
        <f t="shared" si="177"/>
        <v>0</v>
      </c>
      <c r="I2246" s="141">
        <f t="shared" si="178"/>
        <v>0</v>
      </c>
      <c r="J2246">
        <f t="shared" si="179"/>
        <v>0</v>
      </c>
      <c r="K2246" s="141">
        <f t="shared" si="180"/>
        <v>0</v>
      </c>
    </row>
    <row r="2247" spans="7:11" hidden="1" x14ac:dyDescent="0.25">
      <c r="G2247">
        <f t="shared" si="176"/>
        <v>0</v>
      </c>
      <c r="H2247">
        <f t="shared" si="177"/>
        <v>0</v>
      </c>
      <c r="I2247" s="141">
        <f t="shared" si="178"/>
        <v>0</v>
      </c>
      <c r="J2247">
        <f t="shared" si="179"/>
        <v>0</v>
      </c>
      <c r="K2247" s="141">
        <f t="shared" si="180"/>
        <v>0</v>
      </c>
    </row>
    <row r="2248" spans="7:11" hidden="1" x14ac:dyDescent="0.25">
      <c r="G2248">
        <f t="shared" si="176"/>
        <v>0</v>
      </c>
      <c r="H2248">
        <f t="shared" si="177"/>
        <v>0</v>
      </c>
      <c r="I2248" s="141">
        <f t="shared" si="178"/>
        <v>0</v>
      </c>
      <c r="J2248">
        <f t="shared" si="179"/>
        <v>0</v>
      </c>
      <c r="K2248" s="141">
        <f t="shared" si="180"/>
        <v>0</v>
      </c>
    </row>
    <row r="2249" spans="7:11" hidden="1" x14ac:dyDescent="0.25">
      <c r="G2249">
        <f t="shared" si="176"/>
        <v>0</v>
      </c>
      <c r="H2249">
        <f t="shared" si="177"/>
        <v>0</v>
      </c>
      <c r="I2249" s="141">
        <f t="shared" si="178"/>
        <v>0</v>
      </c>
      <c r="J2249">
        <f t="shared" si="179"/>
        <v>0</v>
      </c>
      <c r="K2249" s="141">
        <f t="shared" si="180"/>
        <v>0</v>
      </c>
    </row>
    <row r="2250" spans="7:11" hidden="1" x14ac:dyDescent="0.25">
      <c r="G2250">
        <f t="shared" si="176"/>
        <v>0</v>
      </c>
      <c r="H2250">
        <f t="shared" si="177"/>
        <v>0</v>
      </c>
      <c r="I2250" s="141">
        <f t="shared" si="178"/>
        <v>0</v>
      </c>
      <c r="J2250">
        <f t="shared" si="179"/>
        <v>0</v>
      </c>
      <c r="K2250" s="141">
        <f t="shared" si="180"/>
        <v>0</v>
      </c>
    </row>
    <row r="2251" spans="7:11" hidden="1" x14ac:dyDescent="0.25">
      <c r="G2251">
        <f t="shared" si="176"/>
        <v>0</v>
      </c>
      <c r="H2251">
        <f t="shared" si="177"/>
        <v>0</v>
      </c>
      <c r="I2251" s="141">
        <f t="shared" si="178"/>
        <v>0</v>
      </c>
      <c r="J2251">
        <f t="shared" si="179"/>
        <v>0</v>
      </c>
      <c r="K2251" s="141">
        <f t="shared" si="180"/>
        <v>0</v>
      </c>
    </row>
    <row r="2252" spans="7:11" hidden="1" x14ac:dyDescent="0.25">
      <c r="G2252">
        <f t="shared" si="176"/>
        <v>0</v>
      </c>
      <c r="H2252">
        <f t="shared" si="177"/>
        <v>0</v>
      </c>
      <c r="I2252" s="141">
        <f t="shared" si="178"/>
        <v>0</v>
      </c>
      <c r="J2252">
        <f t="shared" si="179"/>
        <v>0</v>
      </c>
      <c r="K2252" s="141">
        <f t="shared" si="180"/>
        <v>0</v>
      </c>
    </row>
    <row r="2253" spans="7:11" hidden="1" x14ac:dyDescent="0.25">
      <c r="G2253">
        <f t="shared" si="176"/>
        <v>0</v>
      </c>
      <c r="H2253">
        <f t="shared" si="177"/>
        <v>0</v>
      </c>
      <c r="I2253" s="141">
        <f t="shared" si="178"/>
        <v>0</v>
      </c>
      <c r="J2253">
        <f t="shared" si="179"/>
        <v>0</v>
      </c>
      <c r="K2253" s="141">
        <f t="shared" si="180"/>
        <v>0</v>
      </c>
    </row>
    <row r="2254" spans="7:11" hidden="1" x14ac:dyDescent="0.25">
      <c r="G2254">
        <f t="shared" si="176"/>
        <v>0</v>
      </c>
      <c r="H2254">
        <f t="shared" si="177"/>
        <v>0</v>
      </c>
      <c r="I2254" s="141">
        <f t="shared" si="178"/>
        <v>0</v>
      </c>
      <c r="J2254">
        <f t="shared" si="179"/>
        <v>0</v>
      </c>
      <c r="K2254" s="141">
        <f t="shared" si="180"/>
        <v>0</v>
      </c>
    </row>
    <row r="2255" spans="7:11" hidden="1" x14ac:dyDescent="0.25">
      <c r="G2255">
        <f t="shared" si="176"/>
        <v>0</v>
      </c>
      <c r="H2255">
        <f t="shared" si="177"/>
        <v>0</v>
      </c>
      <c r="I2255" s="141">
        <f t="shared" si="178"/>
        <v>0</v>
      </c>
      <c r="J2255">
        <f t="shared" si="179"/>
        <v>0</v>
      </c>
      <c r="K2255" s="141">
        <f t="shared" si="180"/>
        <v>0</v>
      </c>
    </row>
    <row r="2256" spans="7:11" hidden="1" x14ac:dyDescent="0.25">
      <c r="G2256">
        <f t="shared" si="176"/>
        <v>0</v>
      </c>
      <c r="H2256">
        <f t="shared" si="177"/>
        <v>0</v>
      </c>
      <c r="I2256" s="141">
        <f t="shared" si="178"/>
        <v>0</v>
      </c>
      <c r="J2256">
        <f t="shared" si="179"/>
        <v>0</v>
      </c>
      <c r="K2256" s="141">
        <f t="shared" si="180"/>
        <v>0</v>
      </c>
    </row>
    <row r="2257" spans="7:11" hidden="1" x14ac:dyDescent="0.25">
      <c r="G2257">
        <f t="shared" si="176"/>
        <v>0</v>
      </c>
      <c r="H2257">
        <f t="shared" si="177"/>
        <v>0</v>
      </c>
      <c r="I2257" s="141">
        <f t="shared" si="178"/>
        <v>0</v>
      </c>
      <c r="J2257">
        <f t="shared" si="179"/>
        <v>0</v>
      </c>
      <c r="K2257" s="141">
        <f t="shared" si="180"/>
        <v>0</v>
      </c>
    </row>
    <row r="2258" spans="7:11" hidden="1" x14ac:dyDescent="0.25">
      <c r="G2258">
        <f t="shared" si="176"/>
        <v>0</v>
      </c>
      <c r="H2258">
        <f t="shared" si="177"/>
        <v>0</v>
      </c>
      <c r="I2258" s="141">
        <f t="shared" si="178"/>
        <v>0</v>
      </c>
      <c r="J2258">
        <f t="shared" si="179"/>
        <v>0</v>
      </c>
      <c r="K2258" s="141">
        <f t="shared" si="180"/>
        <v>0</v>
      </c>
    </row>
    <row r="2259" spans="7:11" hidden="1" x14ac:dyDescent="0.25">
      <c r="G2259">
        <f t="shared" si="176"/>
        <v>0</v>
      </c>
      <c r="H2259">
        <f t="shared" si="177"/>
        <v>0</v>
      </c>
      <c r="I2259" s="141">
        <f t="shared" si="178"/>
        <v>0</v>
      </c>
      <c r="J2259">
        <f t="shared" si="179"/>
        <v>0</v>
      </c>
      <c r="K2259" s="141">
        <f t="shared" si="180"/>
        <v>0</v>
      </c>
    </row>
    <row r="2260" spans="7:11" hidden="1" x14ac:dyDescent="0.25">
      <c r="G2260">
        <f t="shared" si="176"/>
        <v>0</v>
      </c>
      <c r="H2260">
        <f t="shared" si="177"/>
        <v>0</v>
      </c>
      <c r="I2260" s="141">
        <f t="shared" si="178"/>
        <v>0</v>
      </c>
      <c r="J2260">
        <f t="shared" si="179"/>
        <v>0</v>
      </c>
      <c r="K2260" s="141">
        <f t="shared" si="180"/>
        <v>0</v>
      </c>
    </row>
    <row r="2261" spans="7:11" hidden="1" x14ac:dyDescent="0.25">
      <c r="G2261">
        <f t="shared" si="176"/>
        <v>0</v>
      </c>
      <c r="H2261">
        <f t="shared" si="177"/>
        <v>0</v>
      </c>
      <c r="I2261" s="141">
        <f t="shared" si="178"/>
        <v>0</v>
      </c>
      <c r="J2261">
        <f t="shared" si="179"/>
        <v>0</v>
      </c>
      <c r="K2261" s="141">
        <f t="shared" si="180"/>
        <v>0</v>
      </c>
    </row>
    <row r="2262" spans="7:11" hidden="1" x14ac:dyDescent="0.25">
      <c r="G2262">
        <f t="shared" si="176"/>
        <v>0</v>
      </c>
      <c r="H2262">
        <f t="shared" si="177"/>
        <v>0</v>
      </c>
      <c r="I2262" s="141">
        <f t="shared" si="178"/>
        <v>0</v>
      </c>
      <c r="J2262">
        <f t="shared" si="179"/>
        <v>0</v>
      </c>
      <c r="K2262" s="141">
        <f t="shared" si="180"/>
        <v>0</v>
      </c>
    </row>
    <row r="2263" spans="7:11" hidden="1" x14ac:dyDescent="0.25">
      <c r="G2263">
        <f t="shared" si="176"/>
        <v>0</v>
      </c>
      <c r="H2263">
        <f t="shared" si="177"/>
        <v>0</v>
      </c>
      <c r="I2263" s="141">
        <f t="shared" si="178"/>
        <v>0</v>
      </c>
      <c r="J2263">
        <f t="shared" si="179"/>
        <v>0</v>
      </c>
      <c r="K2263" s="141">
        <f t="shared" si="180"/>
        <v>0</v>
      </c>
    </row>
    <row r="2264" spans="7:11" hidden="1" x14ac:dyDescent="0.25">
      <c r="G2264">
        <f t="shared" si="176"/>
        <v>0</v>
      </c>
      <c r="H2264">
        <f t="shared" si="177"/>
        <v>0</v>
      </c>
      <c r="I2264" s="141">
        <f t="shared" si="178"/>
        <v>0</v>
      </c>
      <c r="J2264">
        <f t="shared" si="179"/>
        <v>0</v>
      </c>
      <c r="K2264" s="141">
        <f t="shared" si="180"/>
        <v>0</v>
      </c>
    </row>
    <row r="2265" spans="7:11" hidden="1" x14ac:dyDescent="0.25">
      <c r="G2265">
        <f t="shared" si="176"/>
        <v>0</v>
      </c>
      <c r="H2265">
        <f t="shared" si="177"/>
        <v>0</v>
      </c>
      <c r="I2265" s="141">
        <f t="shared" si="178"/>
        <v>0</v>
      </c>
      <c r="J2265">
        <f t="shared" si="179"/>
        <v>0</v>
      </c>
      <c r="K2265" s="141">
        <f t="shared" si="180"/>
        <v>0</v>
      </c>
    </row>
    <row r="2266" spans="7:11" hidden="1" x14ac:dyDescent="0.25">
      <c r="G2266">
        <f t="shared" si="176"/>
        <v>0</v>
      </c>
      <c r="H2266">
        <f t="shared" si="177"/>
        <v>0</v>
      </c>
      <c r="I2266" s="141">
        <f t="shared" si="178"/>
        <v>0</v>
      </c>
      <c r="J2266">
        <f t="shared" si="179"/>
        <v>0</v>
      </c>
      <c r="K2266" s="141">
        <f t="shared" si="180"/>
        <v>0</v>
      </c>
    </row>
    <row r="2267" spans="7:11" hidden="1" x14ac:dyDescent="0.25">
      <c r="G2267">
        <f t="shared" si="176"/>
        <v>0</v>
      </c>
      <c r="H2267">
        <f t="shared" si="177"/>
        <v>0</v>
      </c>
      <c r="I2267" s="141">
        <f t="shared" si="178"/>
        <v>0</v>
      </c>
      <c r="J2267">
        <f t="shared" si="179"/>
        <v>0</v>
      </c>
      <c r="K2267" s="141">
        <f t="shared" si="180"/>
        <v>0</v>
      </c>
    </row>
    <row r="2268" spans="7:11" hidden="1" x14ac:dyDescent="0.25">
      <c r="G2268">
        <f t="shared" si="176"/>
        <v>0</v>
      </c>
      <c r="H2268">
        <f t="shared" si="177"/>
        <v>0</v>
      </c>
      <c r="I2268" s="141">
        <f t="shared" si="178"/>
        <v>0</v>
      </c>
      <c r="J2268">
        <f t="shared" si="179"/>
        <v>0</v>
      </c>
      <c r="K2268" s="141">
        <f t="shared" si="180"/>
        <v>0</v>
      </c>
    </row>
    <row r="2269" spans="7:11" hidden="1" x14ac:dyDescent="0.25">
      <c r="G2269">
        <f t="shared" si="176"/>
        <v>0</v>
      </c>
      <c r="H2269">
        <f t="shared" si="177"/>
        <v>0</v>
      </c>
      <c r="I2269" s="141">
        <f t="shared" si="178"/>
        <v>0</v>
      </c>
      <c r="J2269">
        <f t="shared" si="179"/>
        <v>0</v>
      </c>
      <c r="K2269" s="141">
        <f t="shared" si="180"/>
        <v>0</v>
      </c>
    </row>
    <row r="2270" spans="7:11" hidden="1" x14ac:dyDescent="0.25">
      <c r="G2270">
        <f t="shared" si="176"/>
        <v>0</v>
      </c>
      <c r="H2270">
        <f t="shared" si="177"/>
        <v>0</v>
      </c>
      <c r="I2270" s="141">
        <f t="shared" si="178"/>
        <v>0</v>
      </c>
      <c r="J2270">
        <f t="shared" si="179"/>
        <v>0</v>
      </c>
      <c r="K2270" s="141">
        <f t="shared" si="180"/>
        <v>0</v>
      </c>
    </row>
    <row r="2271" spans="7:11" hidden="1" x14ac:dyDescent="0.25">
      <c r="G2271">
        <f t="shared" si="176"/>
        <v>0</v>
      </c>
      <c r="H2271">
        <f t="shared" si="177"/>
        <v>0</v>
      </c>
      <c r="I2271" s="141">
        <f t="shared" si="178"/>
        <v>0</v>
      </c>
      <c r="J2271">
        <f t="shared" si="179"/>
        <v>0</v>
      </c>
      <c r="K2271" s="141">
        <f t="shared" si="180"/>
        <v>0</v>
      </c>
    </row>
    <row r="2272" spans="7:11" hidden="1" x14ac:dyDescent="0.25">
      <c r="G2272">
        <f t="shared" si="176"/>
        <v>0</v>
      </c>
      <c r="H2272">
        <f t="shared" si="177"/>
        <v>0</v>
      </c>
      <c r="I2272" s="141">
        <f t="shared" si="178"/>
        <v>0</v>
      </c>
      <c r="J2272">
        <f t="shared" si="179"/>
        <v>0</v>
      </c>
      <c r="K2272" s="141">
        <f t="shared" si="180"/>
        <v>0</v>
      </c>
    </row>
    <row r="2273" spans="7:11" hidden="1" x14ac:dyDescent="0.25">
      <c r="G2273">
        <f t="shared" si="176"/>
        <v>0</v>
      </c>
      <c r="H2273">
        <f t="shared" si="177"/>
        <v>0</v>
      </c>
      <c r="I2273" s="141">
        <f t="shared" si="178"/>
        <v>0</v>
      </c>
      <c r="J2273">
        <f t="shared" si="179"/>
        <v>0</v>
      </c>
      <c r="K2273" s="141">
        <f t="shared" si="180"/>
        <v>0</v>
      </c>
    </row>
    <row r="2274" spans="7:11" hidden="1" x14ac:dyDescent="0.25">
      <c r="G2274">
        <f t="shared" si="176"/>
        <v>0</v>
      </c>
      <c r="H2274">
        <f t="shared" si="177"/>
        <v>0</v>
      </c>
      <c r="I2274" s="141">
        <f t="shared" si="178"/>
        <v>0</v>
      </c>
      <c r="J2274">
        <f t="shared" si="179"/>
        <v>0</v>
      </c>
      <c r="K2274" s="141">
        <f t="shared" si="180"/>
        <v>0</v>
      </c>
    </row>
    <row r="2275" spans="7:11" hidden="1" x14ac:dyDescent="0.25">
      <c r="G2275">
        <f t="shared" si="176"/>
        <v>0</v>
      </c>
      <c r="H2275">
        <f t="shared" si="177"/>
        <v>0</v>
      </c>
      <c r="I2275" s="141">
        <f t="shared" si="178"/>
        <v>0</v>
      </c>
      <c r="J2275">
        <f t="shared" si="179"/>
        <v>0</v>
      </c>
      <c r="K2275" s="141">
        <f t="shared" si="180"/>
        <v>0</v>
      </c>
    </row>
    <row r="2276" spans="7:11" hidden="1" x14ac:dyDescent="0.25">
      <c r="G2276">
        <f t="shared" si="176"/>
        <v>0</v>
      </c>
      <c r="H2276">
        <f t="shared" si="177"/>
        <v>0</v>
      </c>
      <c r="I2276" s="141">
        <f t="shared" si="178"/>
        <v>0</v>
      </c>
      <c r="J2276">
        <f t="shared" si="179"/>
        <v>0</v>
      </c>
      <c r="K2276" s="141">
        <f t="shared" si="180"/>
        <v>0</v>
      </c>
    </row>
    <row r="2277" spans="7:11" hidden="1" x14ac:dyDescent="0.25">
      <c r="G2277">
        <f t="shared" si="176"/>
        <v>0</v>
      </c>
      <c r="H2277">
        <f t="shared" si="177"/>
        <v>0</v>
      </c>
      <c r="I2277" s="141">
        <f t="shared" si="178"/>
        <v>0</v>
      </c>
      <c r="J2277">
        <f t="shared" si="179"/>
        <v>0</v>
      </c>
      <c r="K2277" s="141">
        <f t="shared" si="180"/>
        <v>0</v>
      </c>
    </row>
    <row r="2278" spans="7:11" hidden="1" x14ac:dyDescent="0.25">
      <c r="G2278">
        <f t="shared" si="176"/>
        <v>0</v>
      </c>
      <c r="H2278">
        <f t="shared" si="177"/>
        <v>0</v>
      </c>
      <c r="I2278" s="141">
        <f t="shared" si="178"/>
        <v>0</v>
      </c>
      <c r="J2278">
        <f t="shared" si="179"/>
        <v>0</v>
      </c>
      <c r="K2278" s="141">
        <f t="shared" si="180"/>
        <v>0</v>
      </c>
    </row>
    <row r="2279" spans="7:11" hidden="1" x14ac:dyDescent="0.25">
      <c r="G2279">
        <f t="shared" si="176"/>
        <v>0</v>
      </c>
      <c r="H2279">
        <f t="shared" si="177"/>
        <v>0</v>
      </c>
      <c r="I2279" s="141">
        <f t="shared" si="178"/>
        <v>0</v>
      </c>
      <c r="J2279">
        <f t="shared" si="179"/>
        <v>0</v>
      </c>
      <c r="K2279" s="141">
        <f t="shared" si="180"/>
        <v>0</v>
      </c>
    </row>
    <row r="2280" spans="7:11" hidden="1" x14ac:dyDescent="0.25">
      <c r="G2280">
        <f t="shared" si="176"/>
        <v>0</v>
      </c>
      <c r="H2280">
        <f t="shared" si="177"/>
        <v>0</v>
      </c>
      <c r="I2280" s="141">
        <f t="shared" si="178"/>
        <v>0</v>
      </c>
      <c r="J2280">
        <f t="shared" si="179"/>
        <v>0</v>
      </c>
      <c r="K2280" s="141">
        <f t="shared" si="180"/>
        <v>0</v>
      </c>
    </row>
    <row r="2281" spans="7:11" hidden="1" x14ac:dyDescent="0.25">
      <c r="G2281">
        <f t="shared" si="176"/>
        <v>0</v>
      </c>
      <c r="H2281">
        <f t="shared" si="177"/>
        <v>0</v>
      </c>
      <c r="I2281" s="141">
        <f t="shared" si="178"/>
        <v>0</v>
      </c>
      <c r="J2281">
        <f t="shared" si="179"/>
        <v>0</v>
      </c>
      <c r="K2281" s="141">
        <f t="shared" si="180"/>
        <v>0</v>
      </c>
    </row>
    <row r="2282" spans="7:11" hidden="1" x14ac:dyDescent="0.25">
      <c r="G2282">
        <f t="shared" si="176"/>
        <v>0</v>
      </c>
      <c r="H2282">
        <f t="shared" si="177"/>
        <v>0</v>
      </c>
      <c r="I2282" s="141">
        <f t="shared" si="178"/>
        <v>0</v>
      </c>
      <c r="J2282">
        <f t="shared" si="179"/>
        <v>0</v>
      </c>
      <c r="K2282" s="141">
        <f t="shared" si="180"/>
        <v>0</v>
      </c>
    </row>
    <row r="2283" spans="7:11" hidden="1" x14ac:dyDescent="0.25">
      <c r="G2283">
        <f t="shared" si="176"/>
        <v>0</v>
      </c>
      <c r="H2283">
        <f t="shared" si="177"/>
        <v>0</v>
      </c>
      <c r="I2283" s="141">
        <f t="shared" si="178"/>
        <v>0</v>
      </c>
      <c r="J2283">
        <f t="shared" si="179"/>
        <v>0</v>
      </c>
      <c r="K2283" s="141">
        <f t="shared" si="180"/>
        <v>0</v>
      </c>
    </row>
    <row r="2284" spans="7:11" hidden="1" x14ac:dyDescent="0.25">
      <c r="G2284">
        <f t="shared" si="176"/>
        <v>0</v>
      </c>
      <c r="H2284">
        <f t="shared" si="177"/>
        <v>0</v>
      </c>
      <c r="I2284" s="141">
        <f t="shared" si="178"/>
        <v>0</v>
      </c>
      <c r="J2284">
        <f t="shared" si="179"/>
        <v>0</v>
      </c>
      <c r="K2284" s="141">
        <f t="shared" si="180"/>
        <v>0</v>
      </c>
    </row>
    <row r="2285" spans="7:11" hidden="1" x14ac:dyDescent="0.25">
      <c r="G2285">
        <f t="shared" si="176"/>
        <v>0</v>
      </c>
      <c r="H2285">
        <f t="shared" si="177"/>
        <v>0</v>
      </c>
      <c r="I2285" s="141">
        <f t="shared" si="178"/>
        <v>0</v>
      </c>
      <c r="J2285">
        <f t="shared" si="179"/>
        <v>0</v>
      </c>
      <c r="K2285" s="141">
        <f t="shared" si="180"/>
        <v>0</v>
      </c>
    </row>
    <row r="2286" spans="7:11" hidden="1" x14ac:dyDescent="0.25">
      <c r="G2286">
        <f t="shared" si="176"/>
        <v>0</v>
      </c>
      <c r="H2286">
        <f t="shared" si="177"/>
        <v>0</v>
      </c>
      <c r="I2286" s="141">
        <f t="shared" si="178"/>
        <v>0</v>
      </c>
      <c r="J2286">
        <f t="shared" si="179"/>
        <v>0</v>
      </c>
      <c r="K2286" s="141">
        <f t="shared" si="180"/>
        <v>0</v>
      </c>
    </row>
    <row r="2287" spans="7:11" hidden="1" x14ac:dyDescent="0.25">
      <c r="G2287">
        <f t="shared" si="176"/>
        <v>0</v>
      </c>
      <c r="H2287">
        <f t="shared" si="177"/>
        <v>0</v>
      </c>
      <c r="I2287" s="141">
        <f t="shared" si="178"/>
        <v>0</v>
      </c>
      <c r="J2287">
        <f t="shared" si="179"/>
        <v>0</v>
      </c>
      <c r="K2287" s="141">
        <f t="shared" si="180"/>
        <v>0</v>
      </c>
    </row>
    <row r="2288" spans="7:11" hidden="1" x14ac:dyDescent="0.25">
      <c r="G2288">
        <f t="shared" si="176"/>
        <v>0</v>
      </c>
      <c r="H2288">
        <f t="shared" si="177"/>
        <v>0</v>
      </c>
      <c r="I2288" s="141">
        <f t="shared" si="178"/>
        <v>0</v>
      </c>
      <c r="J2288">
        <f t="shared" si="179"/>
        <v>0</v>
      </c>
      <c r="K2288" s="141">
        <f t="shared" si="180"/>
        <v>0</v>
      </c>
    </row>
    <row r="2289" spans="7:11" hidden="1" x14ac:dyDescent="0.25">
      <c r="G2289">
        <f t="shared" si="176"/>
        <v>0</v>
      </c>
      <c r="H2289">
        <f t="shared" si="177"/>
        <v>0</v>
      </c>
      <c r="I2289" s="141">
        <f t="shared" si="178"/>
        <v>0</v>
      </c>
      <c r="J2289">
        <f t="shared" si="179"/>
        <v>0</v>
      </c>
      <c r="K2289" s="141">
        <f t="shared" si="180"/>
        <v>0</v>
      </c>
    </row>
    <row r="2290" spans="7:11" hidden="1" x14ac:dyDescent="0.25">
      <c r="G2290">
        <f t="shared" si="176"/>
        <v>0</v>
      </c>
      <c r="H2290">
        <f t="shared" si="177"/>
        <v>0</v>
      </c>
      <c r="I2290" s="141">
        <f t="shared" si="178"/>
        <v>0</v>
      </c>
      <c r="J2290">
        <f t="shared" si="179"/>
        <v>0</v>
      </c>
      <c r="K2290" s="141">
        <f t="shared" si="180"/>
        <v>0</v>
      </c>
    </row>
    <row r="2291" spans="7:11" hidden="1" x14ac:dyDescent="0.25">
      <c r="G2291">
        <f t="shared" si="176"/>
        <v>0</v>
      </c>
      <c r="H2291">
        <f t="shared" si="177"/>
        <v>0</v>
      </c>
      <c r="I2291" s="141">
        <f t="shared" si="178"/>
        <v>0</v>
      </c>
      <c r="J2291">
        <f t="shared" si="179"/>
        <v>0</v>
      </c>
      <c r="K2291" s="141">
        <f t="shared" si="180"/>
        <v>0</v>
      </c>
    </row>
    <row r="2292" spans="7:11" hidden="1" x14ac:dyDescent="0.25">
      <c r="G2292">
        <f t="shared" si="176"/>
        <v>0</v>
      </c>
      <c r="H2292">
        <f t="shared" si="177"/>
        <v>0</v>
      </c>
      <c r="I2292" s="141">
        <f t="shared" si="178"/>
        <v>0</v>
      </c>
      <c r="J2292">
        <f t="shared" si="179"/>
        <v>0</v>
      </c>
      <c r="K2292" s="141">
        <f t="shared" si="180"/>
        <v>0</v>
      </c>
    </row>
    <row r="2293" spans="7:11" hidden="1" x14ac:dyDescent="0.25">
      <c r="G2293">
        <f t="shared" si="176"/>
        <v>0</v>
      </c>
      <c r="H2293">
        <f t="shared" si="177"/>
        <v>0</v>
      </c>
      <c r="I2293" s="141">
        <f t="shared" si="178"/>
        <v>0</v>
      </c>
      <c r="J2293">
        <f t="shared" si="179"/>
        <v>0</v>
      </c>
      <c r="K2293" s="141">
        <f t="shared" si="180"/>
        <v>0</v>
      </c>
    </row>
    <row r="2294" spans="7:11" hidden="1" x14ac:dyDescent="0.25">
      <c r="G2294">
        <f t="shared" si="176"/>
        <v>0</v>
      </c>
      <c r="H2294">
        <f t="shared" si="177"/>
        <v>0</v>
      </c>
      <c r="I2294" s="141">
        <f t="shared" si="178"/>
        <v>0</v>
      </c>
      <c r="J2294">
        <f t="shared" si="179"/>
        <v>0</v>
      </c>
      <c r="K2294" s="141">
        <f t="shared" si="180"/>
        <v>0</v>
      </c>
    </row>
    <row r="2295" spans="7:11" hidden="1" x14ac:dyDescent="0.25">
      <c r="G2295">
        <f t="shared" si="176"/>
        <v>0</v>
      </c>
      <c r="H2295">
        <f t="shared" si="177"/>
        <v>0</v>
      </c>
      <c r="I2295" s="141">
        <f t="shared" si="178"/>
        <v>0</v>
      </c>
      <c r="J2295">
        <f t="shared" si="179"/>
        <v>0</v>
      </c>
      <c r="K2295" s="141">
        <f t="shared" si="180"/>
        <v>0</v>
      </c>
    </row>
    <row r="2296" spans="7:11" hidden="1" x14ac:dyDescent="0.25">
      <c r="G2296">
        <f t="shared" si="176"/>
        <v>0</v>
      </c>
      <c r="H2296">
        <f t="shared" si="177"/>
        <v>0</v>
      </c>
      <c r="I2296" s="141">
        <f t="shared" si="178"/>
        <v>0</v>
      </c>
      <c r="J2296">
        <f t="shared" si="179"/>
        <v>0</v>
      </c>
      <c r="K2296" s="141">
        <f t="shared" si="180"/>
        <v>0</v>
      </c>
    </row>
    <row r="2297" spans="7:11" hidden="1" x14ac:dyDescent="0.25">
      <c r="G2297">
        <f t="shared" si="176"/>
        <v>0</v>
      </c>
      <c r="H2297">
        <f t="shared" si="177"/>
        <v>0</v>
      </c>
      <c r="I2297" s="141">
        <f t="shared" si="178"/>
        <v>0</v>
      </c>
      <c r="J2297">
        <f t="shared" si="179"/>
        <v>0</v>
      </c>
      <c r="K2297" s="141">
        <f t="shared" si="180"/>
        <v>0</v>
      </c>
    </row>
    <row r="2298" spans="7:11" hidden="1" x14ac:dyDescent="0.25">
      <c r="G2298">
        <f t="shared" si="176"/>
        <v>0</v>
      </c>
      <c r="H2298">
        <f t="shared" si="177"/>
        <v>0</v>
      </c>
      <c r="I2298" s="141">
        <f t="shared" si="178"/>
        <v>0</v>
      </c>
      <c r="J2298">
        <f t="shared" si="179"/>
        <v>0</v>
      </c>
      <c r="K2298" s="141">
        <f t="shared" si="180"/>
        <v>0</v>
      </c>
    </row>
    <row r="2299" spans="7:11" hidden="1" x14ac:dyDescent="0.25">
      <c r="G2299">
        <f t="shared" si="176"/>
        <v>0</v>
      </c>
      <c r="H2299">
        <f t="shared" si="177"/>
        <v>0</v>
      </c>
      <c r="I2299" s="141">
        <f t="shared" si="178"/>
        <v>0</v>
      </c>
      <c r="J2299">
        <f t="shared" si="179"/>
        <v>0</v>
      </c>
      <c r="K2299" s="141">
        <f t="shared" si="180"/>
        <v>0</v>
      </c>
    </row>
    <row r="2300" spans="7:11" hidden="1" x14ac:dyDescent="0.25">
      <c r="G2300">
        <f t="shared" si="176"/>
        <v>0</v>
      </c>
      <c r="H2300">
        <f t="shared" si="177"/>
        <v>0</v>
      </c>
      <c r="I2300" s="141">
        <f t="shared" si="178"/>
        <v>0</v>
      </c>
      <c r="J2300">
        <f t="shared" si="179"/>
        <v>0</v>
      </c>
      <c r="K2300" s="141">
        <f t="shared" si="180"/>
        <v>0</v>
      </c>
    </row>
    <row r="2301" spans="7:11" hidden="1" x14ac:dyDescent="0.25">
      <c r="G2301">
        <f t="shared" si="176"/>
        <v>0</v>
      </c>
      <c r="H2301">
        <f t="shared" si="177"/>
        <v>0</v>
      </c>
      <c r="I2301" s="141">
        <f t="shared" si="178"/>
        <v>0</v>
      </c>
      <c r="J2301">
        <f t="shared" si="179"/>
        <v>0</v>
      </c>
      <c r="K2301" s="141">
        <f t="shared" si="180"/>
        <v>0</v>
      </c>
    </row>
    <row r="2302" spans="7:11" hidden="1" x14ac:dyDescent="0.25">
      <c r="G2302">
        <f t="shared" si="176"/>
        <v>0</v>
      </c>
      <c r="H2302">
        <f t="shared" si="177"/>
        <v>0</v>
      </c>
      <c r="I2302" s="141">
        <f t="shared" si="178"/>
        <v>0</v>
      </c>
      <c r="J2302">
        <f t="shared" si="179"/>
        <v>0</v>
      </c>
      <c r="K2302" s="141">
        <f t="shared" si="180"/>
        <v>0</v>
      </c>
    </row>
    <row r="2303" spans="7:11" hidden="1" x14ac:dyDescent="0.25">
      <c r="G2303">
        <f t="shared" si="176"/>
        <v>0</v>
      </c>
      <c r="H2303">
        <f t="shared" si="177"/>
        <v>0</v>
      </c>
      <c r="I2303" s="141">
        <f t="shared" si="178"/>
        <v>0</v>
      </c>
      <c r="J2303">
        <f t="shared" si="179"/>
        <v>0</v>
      </c>
      <c r="K2303" s="141">
        <f t="shared" si="180"/>
        <v>0</v>
      </c>
    </row>
    <row r="2304" spans="7:11" hidden="1" x14ac:dyDescent="0.25">
      <c r="G2304">
        <f t="shared" si="176"/>
        <v>0</v>
      </c>
      <c r="H2304">
        <f t="shared" si="177"/>
        <v>0</v>
      </c>
      <c r="I2304" s="141">
        <f t="shared" si="178"/>
        <v>0</v>
      </c>
      <c r="J2304">
        <f t="shared" si="179"/>
        <v>0</v>
      </c>
      <c r="K2304" s="141">
        <f t="shared" si="180"/>
        <v>0</v>
      </c>
    </row>
    <row r="2305" spans="7:11" hidden="1" x14ac:dyDescent="0.25">
      <c r="G2305">
        <f t="shared" si="176"/>
        <v>0</v>
      </c>
      <c r="H2305">
        <f t="shared" si="177"/>
        <v>0</v>
      </c>
      <c r="I2305" s="141">
        <f t="shared" si="178"/>
        <v>0</v>
      </c>
      <c r="J2305">
        <f t="shared" si="179"/>
        <v>0</v>
      </c>
      <c r="K2305" s="141">
        <f t="shared" si="180"/>
        <v>0</v>
      </c>
    </row>
    <row r="2306" spans="7:11" hidden="1" x14ac:dyDescent="0.25">
      <c r="G2306">
        <f t="shared" ref="G2306:G2369" si="181">A2306</f>
        <v>0</v>
      </c>
      <c r="H2306">
        <f t="shared" ref="H2306:H2369" si="182">B2306</f>
        <v>0</v>
      </c>
      <c r="I2306" s="141">
        <f t="shared" ref="I2306:I2369" si="183">C2306</f>
        <v>0</v>
      </c>
      <c r="J2306">
        <f t="shared" ref="J2306:J2369" si="184">D2306</f>
        <v>0</v>
      </c>
      <c r="K2306" s="141">
        <f t="shared" ref="K2306:K2369" si="185">E2306</f>
        <v>0</v>
      </c>
    </row>
    <row r="2307" spans="7:11" hidden="1" x14ac:dyDescent="0.25">
      <c r="G2307">
        <f t="shared" si="181"/>
        <v>0</v>
      </c>
      <c r="H2307">
        <f t="shared" si="182"/>
        <v>0</v>
      </c>
      <c r="I2307" s="141">
        <f t="shared" si="183"/>
        <v>0</v>
      </c>
      <c r="J2307">
        <f t="shared" si="184"/>
        <v>0</v>
      </c>
      <c r="K2307" s="141">
        <f t="shared" si="185"/>
        <v>0</v>
      </c>
    </row>
    <row r="2308" spans="7:11" hidden="1" x14ac:dyDescent="0.25">
      <c r="G2308">
        <f t="shared" si="181"/>
        <v>0</v>
      </c>
      <c r="H2308">
        <f t="shared" si="182"/>
        <v>0</v>
      </c>
      <c r="I2308" s="141">
        <f t="shared" si="183"/>
        <v>0</v>
      </c>
      <c r="J2308">
        <f t="shared" si="184"/>
        <v>0</v>
      </c>
      <c r="K2308" s="141">
        <f t="shared" si="185"/>
        <v>0</v>
      </c>
    </row>
    <row r="2309" spans="7:11" hidden="1" x14ac:dyDescent="0.25">
      <c r="G2309">
        <f t="shared" si="181"/>
        <v>0</v>
      </c>
      <c r="H2309">
        <f t="shared" si="182"/>
        <v>0</v>
      </c>
      <c r="I2309" s="141">
        <f t="shared" si="183"/>
        <v>0</v>
      </c>
      <c r="J2309">
        <f t="shared" si="184"/>
        <v>0</v>
      </c>
      <c r="K2309" s="141">
        <f t="shared" si="185"/>
        <v>0</v>
      </c>
    </row>
    <row r="2310" spans="7:11" hidden="1" x14ac:dyDescent="0.25">
      <c r="G2310">
        <f t="shared" si="181"/>
        <v>0</v>
      </c>
      <c r="H2310">
        <f t="shared" si="182"/>
        <v>0</v>
      </c>
      <c r="I2310" s="141">
        <f t="shared" si="183"/>
        <v>0</v>
      </c>
      <c r="J2310">
        <f t="shared" si="184"/>
        <v>0</v>
      </c>
      <c r="K2310" s="141">
        <f t="shared" si="185"/>
        <v>0</v>
      </c>
    </row>
    <row r="2311" spans="7:11" hidden="1" x14ac:dyDescent="0.25">
      <c r="G2311">
        <f t="shared" si="181"/>
        <v>0</v>
      </c>
      <c r="H2311">
        <f t="shared" si="182"/>
        <v>0</v>
      </c>
      <c r="I2311" s="141">
        <f t="shared" si="183"/>
        <v>0</v>
      </c>
      <c r="J2311">
        <f t="shared" si="184"/>
        <v>0</v>
      </c>
      <c r="K2311" s="141">
        <f t="shared" si="185"/>
        <v>0</v>
      </c>
    </row>
    <row r="2312" spans="7:11" hidden="1" x14ac:dyDescent="0.25">
      <c r="G2312">
        <f t="shared" si="181"/>
        <v>0</v>
      </c>
      <c r="H2312">
        <f t="shared" si="182"/>
        <v>0</v>
      </c>
      <c r="I2312" s="141">
        <f t="shared" si="183"/>
        <v>0</v>
      </c>
      <c r="J2312">
        <f t="shared" si="184"/>
        <v>0</v>
      </c>
      <c r="K2312" s="141">
        <f t="shared" si="185"/>
        <v>0</v>
      </c>
    </row>
    <row r="2313" spans="7:11" hidden="1" x14ac:dyDescent="0.25">
      <c r="G2313">
        <f t="shared" si="181"/>
        <v>0</v>
      </c>
      <c r="H2313">
        <f t="shared" si="182"/>
        <v>0</v>
      </c>
      <c r="I2313" s="141">
        <f t="shared" si="183"/>
        <v>0</v>
      </c>
      <c r="J2313">
        <f t="shared" si="184"/>
        <v>0</v>
      </c>
      <c r="K2313" s="141">
        <f t="shared" si="185"/>
        <v>0</v>
      </c>
    </row>
    <row r="2314" spans="7:11" hidden="1" x14ac:dyDescent="0.25">
      <c r="G2314">
        <f t="shared" si="181"/>
        <v>0</v>
      </c>
      <c r="H2314">
        <f t="shared" si="182"/>
        <v>0</v>
      </c>
      <c r="I2314" s="141">
        <f t="shared" si="183"/>
        <v>0</v>
      </c>
      <c r="J2314">
        <f t="shared" si="184"/>
        <v>0</v>
      </c>
      <c r="K2314" s="141">
        <f t="shared" si="185"/>
        <v>0</v>
      </c>
    </row>
    <row r="2315" spans="7:11" hidden="1" x14ac:dyDescent="0.25">
      <c r="G2315">
        <f t="shared" si="181"/>
        <v>0</v>
      </c>
      <c r="H2315">
        <f t="shared" si="182"/>
        <v>0</v>
      </c>
      <c r="I2315" s="141">
        <f t="shared" si="183"/>
        <v>0</v>
      </c>
      <c r="J2315">
        <f t="shared" si="184"/>
        <v>0</v>
      </c>
      <c r="K2315" s="141">
        <f t="shared" si="185"/>
        <v>0</v>
      </c>
    </row>
    <row r="2316" spans="7:11" hidden="1" x14ac:dyDescent="0.25">
      <c r="G2316">
        <f t="shared" si="181"/>
        <v>0</v>
      </c>
      <c r="H2316">
        <f t="shared" si="182"/>
        <v>0</v>
      </c>
      <c r="I2316" s="141">
        <f t="shared" si="183"/>
        <v>0</v>
      </c>
      <c r="J2316">
        <f t="shared" si="184"/>
        <v>0</v>
      </c>
      <c r="K2316" s="141">
        <f t="shared" si="185"/>
        <v>0</v>
      </c>
    </row>
    <row r="2317" spans="7:11" hidden="1" x14ac:dyDescent="0.25">
      <c r="G2317">
        <f t="shared" si="181"/>
        <v>0</v>
      </c>
      <c r="H2317">
        <f t="shared" si="182"/>
        <v>0</v>
      </c>
      <c r="I2317" s="141">
        <f t="shared" si="183"/>
        <v>0</v>
      </c>
      <c r="J2317">
        <f t="shared" si="184"/>
        <v>0</v>
      </c>
      <c r="K2317" s="141">
        <f t="shared" si="185"/>
        <v>0</v>
      </c>
    </row>
    <row r="2318" spans="7:11" hidden="1" x14ac:dyDescent="0.25">
      <c r="G2318">
        <f t="shared" si="181"/>
        <v>0</v>
      </c>
      <c r="H2318">
        <f t="shared" si="182"/>
        <v>0</v>
      </c>
      <c r="I2318" s="141">
        <f t="shared" si="183"/>
        <v>0</v>
      </c>
      <c r="J2318">
        <f t="shared" si="184"/>
        <v>0</v>
      </c>
      <c r="K2318" s="141">
        <f t="shared" si="185"/>
        <v>0</v>
      </c>
    </row>
    <row r="2319" spans="7:11" hidden="1" x14ac:dyDescent="0.25">
      <c r="G2319">
        <f t="shared" si="181"/>
        <v>0</v>
      </c>
      <c r="H2319">
        <f t="shared" si="182"/>
        <v>0</v>
      </c>
      <c r="I2319" s="141">
        <f t="shared" si="183"/>
        <v>0</v>
      </c>
      <c r="J2319">
        <f t="shared" si="184"/>
        <v>0</v>
      </c>
      <c r="K2319" s="141">
        <f t="shared" si="185"/>
        <v>0</v>
      </c>
    </row>
    <row r="2320" spans="7:11" hidden="1" x14ac:dyDescent="0.25">
      <c r="G2320">
        <f t="shared" si="181"/>
        <v>0</v>
      </c>
      <c r="H2320">
        <f t="shared" si="182"/>
        <v>0</v>
      </c>
      <c r="I2320" s="141">
        <f t="shared" si="183"/>
        <v>0</v>
      </c>
      <c r="J2320">
        <f t="shared" si="184"/>
        <v>0</v>
      </c>
      <c r="K2320" s="141">
        <f t="shared" si="185"/>
        <v>0</v>
      </c>
    </row>
    <row r="2321" spans="7:11" hidden="1" x14ac:dyDescent="0.25">
      <c r="G2321">
        <f t="shared" si="181"/>
        <v>0</v>
      </c>
      <c r="H2321">
        <f t="shared" si="182"/>
        <v>0</v>
      </c>
      <c r="I2321" s="141">
        <f t="shared" si="183"/>
        <v>0</v>
      </c>
      <c r="J2321">
        <f t="shared" si="184"/>
        <v>0</v>
      </c>
      <c r="K2321" s="141">
        <f t="shared" si="185"/>
        <v>0</v>
      </c>
    </row>
    <row r="2322" spans="7:11" hidden="1" x14ac:dyDescent="0.25">
      <c r="G2322">
        <f t="shared" si="181"/>
        <v>0</v>
      </c>
      <c r="H2322">
        <f t="shared" si="182"/>
        <v>0</v>
      </c>
      <c r="I2322" s="141">
        <f t="shared" si="183"/>
        <v>0</v>
      </c>
      <c r="J2322">
        <f t="shared" si="184"/>
        <v>0</v>
      </c>
      <c r="K2322" s="141">
        <f t="shared" si="185"/>
        <v>0</v>
      </c>
    </row>
    <row r="2323" spans="7:11" hidden="1" x14ac:dyDescent="0.25">
      <c r="G2323">
        <f t="shared" si="181"/>
        <v>0</v>
      </c>
      <c r="H2323">
        <f t="shared" si="182"/>
        <v>0</v>
      </c>
      <c r="I2323" s="141">
        <f t="shared" si="183"/>
        <v>0</v>
      </c>
      <c r="J2323">
        <f t="shared" si="184"/>
        <v>0</v>
      </c>
      <c r="K2323" s="141">
        <f t="shared" si="185"/>
        <v>0</v>
      </c>
    </row>
    <row r="2324" spans="7:11" hidden="1" x14ac:dyDescent="0.25">
      <c r="G2324">
        <f t="shared" si="181"/>
        <v>0</v>
      </c>
      <c r="H2324">
        <f t="shared" si="182"/>
        <v>0</v>
      </c>
      <c r="I2324" s="141">
        <f t="shared" si="183"/>
        <v>0</v>
      </c>
      <c r="J2324">
        <f t="shared" si="184"/>
        <v>0</v>
      </c>
      <c r="K2324" s="141">
        <f t="shared" si="185"/>
        <v>0</v>
      </c>
    </row>
    <row r="2325" spans="7:11" hidden="1" x14ac:dyDescent="0.25">
      <c r="G2325">
        <f t="shared" si="181"/>
        <v>0</v>
      </c>
      <c r="H2325">
        <f t="shared" si="182"/>
        <v>0</v>
      </c>
      <c r="I2325" s="141">
        <f t="shared" si="183"/>
        <v>0</v>
      </c>
      <c r="J2325">
        <f t="shared" si="184"/>
        <v>0</v>
      </c>
      <c r="K2325" s="141">
        <f t="shared" si="185"/>
        <v>0</v>
      </c>
    </row>
    <row r="2326" spans="7:11" hidden="1" x14ac:dyDescent="0.25">
      <c r="G2326">
        <f t="shared" si="181"/>
        <v>0</v>
      </c>
      <c r="H2326">
        <f t="shared" si="182"/>
        <v>0</v>
      </c>
      <c r="I2326" s="141">
        <f t="shared" si="183"/>
        <v>0</v>
      </c>
      <c r="J2326">
        <f t="shared" si="184"/>
        <v>0</v>
      </c>
      <c r="K2326" s="141">
        <f t="shared" si="185"/>
        <v>0</v>
      </c>
    </row>
    <row r="2327" spans="7:11" hidden="1" x14ac:dyDescent="0.25">
      <c r="G2327">
        <f t="shared" si="181"/>
        <v>0</v>
      </c>
      <c r="H2327">
        <f t="shared" si="182"/>
        <v>0</v>
      </c>
      <c r="I2327" s="141">
        <f t="shared" si="183"/>
        <v>0</v>
      </c>
      <c r="J2327">
        <f t="shared" si="184"/>
        <v>0</v>
      </c>
      <c r="K2327" s="141">
        <f t="shared" si="185"/>
        <v>0</v>
      </c>
    </row>
    <row r="2328" spans="7:11" hidden="1" x14ac:dyDescent="0.25">
      <c r="G2328">
        <f t="shared" si="181"/>
        <v>0</v>
      </c>
      <c r="H2328">
        <f t="shared" si="182"/>
        <v>0</v>
      </c>
      <c r="I2328" s="141">
        <f t="shared" si="183"/>
        <v>0</v>
      </c>
      <c r="J2328">
        <f t="shared" si="184"/>
        <v>0</v>
      </c>
      <c r="K2328" s="141">
        <f t="shared" si="185"/>
        <v>0</v>
      </c>
    </row>
    <row r="2329" spans="7:11" hidden="1" x14ac:dyDescent="0.25">
      <c r="G2329">
        <f t="shared" si="181"/>
        <v>0</v>
      </c>
      <c r="H2329">
        <f t="shared" si="182"/>
        <v>0</v>
      </c>
      <c r="I2329" s="141">
        <f t="shared" si="183"/>
        <v>0</v>
      </c>
      <c r="J2329">
        <f t="shared" si="184"/>
        <v>0</v>
      </c>
      <c r="K2329" s="141">
        <f t="shared" si="185"/>
        <v>0</v>
      </c>
    </row>
    <row r="2330" spans="7:11" hidden="1" x14ac:dyDescent="0.25">
      <c r="G2330">
        <f t="shared" si="181"/>
        <v>0</v>
      </c>
      <c r="H2330">
        <f t="shared" si="182"/>
        <v>0</v>
      </c>
      <c r="I2330" s="141">
        <f t="shared" si="183"/>
        <v>0</v>
      </c>
      <c r="J2330">
        <f t="shared" si="184"/>
        <v>0</v>
      </c>
      <c r="K2330" s="141">
        <f t="shared" si="185"/>
        <v>0</v>
      </c>
    </row>
    <row r="2331" spans="7:11" hidden="1" x14ac:dyDescent="0.25">
      <c r="G2331">
        <f t="shared" si="181"/>
        <v>0</v>
      </c>
      <c r="H2331">
        <f t="shared" si="182"/>
        <v>0</v>
      </c>
      <c r="I2331" s="141">
        <f t="shared" si="183"/>
        <v>0</v>
      </c>
      <c r="J2331">
        <f t="shared" si="184"/>
        <v>0</v>
      </c>
      <c r="K2331" s="141">
        <f t="shared" si="185"/>
        <v>0</v>
      </c>
    </row>
    <row r="2332" spans="7:11" hidden="1" x14ac:dyDescent="0.25">
      <c r="G2332">
        <f t="shared" si="181"/>
        <v>0</v>
      </c>
      <c r="H2332">
        <f t="shared" si="182"/>
        <v>0</v>
      </c>
      <c r="I2332" s="141">
        <f t="shared" si="183"/>
        <v>0</v>
      </c>
      <c r="J2332">
        <f t="shared" si="184"/>
        <v>0</v>
      </c>
      <c r="K2332" s="141">
        <f t="shared" si="185"/>
        <v>0</v>
      </c>
    </row>
    <row r="2333" spans="7:11" hidden="1" x14ac:dyDescent="0.25">
      <c r="G2333">
        <f t="shared" si="181"/>
        <v>0</v>
      </c>
      <c r="H2333">
        <f t="shared" si="182"/>
        <v>0</v>
      </c>
      <c r="I2333" s="141">
        <f t="shared" si="183"/>
        <v>0</v>
      </c>
      <c r="J2333">
        <f t="shared" si="184"/>
        <v>0</v>
      </c>
      <c r="K2333" s="141">
        <f t="shared" si="185"/>
        <v>0</v>
      </c>
    </row>
    <row r="2334" spans="7:11" hidden="1" x14ac:dyDescent="0.25">
      <c r="G2334">
        <f t="shared" si="181"/>
        <v>0</v>
      </c>
      <c r="H2334">
        <f t="shared" si="182"/>
        <v>0</v>
      </c>
      <c r="I2334" s="141">
        <f t="shared" si="183"/>
        <v>0</v>
      </c>
      <c r="J2334">
        <f t="shared" si="184"/>
        <v>0</v>
      </c>
      <c r="K2334" s="141">
        <f t="shared" si="185"/>
        <v>0</v>
      </c>
    </row>
    <row r="2335" spans="7:11" hidden="1" x14ac:dyDescent="0.25">
      <c r="G2335">
        <f t="shared" si="181"/>
        <v>0</v>
      </c>
      <c r="H2335">
        <f t="shared" si="182"/>
        <v>0</v>
      </c>
      <c r="I2335" s="141">
        <f t="shared" si="183"/>
        <v>0</v>
      </c>
      <c r="J2335">
        <f t="shared" si="184"/>
        <v>0</v>
      </c>
      <c r="K2335" s="141">
        <f t="shared" si="185"/>
        <v>0</v>
      </c>
    </row>
    <row r="2336" spans="7:11" hidden="1" x14ac:dyDescent="0.25">
      <c r="G2336">
        <f t="shared" si="181"/>
        <v>0</v>
      </c>
      <c r="H2336">
        <f t="shared" si="182"/>
        <v>0</v>
      </c>
      <c r="I2336" s="141">
        <f t="shared" si="183"/>
        <v>0</v>
      </c>
      <c r="J2336">
        <f t="shared" si="184"/>
        <v>0</v>
      </c>
      <c r="K2336" s="141">
        <f t="shared" si="185"/>
        <v>0</v>
      </c>
    </row>
    <row r="2337" spans="7:11" hidden="1" x14ac:dyDescent="0.25">
      <c r="G2337">
        <f t="shared" si="181"/>
        <v>0</v>
      </c>
      <c r="H2337">
        <f t="shared" si="182"/>
        <v>0</v>
      </c>
      <c r="I2337" s="141">
        <f t="shared" si="183"/>
        <v>0</v>
      </c>
      <c r="J2337">
        <f t="shared" si="184"/>
        <v>0</v>
      </c>
      <c r="K2337" s="141">
        <f t="shared" si="185"/>
        <v>0</v>
      </c>
    </row>
    <row r="2338" spans="7:11" hidden="1" x14ac:dyDescent="0.25">
      <c r="G2338">
        <f t="shared" si="181"/>
        <v>0</v>
      </c>
      <c r="H2338">
        <f t="shared" si="182"/>
        <v>0</v>
      </c>
      <c r="I2338" s="141">
        <f t="shared" si="183"/>
        <v>0</v>
      </c>
      <c r="J2338">
        <f t="shared" si="184"/>
        <v>0</v>
      </c>
      <c r="K2338" s="141">
        <f t="shared" si="185"/>
        <v>0</v>
      </c>
    </row>
    <row r="2339" spans="7:11" hidden="1" x14ac:dyDescent="0.25">
      <c r="G2339">
        <f t="shared" si="181"/>
        <v>0</v>
      </c>
      <c r="H2339">
        <f t="shared" si="182"/>
        <v>0</v>
      </c>
      <c r="I2339" s="141">
        <f t="shared" si="183"/>
        <v>0</v>
      </c>
      <c r="J2339">
        <f t="shared" si="184"/>
        <v>0</v>
      </c>
      <c r="K2339" s="141">
        <f t="shared" si="185"/>
        <v>0</v>
      </c>
    </row>
    <row r="2340" spans="7:11" hidden="1" x14ac:dyDescent="0.25">
      <c r="G2340">
        <f t="shared" si="181"/>
        <v>0</v>
      </c>
      <c r="H2340">
        <f t="shared" si="182"/>
        <v>0</v>
      </c>
      <c r="I2340" s="141">
        <f t="shared" si="183"/>
        <v>0</v>
      </c>
      <c r="J2340">
        <f t="shared" si="184"/>
        <v>0</v>
      </c>
      <c r="K2340" s="141">
        <f t="shared" si="185"/>
        <v>0</v>
      </c>
    </row>
    <row r="2341" spans="7:11" hidden="1" x14ac:dyDescent="0.25">
      <c r="G2341">
        <f t="shared" si="181"/>
        <v>0</v>
      </c>
      <c r="H2341">
        <f t="shared" si="182"/>
        <v>0</v>
      </c>
      <c r="I2341" s="141">
        <f t="shared" si="183"/>
        <v>0</v>
      </c>
      <c r="J2341">
        <f t="shared" si="184"/>
        <v>0</v>
      </c>
      <c r="K2341" s="141">
        <f t="shared" si="185"/>
        <v>0</v>
      </c>
    </row>
    <row r="2342" spans="7:11" hidden="1" x14ac:dyDescent="0.25">
      <c r="G2342">
        <f t="shared" si="181"/>
        <v>0</v>
      </c>
      <c r="H2342">
        <f t="shared" si="182"/>
        <v>0</v>
      </c>
      <c r="I2342" s="141">
        <f t="shared" si="183"/>
        <v>0</v>
      </c>
      <c r="J2342">
        <f t="shared" si="184"/>
        <v>0</v>
      </c>
      <c r="K2342" s="141">
        <f t="shared" si="185"/>
        <v>0</v>
      </c>
    </row>
    <row r="2343" spans="7:11" hidden="1" x14ac:dyDescent="0.25">
      <c r="G2343">
        <f t="shared" si="181"/>
        <v>0</v>
      </c>
      <c r="H2343">
        <f t="shared" si="182"/>
        <v>0</v>
      </c>
      <c r="I2343" s="141">
        <f t="shared" si="183"/>
        <v>0</v>
      </c>
      <c r="J2343">
        <f t="shared" si="184"/>
        <v>0</v>
      </c>
      <c r="K2343" s="141">
        <f t="shared" si="185"/>
        <v>0</v>
      </c>
    </row>
    <row r="2344" spans="7:11" hidden="1" x14ac:dyDescent="0.25">
      <c r="G2344">
        <f t="shared" si="181"/>
        <v>0</v>
      </c>
      <c r="H2344">
        <f t="shared" si="182"/>
        <v>0</v>
      </c>
      <c r="I2344" s="141">
        <f t="shared" si="183"/>
        <v>0</v>
      </c>
      <c r="J2344">
        <f t="shared" si="184"/>
        <v>0</v>
      </c>
      <c r="K2344" s="141">
        <f t="shared" si="185"/>
        <v>0</v>
      </c>
    </row>
    <row r="2345" spans="7:11" hidden="1" x14ac:dyDescent="0.25">
      <c r="G2345">
        <f t="shared" si="181"/>
        <v>0</v>
      </c>
      <c r="H2345">
        <f t="shared" si="182"/>
        <v>0</v>
      </c>
      <c r="I2345" s="141">
        <f t="shared" si="183"/>
        <v>0</v>
      </c>
      <c r="J2345">
        <f t="shared" si="184"/>
        <v>0</v>
      </c>
      <c r="K2345" s="141">
        <f t="shared" si="185"/>
        <v>0</v>
      </c>
    </row>
    <row r="2346" spans="7:11" hidden="1" x14ac:dyDescent="0.25">
      <c r="G2346">
        <f t="shared" si="181"/>
        <v>0</v>
      </c>
      <c r="H2346">
        <f t="shared" si="182"/>
        <v>0</v>
      </c>
      <c r="I2346" s="141">
        <f t="shared" si="183"/>
        <v>0</v>
      </c>
      <c r="J2346">
        <f t="shared" si="184"/>
        <v>0</v>
      </c>
      <c r="K2346" s="141">
        <f t="shared" si="185"/>
        <v>0</v>
      </c>
    </row>
    <row r="2347" spans="7:11" hidden="1" x14ac:dyDescent="0.25">
      <c r="G2347">
        <f t="shared" si="181"/>
        <v>0</v>
      </c>
      <c r="H2347">
        <f t="shared" si="182"/>
        <v>0</v>
      </c>
      <c r="I2347" s="141">
        <f t="shared" si="183"/>
        <v>0</v>
      </c>
      <c r="J2347">
        <f t="shared" si="184"/>
        <v>0</v>
      </c>
      <c r="K2347" s="141">
        <f t="shared" si="185"/>
        <v>0</v>
      </c>
    </row>
    <row r="2348" spans="7:11" hidden="1" x14ac:dyDescent="0.25">
      <c r="G2348">
        <f t="shared" si="181"/>
        <v>0</v>
      </c>
      <c r="H2348">
        <f t="shared" si="182"/>
        <v>0</v>
      </c>
      <c r="I2348" s="141">
        <f t="shared" si="183"/>
        <v>0</v>
      </c>
      <c r="J2348">
        <f t="shared" si="184"/>
        <v>0</v>
      </c>
      <c r="K2348" s="141">
        <f t="shared" si="185"/>
        <v>0</v>
      </c>
    </row>
    <row r="2349" spans="7:11" hidden="1" x14ac:dyDescent="0.25">
      <c r="G2349">
        <f t="shared" si="181"/>
        <v>0</v>
      </c>
      <c r="H2349">
        <f t="shared" si="182"/>
        <v>0</v>
      </c>
      <c r="I2349" s="141">
        <f t="shared" si="183"/>
        <v>0</v>
      </c>
      <c r="J2349">
        <f t="shared" si="184"/>
        <v>0</v>
      </c>
      <c r="K2349" s="141">
        <f t="shared" si="185"/>
        <v>0</v>
      </c>
    </row>
    <row r="2350" spans="7:11" hidden="1" x14ac:dyDescent="0.25">
      <c r="G2350">
        <f t="shared" si="181"/>
        <v>0</v>
      </c>
      <c r="H2350">
        <f t="shared" si="182"/>
        <v>0</v>
      </c>
      <c r="I2350" s="141">
        <f t="shared" si="183"/>
        <v>0</v>
      </c>
      <c r="J2350">
        <f t="shared" si="184"/>
        <v>0</v>
      </c>
      <c r="K2350" s="141">
        <f t="shared" si="185"/>
        <v>0</v>
      </c>
    </row>
    <row r="2351" spans="7:11" hidden="1" x14ac:dyDescent="0.25">
      <c r="G2351">
        <f t="shared" si="181"/>
        <v>0</v>
      </c>
      <c r="H2351">
        <f t="shared" si="182"/>
        <v>0</v>
      </c>
      <c r="I2351" s="141">
        <f t="shared" si="183"/>
        <v>0</v>
      </c>
      <c r="J2351">
        <f t="shared" si="184"/>
        <v>0</v>
      </c>
      <c r="K2351" s="141">
        <f t="shared" si="185"/>
        <v>0</v>
      </c>
    </row>
    <row r="2352" spans="7:11" hidden="1" x14ac:dyDescent="0.25">
      <c r="G2352">
        <f t="shared" si="181"/>
        <v>0</v>
      </c>
      <c r="H2352">
        <f t="shared" si="182"/>
        <v>0</v>
      </c>
      <c r="I2352" s="141">
        <f t="shared" si="183"/>
        <v>0</v>
      </c>
      <c r="J2352">
        <f t="shared" si="184"/>
        <v>0</v>
      </c>
      <c r="K2352" s="141">
        <f t="shared" si="185"/>
        <v>0</v>
      </c>
    </row>
    <row r="2353" spans="7:11" hidden="1" x14ac:dyDescent="0.25">
      <c r="G2353">
        <f t="shared" si="181"/>
        <v>0</v>
      </c>
      <c r="H2353">
        <f t="shared" si="182"/>
        <v>0</v>
      </c>
      <c r="I2353" s="141">
        <f t="shared" si="183"/>
        <v>0</v>
      </c>
      <c r="J2353">
        <f t="shared" si="184"/>
        <v>0</v>
      </c>
      <c r="K2353" s="141">
        <f t="shared" si="185"/>
        <v>0</v>
      </c>
    </row>
    <row r="2354" spans="7:11" hidden="1" x14ac:dyDescent="0.25">
      <c r="G2354">
        <f t="shared" si="181"/>
        <v>0</v>
      </c>
      <c r="H2354">
        <f t="shared" si="182"/>
        <v>0</v>
      </c>
      <c r="I2354" s="141">
        <f t="shared" si="183"/>
        <v>0</v>
      </c>
      <c r="J2354">
        <f t="shared" si="184"/>
        <v>0</v>
      </c>
      <c r="K2354" s="141">
        <f t="shared" si="185"/>
        <v>0</v>
      </c>
    </row>
    <row r="2355" spans="7:11" hidden="1" x14ac:dyDescent="0.25">
      <c r="G2355">
        <f t="shared" si="181"/>
        <v>0</v>
      </c>
      <c r="H2355">
        <f t="shared" si="182"/>
        <v>0</v>
      </c>
      <c r="I2355" s="141">
        <f t="shared" si="183"/>
        <v>0</v>
      </c>
      <c r="J2355">
        <f t="shared" si="184"/>
        <v>0</v>
      </c>
      <c r="K2355" s="141">
        <f t="shared" si="185"/>
        <v>0</v>
      </c>
    </row>
    <row r="2356" spans="7:11" hidden="1" x14ac:dyDescent="0.25">
      <c r="G2356">
        <f t="shared" si="181"/>
        <v>0</v>
      </c>
      <c r="H2356">
        <f t="shared" si="182"/>
        <v>0</v>
      </c>
      <c r="I2356" s="141">
        <f t="shared" si="183"/>
        <v>0</v>
      </c>
      <c r="J2356">
        <f t="shared" si="184"/>
        <v>0</v>
      </c>
      <c r="K2356" s="141">
        <f t="shared" si="185"/>
        <v>0</v>
      </c>
    </row>
    <row r="2357" spans="7:11" hidden="1" x14ac:dyDescent="0.25">
      <c r="G2357">
        <f t="shared" si="181"/>
        <v>0</v>
      </c>
      <c r="H2357">
        <f t="shared" si="182"/>
        <v>0</v>
      </c>
      <c r="I2357" s="141">
        <f t="shared" si="183"/>
        <v>0</v>
      </c>
      <c r="J2357">
        <f t="shared" si="184"/>
        <v>0</v>
      </c>
      <c r="K2357" s="141">
        <f t="shared" si="185"/>
        <v>0</v>
      </c>
    </row>
    <row r="2358" spans="7:11" hidden="1" x14ac:dyDescent="0.25">
      <c r="G2358">
        <f t="shared" si="181"/>
        <v>0</v>
      </c>
      <c r="H2358">
        <f t="shared" si="182"/>
        <v>0</v>
      </c>
      <c r="I2358" s="141">
        <f t="shared" si="183"/>
        <v>0</v>
      </c>
      <c r="J2358">
        <f t="shared" si="184"/>
        <v>0</v>
      </c>
      <c r="K2358" s="141">
        <f t="shared" si="185"/>
        <v>0</v>
      </c>
    </row>
    <row r="2359" spans="7:11" hidden="1" x14ac:dyDescent="0.25">
      <c r="G2359">
        <f t="shared" si="181"/>
        <v>0</v>
      </c>
      <c r="H2359">
        <f t="shared" si="182"/>
        <v>0</v>
      </c>
      <c r="I2359" s="141">
        <f t="shared" si="183"/>
        <v>0</v>
      </c>
      <c r="J2359">
        <f t="shared" si="184"/>
        <v>0</v>
      </c>
      <c r="K2359" s="141">
        <f t="shared" si="185"/>
        <v>0</v>
      </c>
    </row>
    <row r="2360" spans="7:11" hidden="1" x14ac:dyDescent="0.25">
      <c r="G2360">
        <f t="shared" si="181"/>
        <v>0</v>
      </c>
      <c r="H2360">
        <f t="shared" si="182"/>
        <v>0</v>
      </c>
      <c r="I2360" s="141">
        <f t="shared" si="183"/>
        <v>0</v>
      </c>
      <c r="J2360">
        <f t="shared" si="184"/>
        <v>0</v>
      </c>
      <c r="K2360" s="141">
        <f t="shared" si="185"/>
        <v>0</v>
      </c>
    </row>
    <row r="2361" spans="7:11" hidden="1" x14ac:dyDescent="0.25">
      <c r="G2361">
        <f t="shared" si="181"/>
        <v>0</v>
      </c>
      <c r="H2361">
        <f t="shared" si="182"/>
        <v>0</v>
      </c>
      <c r="I2361" s="141">
        <f t="shared" si="183"/>
        <v>0</v>
      </c>
      <c r="J2361">
        <f t="shared" si="184"/>
        <v>0</v>
      </c>
      <c r="K2361" s="141">
        <f t="shared" si="185"/>
        <v>0</v>
      </c>
    </row>
    <row r="2362" spans="7:11" hidden="1" x14ac:dyDescent="0.25">
      <c r="G2362">
        <f t="shared" si="181"/>
        <v>0</v>
      </c>
      <c r="H2362">
        <f t="shared" si="182"/>
        <v>0</v>
      </c>
      <c r="I2362" s="141">
        <f t="shared" si="183"/>
        <v>0</v>
      </c>
      <c r="J2362">
        <f t="shared" si="184"/>
        <v>0</v>
      </c>
      <c r="K2362" s="141">
        <f t="shared" si="185"/>
        <v>0</v>
      </c>
    </row>
    <row r="2363" spans="7:11" hidden="1" x14ac:dyDescent="0.25">
      <c r="G2363">
        <f t="shared" si="181"/>
        <v>0</v>
      </c>
      <c r="H2363">
        <f t="shared" si="182"/>
        <v>0</v>
      </c>
      <c r="I2363" s="141">
        <f t="shared" si="183"/>
        <v>0</v>
      </c>
      <c r="J2363">
        <f t="shared" si="184"/>
        <v>0</v>
      </c>
      <c r="K2363" s="141">
        <f t="shared" si="185"/>
        <v>0</v>
      </c>
    </row>
    <row r="2364" spans="7:11" hidden="1" x14ac:dyDescent="0.25">
      <c r="G2364">
        <f t="shared" si="181"/>
        <v>0</v>
      </c>
      <c r="H2364">
        <f t="shared" si="182"/>
        <v>0</v>
      </c>
      <c r="I2364" s="141">
        <f t="shared" si="183"/>
        <v>0</v>
      </c>
      <c r="J2364">
        <f t="shared" si="184"/>
        <v>0</v>
      </c>
      <c r="K2364" s="141">
        <f t="shared" si="185"/>
        <v>0</v>
      </c>
    </row>
    <row r="2365" spans="7:11" hidden="1" x14ac:dyDescent="0.25">
      <c r="G2365">
        <f t="shared" si="181"/>
        <v>0</v>
      </c>
      <c r="H2365">
        <f t="shared" si="182"/>
        <v>0</v>
      </c>
      <c r="I2365" s="141">
        <f t="shared" si="183"/>
        <v>0</v>
      </c>
      <c r="J2365">
        <f t="shared" si="184"/>
        <v>0</v>
      </c>
      <c r="K2365" s="141">
        <f t="shared" si="185"/>
        <v>0</v>
      </c>
    </row>
    <row r="2366" spans="7:11" hidden="1" x14ac:dyDescent="0.25">
      <c r="G2366">
        <f t="shared" si="181"/>
        <v>0</v>
      </c>
      <c r="H2366">
        <f t="shared" si="182"/>
        <v>0</v>
      </c>
      <c r="I2366" s="141">
        <f t="shared" si="183"/>
        <v>0</v>
      </c>
      <c r="J2366">
        <f t="shared" si="184"/>
        <v>0</v>
      </c>
      <c r="K2366" s="141">
        <f t="shared" si="185"/>
        <v>0</v>
      </c>
    </row>
    <row r="2367" spans="7:11" hidden="1" x14ac:dyDescent="0.25">
      <c r="G2367">
        <f t="shared" si="181"/>
        <v>0</v>
      </c>
      <c r="H2367">
        <f t="shared" si="182"/>
        <v>0</v>
      </c>
      <c r="I2367" s="141">
        <f t="shared" si="183"/>
        <v>0</v>
      </c>
      <c r="J2367">
        <f t="shared" si="184"/>
        <v>0</v>
      </c>
      <c r="K2367" s="141">
        <f t="shared" si="185"/>
        <v>0</v>
      </c>
    </row>
    <row r="2368" spans="7:11" hidden="1" x14ac:dyDescent="0.25">
      <c r="G2368">
        <f t="shared" si="181"/>
        <v>0</v>
      </c>
      <c r="H2368">
        <f t="shared" si="182"/>
        <v>0</v>
      </c>
      <c r="I2368" s="141">
        <f t="shared" si="183"/>
        <v>0</v>
      </c>
      <c r="J2368">
        <f t="shared" si="184"/>
        <v>0</v>
      </c>
      <c r="K2368" s="141">
        <f t="shared" si="185"/>
        <v>0</v>
      </c>
    </row>
    <row r="2369" spans="7:11" hidden="1" x14ac:dyDescent="0.25">
      <c r="G2369">
        <f t="shared" si="181"/>
        <v>0</v>
      </c>
      <c r="H2369">
        <f t="shared" si="182"/>
        <v>0</v>
      </c>
      <c r="I2369" s="141">
        <f t="shared" si="183"/>
        <v>0</v>
      </c>
      <c r="J2369">
        <f t="shared" si="184"/>
        <v>0</v>
      </c>
      <c r="K2369" s="141">
        <f t="shared" si="185"/>
        <v>0</v>
      </c>
    </row>
    <row r="2370" spans="7:11" hidden="1" x14ac:dyDescent="0.25">
      <c r="G2370">
        <f t="shared" ref="G2370:G2433" si="186">A2370</f>
        <v>0</v>
      </c>
      <c r="H2370">
        <f t="shared" ref="H2370:H2433" si="187">B2370</f>
        <v>0</v>
      </c>
      <c r="I2370" s="141">
        <f t="shared" ref="I2370:I2433" si="188">C2370</f>
        <v>0</v>
      </c>
      <c r="J2370">
        <f t="shared" ref="J2370:J2433" si="189">D2370</f>
        <v>0</v>
      </c>
      <c r="K2370" s="141">
        <f t="shared" ref="K2370:K2433" si="190">E2370</f>
        <v>0</v>
      </c>
    </row>
    <row r="2371" spans="7:11" hidden="1" x14ac:dyDescent="0.25">
      <c r="G2371">
        <f t="shared" si="186"/>
        <v>0</v>
      </c>
      <c r="H2371">
        <f t="shared" si="187"/>
        <v>0</v>
      </c>
      <c r="I2371" s="141">
        <f t="shared" si="188"/>
        <v>0</v>
      </c>
      <c r="J2371">
        <f t="shared" si="189"/>
        <v>0</v>
      </c>
      <c r="K2371" s="141">
        <f t="shared" si="190"/>
        <v>0</v>
      </c>
    </row>
    <row r="2372" spans="7:11" hidden="1" x14ac:dyDescent="0.25">
      <c r="G2372">
        <f t="shared" si="186"/>
        <v>0</v>
      </c>
      <c r="H2372">
        <f t="shared" si="187"/>
        <v>0</v>
      </c>
      <c r="I2372" s="141">
        <f t="shared" si="188"/>
        <v>0</v>
      </c>
      <c r="J2372">
        <f t="shared" si="189"/>
        <v>0</v>
      </c>
      <c r="K2372" s="141">
        <f t="shared" si="190"/>
        <v>0</v>
      </c>
    </row>
    <row r="2373" spans="7:11" hidden="1" x14ac:dyDescent="0.25">
      <c r="G2373">
        <f t="shared" si="186"/>
        <v>0</v>
      </c>
      <c r="H2373">
        <f t="shared" si="187"/>
        <v>0</v>
      </c>
      <c r="I2373" s="141">
        <f t="shared" si="188"/>
        <v>0</v>
      </c>
      <c r="J2373">
        <f t="shared" si="189"/>
        <v>0</v>
      </c>
      <c r="K2373" s="141">
        <f t="shared" si="190"/>
        <v>0</v>
      </c>
    </row>
    <row r="2374" spans="7:11" hidden="1" x14ac:dyDescent="0.25">
      <c r="G2374">
        <f t="shared" si="186"/>
        <v>0</v>
      </c>
      <c r="H2374">
        <f t="shared" si="187"/>
        <v>0</v>
      </c>
      <c r="I2374" s="141">
        <f t="shared" si="188"/>
        <v>0</v>
      </c>
      <c r="J2374">
        <f t="shared" si="189"/>
        <v>0</v>
      </c>
      <c r="K2374" s="141">
        <f t="shared" si="190"/>
        <v>0</v>
      </c>
    </row>
    <row r="2375" spans="7:11" hidden="1" x14ac:dyDescent="0.25">
      <c r="G2375">
        <f t="shared" si="186"/>
        <v>0</v>
      </c>
      <c r="H2375">
        <f t="shared" si="187"/>
        <v>0</v>
      </c>
      <c r="I2375" s="141">
        <f t="shared" si="188"/>
        <v>0</v>
      </c>
      <c r="J2375">
        <f t="shared" si="189"/>
        <v>0</v>
      </c>
      <c r="K2375" s="141">
        <f t="shared" si="190"/>
        <v>0</v>
      </c>
    </row>
    <row r="2376" spans="7:11" hidden="1" x14ac:dyDescent="0.25">
      <c r="G2376">
        <f t="shared" si="186"/>
        <v>0</v>
      </c>
      <c r="H2376">
        <f t="shared" si="187"/>
        <v>0</v>
      </c>
      <c r="I2376" s="141">
        <f t="shared" si="188"/>
        <v>0</v>
      </c>
      <c r="J2376">
        <f t="shared" si="189"/>
        <v>0</v>
      </c>
      <c r="K2376" s="141">
        <f t="shared" si="190"/>
        <v>0</v>
      </c>
    </row>
    <row r="2377" spans="7:11" hidden="1" x14ac:dyDescent="0.25">
      <c r="G2377">
        <f t="shared" si="186"/>
        <v>0</v>
      </c>
      <c r="H2377">
        <f t="shared" si="187"/>
        <v>0</v>
      </c>
      <c r="I2377" s="141">
        <f t="shared" si="188"/>
        <v>0</v>
      </c>
      <c r="J2377">
        <f t="shared" si="189"/>
        <v>0</v>
      </c>
      <c r="K2377" s="141">
        <f t="shared" si="190"/>
        <v>0</v>
      </c>
    </row>
    <row r="2378" spans="7:11" hidden="1" x14ac:dyDescent="0.25">
      <c r="G2378">
        <f t="shared" si="186"/>
        <v>0</v>
      </c>
      <c r="H2378">
        <f t="shared" si="187"/>
        <v>0</v>
      </c>
      <c r="I2378" s="141">
        <f t="shared" si="188"/>
        <v>0</v>
      </c>
      <c r="J2378">
        <f t="shared" si="189"/>
        <v>0</v>
      </c>
      <c r="K2378" s="141">
        <f t="shared" si="190"/>
        <v>0</v>
      </c>
    </row>
    <row r="2379" spans="7:11" hidden="1" x14ac:dyDescent="0.25">
      <c r="G2379">
        <f t="shared" si="186"/>
        <v>0</v>
      </c>
      <c r="H2379">
        <f t="shared" si="187"/>
        <v>0</v>
      </c>
      <c r="I2379" s="141">
        <f t="shared" si="188"/>
        <v>0</v>
      </c>
      <c r="J2379">
        <f t="shared" si="189"/>
        <v>0</v>
      </c>
      <c r="K2379" s="141">
        <f t="shared" si="190"/>
        <v>0</v>
      </c>
    </row>
    <row r="2380" spans="7:11" hidden="1" x14ac:dyDescent="0.25">
      <c r="G2380">
        <f t="shared" si="186"/>
        <v>0</v>
      </c>
      <c r="H2380">
        <f t="shared" si="187"/>
        <v>0</v>
      </c>
      <c r="I2380" s="141">
        <f t="shared" si="188"/>
        <v>0</v>
      </c>
      <c r="J2380">
        <f t="shared" si="189"/>
        <v>0</v>
      </c>
      <c r="K2380" s="141">
        <f t="shared" si="190"/>
        <v>0</v>
      </c>
    </row>
    <row r="2381" spans="7:11" hidden="1" x14ac:dyDescent="0.25">
      <c r="G2381">
        <f t="shared" si="186"/>
        <v>0</v>
      </c>
      <c r="H2381">
        <f t="shared" si="187"/>
        <v>0</v>
      </c>
      <c r="I2381" s="141">
        <f t="shared" si="188"/>
        <v>0</v>
      </c>
      <c r="J2381">
        <f t="shared" si="189"/>
        <v>0</v>
      </c>
      <c r="K2381" s="141">
        <f t="shared" si="190"/>
        <v>0</v>
      </c>
    </row>
    <row r="2382" spans="7:11" hidden="1" x14ac:dyDescent="0.25">
      <c r="G2382">
        <f t="shared" si="186"/>
        <v>0</v>
      </c>
      <c r="H2382">
        <f t="shared" si="187"/>
        <v>0</v>
      </c>
      <c r="I2382" s="141">
        <f t="shared" si="188"/>
        <v>0</v>
      </c>
      <c r="J2382">
        <f t="shared" si="189"/>
        <v>0</v>
      </c>
      <c r="K2382" s="141">
        <f t="shared" si="190"/>
        <v>0</v>
      </c>
    </row>
    <row r="2383" spans="7:11" hidden="1" x14ac:dyDescent="0.25">
      <c r="G2383">
        <f t="shared" si="186"/>
        <v>0</v>
      </c>
      <c r="H2383">
        <f t="shared" si="187"/>
        <v>0</v>
      </c>
      <c r="I2383" s="141">
        <f t="shared" si="188"/>
        <v>0</v>
      </c>
      <c r="J2383">
        <f t="shared" si="189"/>
        <v>0</v>
      </c>
      <c r="K2383" s="141">
        <f t="shared" si="190"/>
        <v>0</v>
      </c>
    </row>
    <row r="2384" spans="7:11" hidden="1" x14ac:dyDescent="0.25">
      <c r="G2384">
        <f t="shared" si="186"/>
        <v>0</v>
      </c>
      <c r="H2384">
        <f t="shared" si="187"/>
        <v>0</v>
      </c>
      <c r="I2384" s="141">
        <f t="shared" si="188"/>
        <v>0</v>
      </c>
      <c r="J2384">
        <f t="shared" si="189"/>
        <v>0</v>
      </c>
      <c r="K2384" s="141">
        <f t="shared" si="190"/>
        <v>0</v>
      </c>
    </row>
    <row r="2385" spans="7:11" hidden="1" x14ac:dyDescent="0.25">
      <c r="G2385">
        <f t="shared" si="186"/>
        <v>0</v>
      </c>
      <c r="H2385">
        <f t="shared" si="187"/>
        <v>0</v>
      </c>
      <c r="I2385" s="141">
        <f t="shared" si="188"/>
        <v>0</v>
      </c>
      <c r="J2385">
        <f t="shared" si="189"/>
        <v>0</v>
      </c>
      <c r="K2385" s="141">
        <f t="shared" si="190"/>
        <v>0</v>
      </c>
    </row>
    <row r="2386" spans="7:11" hidden="1" x14ac:dyDescent="0.25">
      <c r="G2386">
        <f t="shared" si="186"/>
        <v>0</v>
      </c>
      <c r="H2386">
        <f t="shared" si="187"/>
        <v>0</v>
      </c>
      <c r="I2386" s="141">
        <f t="shared" si="188"/>
        <v>0</v>
      </c>
      <c r="J2386">
        <f t="shared" si="189"/>
        <v>0</v>
      </c>
      <c r="K2386" s="141">
        <f t="shared" si="190"/>
        <v>0</v>
      </c>
    </row>
    <row r="2387" spans="7:11" hidden="1" x14ac:dyDescent="0.25">
      <c r="G2387">
        <f t="shared" si="186"/>
        <v>0</v>
      </c>
      <c r="H2387">
        <f t="shared" si="187"/>
        <v>0</v>
      </c>
      <c r="I2387" s="141">
        <f t="shared" si="188"/>
        <v>0</v>
      </c>
      <c r="J2387">
        <f t="shared" si="189"/>
        <v>0</v>
      </c>
      <c r="K2387" s="141">
        <f t="shared" si="190"/>
        <v>0</v>
      </c>
    </row>
    <row r="2388" spans="7:11" hidden="1" x14ac:dyDescent="0.25">
      <c r="G2388">
        <f t="shared" si="186"/>
        <v>0</v>
      </c>
      <c r="H2388">
        <f t="shared" si="187"/>
        <v>0</v>
      </c>
      <c r="I2388" s="141">
        <f t="shared" si="188"/>
        <v>0</v>
      </c>
      <c r="J2388">
        <f t="shared" si="189"/>
        <v>0</v>
      </c>
      <c r="K2388" s="141">
        <f t="shared" si="190"/>
        <v>0</v>
      </c>
    </row>
    <row r="2389" spans="7:11" hidden="1" x14ac:dyDescent="0.25">
      <c r="G2389">
        <f t="shared" si="186"/>
        <v>0</v>
      </c>
      <c r="H2389">
        <f t="shared" si="187"/>
        <v>0</v>
      </c>
      <c r="I2389" s="141">
        <f t="shared" si="188"/>
        <v>0</v>
      </c>
      <c r="J2389">
        <f t="shared" si="189"/>
        <v>0</v>
      </c>
      <c r="K2389" s="141">
        <f t="shared" si="190"/>
        <v>0</v>
      </c>
    </row>
    <row r="2390" spans="7:11" hidden="1" x14ac:dyDescent="0.25">
      <c r="G2390">
        <f t="shared" si="186"/>
        <v>0</v>
      </c>
      <c r="H2390">
        <f t="shared" si="187"/>
        <v>0</v>
      </c>
      <c r="I2390" s="141">
        <f t="shared" si="188"/>
        <v>0</v>
      </c>
      <c r="J2390">
        <f t="shared" si="189"/>
        <v>0</v>
      </c>
      <c r="K2390" s="141">
        <f t="shared" si="190"/>
        <v>0</v>
      </c>
    </row>
    <row r="2391" spans="7:11" hidden="1" x14ac:dyDescent="0.25">
      <c r="G2391">
        <f t="shared" si="186"/>
        <v>0</v>
      </c>
      <c r="H2391">
        <f t="shared" si="187"/>
        <v>0</v>
      </c>
      <c r="I2391" s="141">
        <f t="shared" si="188"/>
        <v>0</v>
      </c>
      <c r="J2391">
        <f t="shared" si="189"/>
        <v>0</v>
      </c>
      <c r="K2391" s="141">
        <f t="shared" si="190"/>
        <v>0</v>
      </c>
    </row>
    <row r="2392" spans="7:11" hidden="1" x14ac:dyDescent="0.25">
      <c r="G2392">
        <f t="shared" si="186"/>
        <v>0</v>
      </c>
      <c r="H2392">
        <f t="shared" si="187"/>
        <v>0</v>
      </c>
      <c r="I2392" s="141">
        <f t="shared" si="188"/>
        <v>0</v>
      </c>
      <c r="J2392">
        <f t="shared" si="189"/>
        <v>0</v>
      </c>
      <c r="K2392" s="141">
        <f t="shared" si="190"/>
        <v>0</v>
      </c>
    </row>
    <row r="2393" spans="7:11" hidden="1" x14ac:dyDescent="0.25">
      <c r="G2393">
        <f t="shared" si="186"/>
        <v>0</v>
      </c>
      <c r="H2393">
        <f t="shared" si="187"/>
        <v>0</v>
      </c>
      <c r="I2393" s="141">
        <f t="shared" si="188"/>
        <v>0</v>
      </c>
      <c r="J2393">
        <f t="shared" si="189"/>
        <v>0</v>
      </c>
      <c r="K2393" s="141">
        <f t="shared" si="190"/>
        <v>0</v>
      </c>
    </row>
    <row r="2394" spans="7:11" hidden="1" x14ac:dyDescent="0.25">
      <c r="G2394">
        <f t="shared" si="186"/>
        <v>0</v>
      </c>
      <c r="H2394">
        <f t="shared" si="187"/>
        <v>0</v>
      </c>
      <c r="I2394" s="141">
        <f t="shared" si="188"/>
        <v>0</v>
      </c>
      <c r="J2394">
        <f t="shared" si="189"/>
        <v>0</v>
      </c>
      <c r="K2394" s="141">
        <f t="shared" si="190"/>
        <v>0</v>
      </c>
    </row>
    <row r="2395" spans="7:11" hidden="1" x14ac:dyDescent="0.25">
      <c r="G2395">
        <f t="shared" si="186"/>
        <v>0</v>
      </c>
      <c r="H2395">
        <f t="shared" si="187"/>
        <v>0</v>
      </c>
      <c r="I2395" s="141">
        <f t="shared" si="188"/>
        <v>0</v>
      </c>
      <c r="J2395">
        <f t="shared" si="189"/>
        <v>0</v>
      </c>
      <c r="K2395" s="141">
        <f t="shared" si="190"/>
        <v>0</v>
      </c>
    </row>
    <row r="2396" spans="7:11" hidden="1" x14ac:dyDescent="0.25">
      <c r="G2396">
        <f t="shared" si="186"/>
        <v>0</v>
      </c>
      <c r="H2396">
        <f t="shared" si="187"/>
        <v>0</v>
      </c>
      <c r="I2396" s="141">
        <f t="shared" si="188"/>
        <v>0</v>
      </c>
      <c r="J2396">
        <f t="shared" si="189"/>
        <v>0</v>
      </c>
      <c r="K2396" s="141">
        <f t="shared" si="190"/>
        <v>0</v>
      </c>
    </row>
    <row r="2397" spans="7:11" hidden="1" x14ac:dyDescent="0.25">
      <c r="G2397">
        <f t="shared" si="186"/>
        <v>0</v>
      </c>
      <c r="H2397">
        <f t="shared" si="187"/>
        <v>0</v>
      </c>
      <c r="I2397" s="141">
        <f t="shared" si="188"/>
        <v>0</v>
      </c>
      <c r="J2397">
        <f t="shared" si="189"/>
        <v>0</v>
      </c>
      <c r="K2397" s="141">
        <f t="shared" si="190"/>
        <v>0</v>
      </c>
    </row>
    <row r="2398" spans="7:11" hidden="1" x14ac:dyDescent="0.25">
      <c r="G2398">
        <f t="shared" si="186"/>
        <v>0</v>
      </c>
      <c r="H2398">
        <f t="shared" si="187"/>
        <v>0</v>
      </c>
      <c r="I2398" s="141">
        <f t="shared" si="188"/>
        <v>0</v>
      </c>
      <c r="J2398">
        <f t="shared" si="189"/>
        <v>0</v>
      </c>
      <c r="K2398" s="141">
        <f t="shared" si="190"/>
        <v>0</v>
      </c>
    </row>
    <row r="2399" spans="7:11" hidden="1" x14ac:dyDescent="0.25">
      <c r="G2399">
        <f t="shared" si="186"/>
        <v>0</v>
      </c>
      <c r="H2399">
        <f t="shared" si="187"/>
        <v>0</v>
      </c>
      <c r="I2399" s="141">
        <f t="shared" si="188"/>
        <v>0</v>
      </c>
      <c r="J2399">
        <f t="shared" si="189"/>
        <v>0</v>
      </c>
      <c r="K2399" s="141">
        <f t="shared" si="190"/>
        <v>0</v>
      </c>
    </row>
    <row r="2400" spans="7:11" hidden="1" x14ac:dyDescent="0.25">
      <c r="G2400">
        <f t="shared" si="186"/>
        <v>0</v>
      </c>
      <c r="H2400">
        <f t="shared" si="187"/>
        <v>0</v>
      </c>
      <c r="I2400" s="141">
        <f t="shared" si="188"/>
        <v>0</v>
      </c>
      <c r="J2400">
        <f t="shared" si="189"/>
        <v>0</v>
      </c>
      <c r="K2400" s="141">
        <f t="shared" si="190"/>
        <v>0</v>
      </c>
    </row>
    <row r="2401" spans="7:11" hidden="1" x14ac:dyDescent="0.25">
      <c r="G2401">
        <f t="shared" si="186"/>
        <v>0</v>
      </c>
      <c r="H2401">
        <f t="shared" si="187"/>
        <v>0</v>
      </c>
      <c r="I2401" s="141">
        <f t="shared" si="188"/>
        <v>0</v>
      </c>
      <c r="J2401">
        <f t="shared" si="189"/>
        <v>0</v>
      </c>
      <c r="K2401" s="141">
        <f t="shared" si="190"/>
        <v>0</v>
      </c>
    </row>
    <row r="2402" spans="7:11" hidden="1" x14ac:dyDescent="0.25">
      <c r="G2402">
        <f t="shared" si="186"/>
        <v>0</v>
      </c>
      <c r="H2402">
        <f t="shared" si="187"/>
        <v>0</v>
      </c>
      <c r="I2402" s="141">
        <f t="shared" si="188"/>
        <v>0</v>
      </c>
      <c r="J2402">
        <f t="shared" si="189"/>
        <v>0</v>
      </c>
      <c r="K2402" s="141">
        <f t="shared" si="190"/>
        <v>0</v>
      </c>
    </row>
    <row r="2403" spans="7:11" hidden="1" x14ac:dyDescent="0.25">
      <c r="G2403">
        <f t="shared" si="186"/>
        <v>0</v>
      </c>
      <c r="H2403">
        <f t="shared" si="187"/>
        <v>0</v>
      </c>
      <c r="I2403" s="141">
        <f t="shared" si="188"/>
        <v>0</v>
      </c>
      <c r="J2403">
        <f t="shared" si="189"/>
        <v>0</v>
      </c>
      <c r="K2403" s="141">
        <f t="shared" si="190"/>
        <v>0</v>
      </c>
    </row>
    <row r="2404" spans="7:11" hidden="1" x14ac:dyDescent="0.25">
      <c r="G2404">
        <f t="shared" si="186"/>
        <v>0</v>
      </c>
      <c r="H2404">
        <f t="shared" si="187"/>
        <v>0</v>
      </c>
      <c r="I2404" s="141">
        <f t="shared" si="188"/>
        <v>0</v>
      </c>
      <c r="J2404">
        <f t="shared" si="189"/>
        <v>0</v>
      </c>
      <c r="K2404" s="141">
        <f t="shared" si="190"/>
        <v>0</v>
      </c>
    </row>
    <row r="2405" spans="7:11" hidden="1" x14ac:dyDescent="0.25">
      <c r="G2405">
        <f t="shared" si="186"/>
        <v>0</v>
      </c>
      <c r="H2405">
        <f t="shared" si="187"/>
        <v>0</v>
      </c>
      <c r="I2405" s="141">
        <f t="shared" si="188"/>
        <v>0</v>
      </c>
      <c r="J2405">
        <f t="shared" si="189"/>
        <v>0</v>
      </c>
      <c r="K2405" s="141">
        <f t="shared" si="190"/>
        <v>0</v>
      </c>
    </row>
    <row r="2406" spans="7:11" hidden="1" x14ac:dyDescent="0.25">
      <c r="G2406">
        <f t="shared" si="186"/>
        <v>0</v>
      </c>
      <c r="H2406">
        <f t="shared" si="187"/>
        <v>0</v>
      </c>
      <c r="I2406" s="141">
        <f t="shared" si="188"/>
        <v>0</v>
      </c>
      <c r="J2406">
        <f t="shared" si="189"/>
        <v>0</v>
      </c>
      <c r="K2406" s="141">
        <f t="shared" si="190"/>
        <v>0</v>
      </c>
    </row>
    <row r="2407" spans="7:11" hidden="1" x14ac:dyDescent="0.25">
      <c r="G2407">
        <f t="shared" si="186"/>
        <v>0</v>
      </c>
      <c r="H2407">
        <f t="shared" si="187"/>
        <v>0</v>
      </c>
      <c r="I2407" s="141">
        <f t="shared" si="188"/>
        <v>0</v>
      </c>
      <c r="J2407">
        <f t="shared" si="189"/>
        <v>0</v>
      </c>
      <c r="K2407" s="141">
        <f t="shared" si="190"/>
        <v>0</v>
      </c>
    </row>
    <row r="2408" spans="7:11" hidden="1" x14ac:dyDescent="0.25">
      <c r="G2408">
        <f t="shared" si="186"/>
        <v>0</v>
      </c>
      <c r="H2408">
        <f t="shared" si="187"/>
        <v>0</v>
      </c>
      <c r="I2408" s="141">
        <f t="shared" si="188"/>
        <v>0</v>
      </c>
      <c r="J2408">
        <f t="shared" si="189"/>
        <v>0</v>
      </c>
      <c r="K2408" s="141">
        <f t="shared" si="190"/>
        <v>0</v>
      </c>
    </row>
    <row r="2409" spans="7:11" hidden="1" x14ac:dyDescent="0.25">
      <c r="G2409">
        <f t="shared" si="186"/>
        <v>0</v>
      </c>
      <c r="H2409">
        <f t="shared" si="187"/>
        <v>0</v>
      </c>
      <c r="I2409" s="141">
        <f t="shared" si="188"/>
        <v>0</v>
      </c>
      <c r="J2409">
        <f t="shared" si="189"/>
        <v>0</v>
      </c>
      <c r="K2409" s="141">
        <f t="shared" si="190"/>
        <v>0</v>
      </c>
    </row>
    <row r="2410" spans="7:11" hidden="1" x14ac:dyDescent="0.25">
      <c r="G2410">
        <f t="shared" si="186"/>
        <v>0</v>
      </c>
      <c r="H2410">
        <f t="shared" si="187"/>
        <v>0</v>
      </c>
      <c r="I2410" s="141">
        <f t="shared" si="188"/>
        <v>0</v>
      </c>
      <c r="J2410">
        <f t="shared" si="189"/>
        <v>0</v>
      </c>
      <c r="K2410" s="141">
        <f t="shared" si="190"/>
        <v>0</v>
      </c>
    </row>
    <row r="2411" spans="7:11" hidden="1" x14ac:dyDescent="0.25">
      <c r="G2411">
        <f t="shared" si="186"/>
        <v>0</v>
      </c>
      <c r="H2411">
        <f t="shared" si="187"/>
        <v>0</v>
      </c>
      <c r="I2411" s="141">
        <f t="shared" si="188"/>
        <v>0</v>
      </c>
      <c r="J2411">
        <f t="shared" si="189"/>
        <v>0</v>
      </c>
      <c r="K2411" s="141">
        <f t="shared" si="190"/>
        <v>0</v>
      </c>
    </row>
    <row r="2412" spans="7:11" hidden="1" x14ac:dyDescent="0.25">
      <c r="G2412">
        <f t="shared" si="186"/>
        <v>0</v>
      </c>
      <c r="H2412">
        <f t="shared" si="187"/>
        <v>0</v>
      </c>
      <c r="I2412" s="141">
        <f t="shared" si="188"/>
        <v>0</v>
      </c>
      <c r="J2412">
        <f t="shared" si="189"/>
        <v>0</v>
      </c>
      <c r="K2412" s="141">
        <f t="shared" si="190"/>
        <v>0</v>
      </c>
    </row>
    <row r="2413" spans="7:11" hidden="1" x14ac:dyDescent="0.25">
      <c r="G2413">
        <f t="shared" si="186"/>
        <v>0</v>
      </c>
      <c r="H2413">
        <f t="shared" si="187"/>
        <v>0</v>
      </c>
      <c r="I2413" s="141">
        <f t="shared" si="188"/>
        <v>0</v>
      </c>
      <c r="J2413">
        <f t="shared" si="189"/>
        <v>0</v>
      </c>
      <c r="K2413" s="141">
        <f t="shared" si="190"/>
        <v>0</v>
      </c>
    </row>
    <row r="2414" spans="7:11" hidden="1" x14ac:dyDescent="0.25">
      <c r="G2414">
        <f t="shared" si="186"/>
        <v>0</v>
      </c>
      <c r="H2414">
        <f t="shared" si="187"/>
        <v>0</v>
      </c>
      <c r="I2414" s="141">
        <f t="shared" si="188"/>
        <v>0</v>
      </c>
      <c r="J2414">
        <f t="shared" si="189"/>
        <v>0</v>
      </c>
      <c r="K2414" s="141">
        <f t="shared" si="190"/>
        <v>0</v>
      </c>
    </row>
    <row r="2415" spans="7:11" hidden="1" x14ac:dyDescent="0.25">
      <c r="G2415">
        <f t="shared" si="186"/>
        <v>0</v>
      </c>
      <c r="H2415">
        <f t="shared" si="187"/>
        <v>0</v>
      </c>
      <c r="I2415" s="141">
        <f t="shared" si="188"/>
        <v>0</v>
      </c>
      <c r="J2415">
        <f t="shared" si="189"/>
        <v>0</v>
      </c>
      <c r="K2415" s="141">
        <f t="shared" si="190"/>
        <v>0</v>
      </c>
    </row>
    <row r="2416" spans="7:11" hidden="1" x14ac:dyDescent="0.25">
      <c r="G2416">
        <f t="shared" si="186"/>
        <v>0</v>
      </c>
      <c r="H2416">
        <f t="shared" si="187"/>
        <v>0</v>
      </c>
      <c r="I2416" s="141">
        <f t="shared" si="188"/>
        <v>0</v>
      </c>
      <c r="J2416">
        <f t="shared" si="189"/>
        <v>0</v>
      </c>
      <c r="K2416" s="141">
        <f t="shared" si="190"/>
        <v>0</v>
      </c>
    </row>
    <row r="2417" spans="7:11" hidden="1" x14ac:dyDescent="0.25">
      <c r="G2417">
        <f t="shared" si="186"/>
        <v>0</v>
      </c>
      <c r="H2417">
        <f t="shared" si="187"/>
        <v>0</v>
      </c>
      <c r="I2417" s="141">
        <f t="shared" si="188"/>
        <v>0</v>
      </c>
      <c r="J2417">
        <f t="shared" si="189"/>
        <v>0</v>
      </c>
      <c r="K2417" s="141">
        <f t="shared" si="190"/>
        <v>0</v>
      </c>
    </row>
    <row r="2418" spans="7:11" hidden="1" x14ac:dyDescent="0.25">
      <c r="G2418">
        <f t="shared" si="186"/>
        <v>0</v>
      </c>
      <c r="H2418">
        <f t="shared" si="187"/>
        <v>0</v>
      </c>
      <c r="I2418" s="141">
        <f t="shared" si="188"/>
        <v>0</v>
      </c>
      <c r="J2418">
        <f t="shared" si="189"/>
        <v>0</v>
      </c>
      <c r="K2418" s="141">
        <f t="shared" si="190"/>
        <v>0</v>
      </c>
    </row>
    <row r="2419" spans="7:11" hidden="1" x14ac:dyDescent="0.25">
      <c r="G2419">
        <f t="shared" si="186"/>
        <v>0</v>
      </c>
      <c r="H2419">
        <f t="shared" si="187"/>
        <v>0</v>
      </c>
      <c r="I2419" s="141">
        <f t="shared" si="188"/>
        <v>0</v>
      </c>
      <c r="J2419">
        <f t="shared" si="189"/>
        <v>0</v>
      </c>
      <c r="K2419" s="141">
        <f t="shared" si="190"/>
        <v>0</v>
      </c>
    </row>
    <row r="2420" spans="7:11" hidden="1" x14ac:dyDescent="0.25">
      <c r="G2420">
        <f t="shared" si="186"/>
        <v>0</v>
      </c>
      <c r="H2420">
        <f t="shared" si="187"/>
        <v>0</v>
      </c>
      <c r="I2420" s="141">
        <f t="shared" si="188"/>
        <v>0</v>
      </c>
      <c r="J2420">
        <f t="shared" si="189"/>
        <v>0</v>
      </c>
      <c r="K2420" s="141">
        <f t="shared" si="190"/>
        <v>0</v>
      </c>
    </row>
    <row r="2421" spans="7:11" hidden="1" x14ac:dyDescent="0.25">
      <c r="G2421">
        <f t="shared" si="186"/>
        <v>0</v>
      </c>
      <c r="H2421">
        <f t="shared" si="187"/>
        <v>0</v>
      </c>
      <c r="I2421" s="141">
        <f t="shared" si="188"/>
        <v>0</v>
      </c>
      <c r="J2421">
        <f t="shared" si="189"/>
        <v>0</v>
      </c>
      <c r="K2421" s="141">
        <f t="shared" si="190"/>
        <v>0</v>
      </c>
    </row>
    <row r="2422" spans="7:11" hidden="1" x14ac:dyDescent="0.25">
      <c r="G2422">
        <f t="shared" si="186"/>
        <v>0</v>
      </c>
      <c r="H2422">
        <f t="shared" si="187"/>
        <v>0</v>
      </c>
      <c r="I2422" s="141">
        <f t="shared" si="188"/>
        <v>0</v>
      </c>
      <c r="J2422">
        <f t="shared" si="189"/>
        <v>0</v>
      </c>
      <c r="K2422" s="141">
        <f t="shared" si="190"/>
        <v>0</v>
      </c>
    </row>
    <row r="2423" spans="7:11" hidden="1" x14ac:dyDescent="0.25">
      <c r="G2423">
        <f t="shared" si="186"/>
        <v>0</v>
      </c>
      <c r="H2423">
        <f t="shared" si="187"/>
        <v>0</v>
      </c>
      <c r="I2423" s="141">
        <f t="shared" si="188"/>
        <v>0</v>
      </c>
      <c r="J2423">
        <f t="shared" si="189"/>
        <v>0</v>
      </c>
      <c r="K2423" s="141">
        <f t="shared" si="190"/>
        <v>0</v>
      </c>
    </row>
    <row r="2424" spans="7:11" hidden="1" x14ac:dyDescent="0.25">
      <c r="G2424">
        <f t="shared" si="186"/>
        <v>0</v>
      </c>
      <c r="H2424">
        <f t="shared" si="187"/>
        <v>0</v>
      </c>
      <c r="I2424" s="141">
        <f t="shared" si="188"/>
        <v>0</v>
      </c>
      <c r="J2424">
        <f t="shared" si="189"/>
        <v>0</v>
      </c>
      <c r="K2424" s="141">
        <f t="shared" si="190"/>
        <v>0</v>
      </c>
    </row>
    <row r="2425" spans="7:11" hidden="1" x14ac:dyDescent="0.25">
      <c r="G2425">
        <f t="shared" si="186"/>
        <v>0</v>
      </c>
      <c r="H2425">
        <f t="shared" si="187"/>
        <v>0</v>
      </c>
      <c r="I2425" s="141">
        <f t="shared" si="188"/>
        <v>0</v>
      </c>
      <c r="J2425">
        <f t="shared" si="189"/>
        <v>0</v>
      </c>
      <c r="K2425" s="141">
        <f t="shared" si="190"/>
        <v>0</v>
      </c>
    </row>
    <row r="2426" spans="7:11" hidden="1" x14ac:dyDescent="0.25">
      <c r="G2426">
        <f t="shared" si="186"/>
        <v>0</v>
      </c>
      <c r="H2426">
        <f t="shared" si="187"/>
        <v>0</v>
      </c>
      <c r="I2426" s="141">
        <f t="shared" si="188"/>
        <v>0</v>
      </c>
      <c r="J2426">
        <f t="shared" si="189"/>
        <v>0</v>
      </c>
      <c r="K2426" s="141">
        <f t="shared" si="190"/>
        <v>0</v>
      </c>
    </row>
    <row r="2427" spans="7:11" hidden="1" x14ac:dyDescent="0.25">
      <c r="G2427">
        <f t="shared" si="186"/>
        <v>0</v>
      </c>
      <c r="H2427">
        <f t="shared" si="187"/>
        <v>0</v>
      </c>
      <c r="I2427" s="141">
        <f t="shared" si="188"/>
        <v>0</v>
      </c>
      <c r="J2427">
        <f t="shared" si="189"/>
        <v>0</v>
      </c>
      <c r="K2427" s="141">
        <f t="shared" si="190"/>
        <v>0</v>
      </c>
    </row>
    <row r="2428" spans="7:11" hidden="1" x14ac:dyDescent="0.25">
      <c r="G2428">
        <f t="shared" si="186"/>
        <v>0</v>
      </c>
      <c r="H2428">
        <f t="shared" si="187"/>
        <v>0</v>
      </c>
      <c r="I2428" s="141">
        <f t="shared" si="188"/>
        <v>0</v>
      </c>
      <c r="J2428">
        <f t="shared" si="189"/>
        <v>0</v>
      </c>
      <c r="K2428" s="141">
        <f t="shared" si="190"/>
        <v>0</v>
      </c>
    </row>
    <row r="2429" spans="7:11" hidden="1" x14ac:dyDescent="0.25">
      <c r="G2429">
        <f t="shared" si="186"/>
        <v>0</v>
      </c>
      <c r="H2429">
        <f t="shared" si="187"/>
        <v>0</v>
      </c>
      <c r="I2429" s="141">
        <f t="shared" si="188"/>
        <v>0</v>
      </c>
      <c r="J2429">
        <f t="shared" si="189"/>
        <v>0</v>
      </c>
      <c r="K2429" s="141">
        <f t="shared" si="190"/>
        <v>0</v>
      </c>
    </row>
    <row r="2430" spans="7:11" hidden="1" x14ac:dyDescent="0.25">
      <c r="G2430">
        <f t="shared" si="186"/>
        <v>0</v>
      </c>
      <c r="H2430">
        <f t="shared" si="187"/>
        <v>0</v>
      </c>
      <c r="I2430" s="141">
        <f t="shared" si="188"/>
        <v>0</v>
      </c>
      <c r="J2430">
        <f t="shared" si="189"/>
        <v>0</v>
      </c>
      <c r="K2430" s="141">
        <f t="shared" si="190"/>
        <v>0</v>
      </c>
    </row>
    <row r="2431" spans="7:11" hidden="1" x14ac:dyDescent="0.25">
      <c r="G2431">
        <f t="shared" si="186"/>
        <v>0</v>
      </c>
      <c r="H2431">
        <f t="shared" si="187"/>
        <v>0</v>
      </c>
      <c r="I2431" s="141">
        <f t="shared" si="188"/>
        <v>0</v>
      </c>
      <c r="J2431">
        <f t="shared" si="189"/>
        <v>0</v>
      </c>
      <c r="K2431" s="141">
        <f t="shared" si="190"/>
        <v>0</v>
      </c>
    </row>
    <row r="2432" spans="7:11" hidden="1" x14ac:dyDescent="0.25">
      <c r="G2432">
        <f t="shared" si="186"/>
        <v>0</v>
      </c>
      <c r="H2432">
        <f t="shared" si="187"/>
        <v>0</v>
      </c>
      <c r="I2432" s="141">
        <f t="shared" si="188"/>
        <v>0</v>
      </c>
      <c r="J2432">
        <f t="shared" si="189"/>
        <v>0</v>
      </c>
      <c r="K2432" s="141">
        <f t="shared" si="190"/>
        <v>0</v>
      </c>
    </row>
    <row r="2433" spans="7:11" hidden="1" x14ac:dyDescent="0.25">
      <c r="G2433">
        <f t="shared" si="186"/>
        <v>0</v>
      </c>
      <c r="H2433">
        <f t="shared" si="187"/>
        <v>0</v>
      </c>
      <c r="I2433" s="141">
        <f t="shared" si="188"/>
        <v>0</v>
      </c>
      <c r="J2433">
        <f t="shared" si="189"/>
        <v>0</v>
      </c>
      <c r="K2433" s="141">
        <f t="shared" si="190"/>
        <v>0</v>
      </c>
    </row>
    <row r="2434" spans="7:11" hidden="1" x14ac:dyDescent="0.25">
      <c r="G2434">
        <f t="shared" ref="G2434:G2497" si="191">A2434</f>
        <v>0</v>
      </c>
      <c r="H2434">
        <f t="shared" ref="H2434:H2497" si="192">B2434</f>
        <v>0</v>
      </c>
      <c r="I2434" s="141">
        <f t="shared" ref="I2434:I2497" si="193">C2434</f>
        <v>0</v>
      </c>
      <c r="J2434">
        <f t="shared" ref="J2434:J2497" si="194">D2434</f>
        <v>0</v>
      </c>
      <c r="K2434" s="141">
        <f t="shared" ref="K2434:K2497" si="195">E2434</f>
        <v>0</v>
      </c>
    </row>
    <row r="2435" spans="7:11" hidden="1" x14ac:dyDescent="0.25">
      <c r="G2435">
        <f t="shared" si="191"/>
        <v>0</v>
      </c>
      <c r="H2435">
        <f t="shared" si="192"/>
        <v>0</v>
      </c>
      <c r="I2435" s="141">
        <f t="shared" si="193"/>
        <v>0</v>
      </c>
      <c r="J2435">
        <f t="shared" si="194"/>
        <v>0</v>
      </c>
      <c r="K2435" s="141">
        <f t="shared" si="195"/>
        <v>0</v>
      </c>
    </row>
    <row r="2436" spans="7:11" hidden="1" x14ac:dyDescent="0.25">
      <c r="G2436">
        <f t="shared" si="191"/>
        <v>0</v>
      </c>
      <c r="H2436">
        <f t="shared" si="192"/>
        <v>0</v>
      </c>
      <c r="I2436" s="141">
        <f t="shared" si="193"/>
        <v>0</v>
      </c>
      <c r="J2436">
        <f t="shared" si="194"/>
        <v>0</v>
      </c>
      <c r="K2436" s="141">
        <f t="shared" si="195"/>
        <v>0</v>
      </c>
    </row>
    <row r="2437" spans="7:11" hidden="1" x14ac:dyDescent="0.25">
      <c r="G2437">
        <f t="shared" si="191"/>
        <v>0</v>
      </c>
      <c r="H2437">
        <f t="shared" si="192"/>
        <v>0</v>
      </c>
      <c r="I2437" s="141">
        <f t="shared" si="193"/>
        <v>0</v>
      </c>
      <c r="J2437">
        <f t="shared" si="194"/>
        <v>0</v>
      </c>
      <c r="K2437" s="141">
        <f t="shared" si="195"/>
        <v>0</v>
      </c>
    </row>
    <row r="2438" spans="7:11" hidden="1" x14ac:dyDescent="0.25">
      <c r="G2438">
        <f t="shared" si="191"/>
        <v>0</v>
      </c>
      <c r="H2438">
        <f t="shared" si="192"/>
        <v>0</v>
      </c>
      <c r="I2438" s="141">
        <f t="shared" si="193"/>
        <v>0</v>
      </c>
      <c r="J2438">
        <f t="shared" si="194"/>
        <v>0</v>
      </c>
      <c r="K2438" s="141">
        <f t="shared" si="195"/>
        <v>0</v>
      </c>
    </row>
    <row r="2439" spans="7:11" hidden="1" x14ac:dyDescent="0.25">
      <c r="G2439">
        <f t="shared" si="191"/>
        <v>0</v>
      </c>
      <c r="H2439">
        <f t="shared" si="192"/>
        <v>0</v>
      </c>
      <c r="I2439" s="141">
        <f t="shared" si="193"/>
        <v>0</v>
      </c>
      <c r="J2439">
        <f t="shared" si="194"/>
        <v>0</v>
      </c>
      <c r="K2439" s="141">
        <f t="shared" si="195"/>
        <v>0</v>
      </c>
    </row>
    <row r="2440" spans="7:11" hidden="1" x14ac:dyDescent="0.25">
      <c r="G2440">
        <f t="shared" si="191"/>
        <v>0</v>
      </c>
      <c r="H2440">
        <f t="shared" si="192"/>
        <v>0</v>
      </c>
      <c r="I2440" s="141">
        <f t="shared" si="193"/>
        <v>0</v>
      </c>
      <c r="J2440">
        <f t="shared" si="194"/>
        <v>0</v>
      </c>
      <c r="K2440" s="141">
        <f t="shared" si="195"/>
        <v>0</v>
      </c>
    </row>
    <row r="2441" spans="7:11" hidden="1" x14ac:dyDescent="0.25">
      <c r="G2441">
        <f t="shared" si="191"/>
        <v>0</v>
      </c>
      <c r="H2441">
        <f t="shared" si="192"/>
        <v>0</v>
      </c>
      <c r="I2441" s="141">
        <f t="shared" si="193"/>
        <v>0</v>
      </c>
      <c r="J2441">
        <f t="shared" si="194"/>
        <v>0</v>
      </c>
      <c r="K2441" s="141">
        <f t="shared" si="195"/>
        <v>0</v>
      </c>
    </row>
    <row r="2442" spans="7:11" hidden="1" x14ac:dyDescent="0.25">
      <c r="G2442">
        <f t="shared" si="191"/>
        <v>0</v>
      </c>
      <c r="H2442">
        <f t="shared" si="192"/>
        <v>0</v>
      </c>
      <c r="I2442" s="141">
        <f t="shared" si="193"/>
        <v>0</v>
      </c>
      <c r="J2442">
        <f t="shared" si="194"/>
        <v>0</v>
      </c>
      <c r="K2442" s="141">
        <f t="shared" si="195"/>
        <v>0</v>
      </c>
    </row>
    <row r="2443" spans="7:11" hidden="1" x14ac:dyDescent="0.25">
      <c r="G2443">
        <f t="shared" si="191"/>
        <v>0</v>
      </c>
      <c r="H2443">
        <f t="shared" si="192"/>
        <v>0</v>
      </c>
      <c r="I2443" s="141">
        <f t="shared" si="193"/>
        <v>0</v>
      </c>
      <c r="J2443">
        <f t="shared" si="194"/>
        <v>0</v>
      </c>
      <c r="K2443" s="141">
        <f t="shared" si="195"/>
        <v>0</v>
      </c>
    </row>
    <row r="2444" spans="7:11" hidden="1" x14ac:dyDescent="0.25">
      <c r="G2444">
        <f t="shared" si="191"/>
        <v>0</v>
      </c>
      <c r="H2444">
        <f t="shared" si="192"/>
        <v>0</v>
      </c>
      <c r="I2444" s="141">
        <f t="shared" si="193"/>
        <v>0</v>
      </c>
      <c r="J2444">
        <f t="shared" si="194"/>
        <v>0</v>
      </c>
      <c r="K2444" s="141">
        <f t="shared" si="195"/>
        <v>0</v>
      </c>
    </row>
    <row r="2445" spans="7:11" hidden="1" x14ac:dyDescent="0.25">
      <c r="G2445">
        <f t="shared" si="191"/>
        <v>0</v>
      </c>
      <c r="H2445">
        <f t="shared" si="192"/>
        <v>0</v>
      </c>
      <c r="I2445" s="141">
        <f t="shared" si="193"/>
        <v>0</v>
      </c>
      <c r="J2445">
        <f t="shared" si="194"/>
        <v>0</v>
      </c>
      <c r="K2445" s="141">
        <f t="shared" si="195"/>
        <v>0</v>
      </c>
    </row>
    <row r="2446" spans="7:11" hidden="1" x14ac:dyDescent="0.25">
      <c r="G2446">
        <f t="shared" si="191"/>
        <v>0</v>
      </c>
      <c r="H2446">
        <f t="shared" si="192"/>
        <v>0</v>
      </c>
      <c r="I2446" s="141">
        <f t="shared" si="193"/>
        <v>0</v>
      </c>
      <c r="J2446">
        <f t="shared" si="194"/>
        <v>0</v>
      </c>
      <c r="K2446" s="141">
        <f t="shared" si="195"/>
        <v>0</v>
      </c>
    </row>
    <row r="2447" spans="7:11" hidden="1" x14ac:dyDescent="0.25">
      <c r="G2447">
        <f t="shared" si="191"/>
        <v>0</v>
      </c>
      <c r="H2447">
        <f t="shared" si="192"/>
        <v>0</v>
      </c>
      <c r="I2447" s="141">
        <f t="shared" si="193"/>
        <v>0</v>
      </c>
      <c r="J2447">
        <f t="shared" si="194"/>
        <v>0</v>
      </c>
      <c r="K2447" s="141">
        <f t="shared" si="195"/>
        <v>0</v>
      </c>
    </row>
    <row r="2448" spans="7:11" hidden="1" x14ac:dyDescent="0.25">
      <c r="G2448">
        <f t="shared" si="191"/>
        <v>0</v>
      </c>
      <c r="H2448">
        <f t="shared" si="192"/>
        <v>0</v>
      </c>
      <c r="I2448" s="141">
        <f t="shared" si="193"/>
        <v>0</v>
      </c>
      <c r="J2448">
        <f t="shared" si="194"/>
        <v>0</v>
      </c>
      <c r="K2448" s="141">
        <f t="shared" si="195"/>
        <v>0</v>
      </c>
    </row>
    <row r="2449" spans="7:11" hidden="1" x14ac:dyDescent="0.25">
      <c r="G2449">
        <f t="shared" si="191"/>
        <v>0</v>
      </c>
      <c r="H2449">
        <f t="shared" si="192"/>
        <v>0</v>
      </c>
      <c r="I2449" s="141">
        <f t="shared" si="193"/>
        <v>0</v>
      </c>
      <c r="J2449">
        <f t="shared" si="194"/>
        <v>0</v>
      </c>
      <c r="K2449" s="141">
        <f t="shared" si="195"/>
        <v>0</v>
      </c>
    </row>
    <row r="2450" spans="7:11" hidden="1" x14ac:dyDescent="0.25">
      <c r="G2450">
        <f t="shared" si="191"/>
        <v>0</v>
      </c>
      <c r="H2450">
        <f t="shared" si="192"/>
        <v>0</v>
      </c>
      <c r="I2450" s="141">
        <f t="shared" si="193"/>
        <v>0</v>
      </c>
      <c r="J2450">
        <f t="shared" si="194"/>
        <v>0</v>
      </c>
      <c r="K2450" s="141">
        <f t="shared" si="195"/>
        <v>0</v>
      </c>
    </row>
    <row r="2451" spans="7:11" hidden="1" x14ac:dyDescent="0.25">
      <c r="G2451">
        <f t="shared" si="191"/>
        <v>0</v>
      </c>
      <c r="H2451">
        <f t="shared" si="192"/>
        <v>0</v>
      </c>
      <c r="I2451" s="141">
        <f t="shared" si="193"/>
        <v>0</v>
      </c>
      <c r="J2451">
        <f t="shared" si="194"/>
        <v>0</v>
      </c>
      <c r="K2451" s="141">
        <f t="shared" si="195"/>
        <v>0</v>
      </c>
    </row>
    <row r="2452" spans="7:11" hidden="1" x14ac:dyDescent="0.25">
      <c r="G2452">
        <f t="shared" si="191"/>
        <v>0</v>
      </c>
      <c r="H2452">
        <f t="shared" si="192"/>
        <v>0</v>
      </c>
      <c r="I2452" s="141">
        <f t="shared" si="193"/>
        <v>0</v>
      </c>
      <c r="J2452">
        <f t="shared" si="194"/>
        <v>0</v>
      </c>
      <c r="K2452" s="141">
        <f t="shared" si="195"/>
        <v>0</v>
      </c>
    </row>
    <row r="2453" spans="7:11" hidden="1" x14ac:dyDescent="0.25">
      <c r="G2453">
        <f t="shared" si="191"/>
        <v>0</v>
      </c>
      <c r="H2453">
        <f t="shared" si="192"/>
        <v>0</v>
      </c>
      <c r="I2453" s="141">
        <f t="shared" si="193"/>
        <v>0</v>
      </c>
      <c r="J2453">
        <f t="shared" si="194"/>
        <v>0</v>
      </c>
      <c r="K2453" s="141">
        <f t="shared" si="195"/>
        <v>0</v>
      </c>
    </row>
    <row r="2454" spans="7:11" hidden="1" x14ac:dyDescent="0.25">
      <c r="G2454">
        <f t="shared" si="191"/>
        <v>0</v>
      </c>
      <c r="H2454">
        <f t="shared" si="192"/>
        <v>0</v>
      </c>
      <c r="I2454" s="141">
        <f t="shared" si="193"/>
        <v>0</v>
      </c>
      <c r="J2454">
        <f t="shared" si="194"/>
        <v>0</v>
      </c>
      <c r="K2454" s="141">
        <f t="shared" si="195"/>
        <v>0</v>
      </c>
    </row>
    <row r="2455" spans="7:11" hidden="1" x14ac:dyDescent="0.25">
      <c r="G2455">
        <f t="shared" si="191"/>
        <v>0</v>
      </c>
      <c r="H2455">
        <f t="shared" si="192"/>
        <v>0</v>
      </c>
      <c r="I2455" s="141">
        <f t="shared" si="193"/>
        <v>0</v>
      </c>
      <c r="J2455">
        <f t="shared" si="194"/>
        <v>0</v>
      </c>
      <c r="K2455" s="141">
        <f t="shared" si="195"/>
        <v>0</v>
      </c>
    </row>
    <row r="2456" spans="7:11" hidden="1" x14ac:dyDescent="0.25">
      <c r="G2456">
        <f t="shared" si="191"/>
        <v>0</v>
      </c>
      <c r="H2456">
        <f t="shared" si="192"/>
        <v>0</v>
      </c>
      <c r="I2456" s="141">
        <f t="shared" si="193"/>
        <v>0</v>
      </c>
      <c r="J2456">
        <f t="shared" si="194"/>
        <v>0</v>
      </c>
      <c r="K2456" s="141">
        <f t="shared" si="195"/>
        <v>0</v>
      </c>
    </row>
    <row r="2457" spans="7:11" hidden="1" x14ac:dyDescent="0.25">
      <c r="G2457">
        <f t="shared" si="191"/>
        <v>0</v>
      </c>
      <c r="H2457">
        <f t="shared" si="192"/>
        <v>0</v>
      </c>
      <c r="I2457" s="141">
        <f t="shared" si="193"/>
        <v>0</v>
      </c>
      <c r="J2457">
        <f t="shared" si="194"/>
        <v>0</v>
      </c>
      <c r="K2457" s="141">
        <f t="shared" si="195"/>
        <v>0</v>
      </c>
    </row>
    <row r="2458" spans="7:11" hidden="1" x14ac:dyDescent="0.25">
      <c r="G2458">
        <f t="shared" si="191"/>
        <v>0</v>
      </c>
      <c r="H2458">
        <f t="shared" si="192"/>
        <v>0</v>
      </c>
      <c r="I2458" s="141">
        <f t="shared" si="193"/>
        <v>0</v>
      </c>
      <c r="J2458">
        <f t="shared" si="194"/>
        <v>0</v>
      </c>
      <c r="K2458" s="141">
        <f t="shared" si="195"/>
        <v>0</v>
      </c>
    </row>
    <row r="2459" spans="7:11" hidden="1" x14ac:dyDescent="0.25">
      <c r="G2459">
        <f t="shared" si="191"/>
        <v>0</v>
      </c>
      <c r="H2459">
        <f t="shared" si="192"/>
        <v>0</v>
      </c>
      <c r="I2459" s="141">
        <f t="shared" si="193"/>
        <v>0</v>
      </c>
      <c r="J2459">
        <f t="shared" si="194"/>
        <v>0</v>
      </c>
      <c r="K2459" s="141">
        <f t="shared" si="195"/>
        <v>0</v>
      </c>
    </row>
    <row r="2460" spans="7:11" hidden="1" x14ac:dyDescent="0.25">
      <c r="G2460">
        <f t="shared" si="191"/>
        <v>0</v>
      </c>
      <c r="H2460">
        <f t="shared" si="192"/>
        <v>0</v>
      </c>
      <c r="I2460" s="141">
        <f t="shared" si="193"/>
        <v>0</v>
      </c>
      <c r="J2460">
        <f t="shared" si="194"/>
        <v>0</v>
      </c>
      <c r="K2460" s="141">
        <f t="shared" si="195"/>
        <v>0</v>
      </c>
    </row>
    <row r="2461" spans="7:11" hidden="1" x14ac:dyDescent="0.25">
      <c r="G2461">
        <f t="shared" si="191"/>
        <v>0</v>
      </c>
      <c r="H2461">
        <f t="shared" si="192"/>
        <v>0</v>
      </c>
      <c r="I2461" s="141">
        <f t="shared" si="193"/>
        <v>0</v>
      </c>
      <c r="J2461">
        <f t="shared" si="194"/>
        <v>0</v>
      </c>
      <c r="K2461" s="141">
        <f t="shared" si="195"/>
        <v>0</v>
      </c>
    </row>
    <row r="2462" spans="7:11" hidden="1" x14ac:dyDescent="0.25">
      <c r="G2462">
        <f t="shared" si="191"/>
        <v>0</v>
      </c>
      <c r="H2462">
        <f t="shared" si="192"/>
        <v>0</v>
      </c>
      <c r="I2462" s="141">
        <f t="shared" si="193"/>
        <v>0</v>
      </c>
      <c r="J2462">
        <f t="shared" si="194"/>
        <v>0</v>
      </c>
      <c r="K2462" s="141">
        <f t="shared" si="195"/>
        <v>0</v>
      </c>
    </row>
    <row r="2463" spans="7:11" hidden="1" x14ac:dyDescent="0.25">
      <c r="G2463">
        <f t="shared" si="191"/>
        <v>0</v>
      </c>
      <c r="H2463">
        <f t="shared" si="192"/>
        <v>0</v>
      </c>
      <c r="I2463" s="141">
        <f t="shared" si="193"/>
        <v>0</v>
      </c>
      <c r="J2463">
        <f t="shared" si="194"/>
        <v>0</v>
      </c>
      <c r="K2463" s="141">
        <f t="shared" si="195"/>
        <v>0</v>
      </c>
    </row>
    <row r="2464" spans="7:11" hidden="1" x14ac:dyDescent="0.25">
      <c r="G2464">
        <f t="shared" si="191"/>
        <v>0</v>
      </c>
      <c r="H2464">
        <f t="shared" si="192"/>
        <v>0</v>
      </c>
      <c r="I2464" s="141">
        <f t="shared" si="193"/>
        <v>0</v>
      </c>
      <c r="J2464">
        <f t="shared" si="194"/>
        <v>0</v>
      </c>
      <c r="K2464" s="141">
        <f t="shared" si="195"/>
        <v>0</v>
      </c>
    </row>
    <row r="2465" spans="7:11" hidden="1" x14ac:dyDescent="0.25">
      <c r="G2465">
        <f t="shared" si="191"/>
        <v>0</v>
      </c>
      <c r="H2465">
        <f t="shared" si="192"/>
        <v>0</v>
      </c>
      <c r="I2465" s="141">
        <f t="shared" si="193"/>
        <v>0</v>
      </c>
      <c r="J2465">
        <f t="shared" si="194"/>
        <v>0</v>
      </c>
      <c r="K2465" s="141">
        <f t="shared" si="195"/>
        <v>0</v>
      </c>
    </row>
    <row r="2466" spans="7:11" hidden="1" x14ac:dyDescent="0.25">
      <c r="G2466">
        <f t="shared" si="191"/>
        <v>0</v>
      </c>
      <c r="H2466">
        <f t="shared" si="192"/>
        <v>0</v>
      </c>
      <c r="I2466" s="141">
        <f t="shared" si="193"/>
        <v>0</v>
      </c>
      <c r="J2466">
        <f t="shared" si="194"/>
        <v>0</v>
      </c>
      <c r="K2466" s="141">
        <f t="shared" si="195"/>
        <v>0</v>
      </c>
    </row>
    <row r="2467" spans="7:11" hidden="1" x14ac:dyDescent="0.25">
      <c r="G2467">
        <f t="shared" si="191"/>
        <v>0</v>
      </c>
      <c r="H2467">
        <f t="shared" si="192"/>
        <v>0</v>
      </c>
      <c r="I2467" s="141">
        <f t="shared" si="193"/>
        <v>0</v>
      </c>
      <c r="J2467">
        <f t="shared" si="194"/>
        <v>0</v>
      </c>
      <c r="K2467" s="141">
        <f t="shared" si="195"/>
        <v>0</v>
      </c>
    </row>
    <row r="2468" spans="7:11" hidden="1" x14ac:dyDescent="0.25">
      <c r="G2468">
        <f t="shared" si="191"/>
        <v>0</v>
      </c>
      <c r="H2468">
        <f t="shared" si="192"/>
        <v>0</v>
      </c>
      <c r="I2468" s="141">
        <f t="shared" si="193"/>
        <v>0</v>
      </c>
      <c r="J2468">
        <f t="shared" si="194"/>
        <v>0</v>
      </c>
      <c r="K2468" s="141">
        <f t="shared" si="195"/>
        <v>0</v>
      </c>
    </row>
    <row r="2469" spans="7:11" hidden="1" x14ac:dyDescent="0.25">
      <c r="G2469">
        <f t="shared" si="191"/>
        <v>0</v>
      </c>
      <c r="H2469">
        <f t="shared" si="192"/>
        <v>0</v>
      </c>
      <c r="I2469" s="141">
        <f t="shared" si="193"/>
        <v>0</v>
      </c>
      <c r="J2469">
        <f t="shared" si="194"/>
        <v>0</v>
      </c>
      <c r="K2469" s="141">
        <f t="shared" si="195"/>
        <v>0</v>
      </c>
    </row>
    <row r="2470" spans="7:11" hidden="1" x14ac:dyDescent="0.25">
      <c r="G2470">
        <f t="shared" si="191"/>
        <v>0</v>
      </c>
      <c r="H2470">
        <f t="shared" si="192"/>
        <v>0</v>
      </c>
      <c r="I2470" s="141">
        <f t="shared" si="193"/>
        <v>0</v>
      </c>
      <c r="J2470">
        <f t="shared" si="194"/>
        <v>0</v>
      </c>
      <c r="K2470" s="141">
        <f t="shared" si="195"/>
        <v>0</v>
      </c>
    </row>
    <row r="2471" spans="7:11" hidden="1" x14ac:dyDescent="0.25">
      <c r="G2471">
        <f t="shared" si="191"/>
        <v>0</v>
      </c>
      <c r="H2471">
        <f t="shared" si="192"/>
        <v>0</v>
      </c>
      <c r="I2471" s="141">
        <f t="shared" si="193"/>
        <v>0</v>
      </c>
      <c r="J2471">
        <f t="shared" si="194"/>
        <v>0</v>
      </c>
      <c r="K2471" s="141">
        <f t="shared" si="195"/>
        <v>0</v>
      </c>
    </row>
    <row r="2472" spans="7:11" hidden="1" x14ac:dyDescent="0.25">
      <c r="G2472">
        <f t="shared" si="191"/>
        <v>0</v>
      </c>
      <c r="H2472">
        <f t="shared" si="192"/>
        <v>0</v>
      </c>
      <c r="I2472" s="141">
        <f t="shared" si="193"/>
        <v>0</v>
      </c>
      <c r="J2472">
        <f t="shared" si="194"/>
        <v>0</v>
      </c>
      <c r="K2472" s="141">
        <f t="shared" si="195"/>
        <v>0</v>
      </c>
    </row>
    <row r="2473" spans="7:11" hidden="1" x14ac:dyDescent="0.25">
      <c r="G2473">
        <f t="shared" si="191"/>
        <v>0</v>
      </c>
      <c r="H2473">
        <f t="shared" si="192"/>
        <v>0</v>
      </c>
      <c r="I2473" s="141">
        <f t="shared" si="193"/>
        <v>0</v>
      </c>
      <c r="J2473">
        <f t="shared" si="194"/>
        <v>0</v>
      </c>
      <c r="K2473" s="141">
        <f t="shared" si="195"/>
        <v>0</v>
      </c>
    </row>
    <row r="2474" spans="7:11" hidden="1" x14ac:dyDescent="0.25">
      <c r="G2474">
        <f t="shared" si="191"/>
        <v>0</v>
      </c>
      <c r="H2474">
        <f t="shared" si="192"/>
        <v>0</v>
      </c>
      <c r="I2474" s="141">
        <f t="shared" si="193"/>
        <v>0</v>
      </c>
      <c r="J2474">
        <f t="shared" si="194"/>
        <v>0</v>
      </c>
      <c r="K2474" s="141">
        <f t="shared" si="195"/>
        <v>0</v>
      </c>
    </row>
    <row r="2475" spans="7:11" hidden="1" x14ac:dyDescent="0.25">
      <c r="G2475">
        <f t="shared" si="191"/>
        <v>0</v>
      </c>
      <c r="H2475">
        <f t="shared" si="192"/>
        <v>0</v>
      </c>
      <c r="I2475" s="141">
        <f t="shared" si="193"/>
        <v>0</v>
      </c>
      <c r="J2475">
        <f t="shared" si="194"/>
        <v>0</v>
      </c>
      <c r="K2475" s="141">
        <f t="shared" si="195"/>
        <v>0</v>
      </c>
    </row>
    <row r="2476" spans="7:11" hidden="1" x14ac:dyDescent="0.25">
      <c r="G2476">
        <f t="shared" si="191"/>
        <v>0</v>
      </c>
      <c r="H2476">
        <f t="shared" si="192"/>
        <v>0</v>
      </c>
      <c r="I2476" s="141">
        <f t="shared" si="193"/>
        <v>0</v>
      </c>
      <c r="J2476">
        <f t="shared" si="194"/>
        <v>0</v>
      </c>
      <c r="K2476" s="141">
        <f t="shared" si="195"/>
        <v>0</v>
      </c>
    </row>
    <row r="2477" spans="7:11" hidden="1" x14ac:dyDescent="0.25">
      <c r="G2477">
        <f t="shared" si="191"/>
        <v>0</v>
      </c>
      <c r="H2477">
        <f t="shared" si="192"/>
        <v>0</v>
      </c>
      <c r="I2477" s="141">
        <f t="shared" si="193"/>
        <v>0</v>
      </c>
      <c r="J2477">
        <f t="shared" si="194"/>
        <v>0</v>
      </c>
      <c r="K2477" s="141">
        <f t="shared" si="195"/>
        <v>0</v>
      </c>
    </row>
    <row r="2478" spans="7:11" hidden="1" x14ac:dyDescent="0.25">
      <c r="G2478">
        <f t="shared" si="191"/>
        <v>0</v>
      </c>
      <c r="H2478">
        <f t="shared" si="192"/>
        <v>0</v>
      </c>
      <c r="I2478" s="141">
        <f t="shared" si="193"/>
        <v>0</v>
      </c>
      <c r="J2478">
        <f t="shared" si="194"/>
        <v>0</v>
      </c>
      <c r="K2478" s="141">
        <f t="shared" si="195"/>
        <v>0</v>
      </c>
    </row>
    <row r="2479" spans="7:11" hidden="1" x14ac:dyDescent="0.25">
      <c r="G2479">
        <f t="shared" si="191"/>
        <v>0</v>
      </c>
      <c r="H2479">
        <f t="shared" si="192"/>
        <v>0</v>
      </c>
      <c r="I2479" s="141">
        <f t="shared" si="193"/>
        <v>0</v>
      </c>
      <c r="J2479">
        <f t="shared" si="194"/>
        <v>0</v>
      </c>
      <c r="K2479" s="141">
        <f t="shared" si="195"/>
        <v>0</v>
      </c>
    </row>
    <row r="2480" spans="7:11" hidden="1" x14ac:dyDescent="0.25">
      <c r="G2480">
        <f t="shared" si="191"/>
        <v>0</v>
      </c>
      <c r="H2480">
        <f t="shared" si="192"/>
        <v>0</v>
      </c>
      <c r="I2480" s="141">
        <f t="shared" si="193"/>
        <v>0</v>
      </c>
      <c r="J2480">
        <f t="shared" si="194"/>
        <v>0</v>
      </c>
      <c r="K2480" s="141">
        <f t="shared" si="195"/>
        <v>0</v>
      </c>
    </row>
    <row r="2481" spans="7:11" hidden="1" x14ac:dyDescent="0.25">
      <c r="G2481">
        <f t="shared" si="191"/>
        <v>0</v>
      </c>
      <c r="H2481">
        <f t="shared" si="192"/>
        <v>0</v>
      </c>
      <c r="I2481" s="141">
        <f t="shared" si="193"/>
        <v>0</v>
      </c>
      <c r="J2481">
        <f t="shared" si="194"/>
        <v>0</v>
      </c>
      <c r="K2481" s="141">
        <f t="shared" si="195"/>
        <v>0</v>
      </c>
    </row>
    <row r="2482" spans="7:11" hidden="1" x14ac:dyDescent="0.25">
      <c r="G2482">
        <f t="shared" si="191"/>
        <v>0</v>
      </c>
      <c r="H2482">
        <f t="shared" si="192"/>
        <v>0</v>
      </c>
      <c r="I2482" s="141">
        <f t="shared" si="193"/>
        <v>0</v>
      </c>
      <c r="J2482">
        <f t="shared" si="194"/>
        <v>0</v>
      </c>
      <c r="K2482" s="141">
        <f t="shared" si="195"/>
        <v>0</v>
      </c>
    </row>
    <row r="2483" spans="7:11" hidden="1" x14ac:dyDescent="0.25">
      <c r="G2483">
        <f t="shared" si="191"/>
        <v>0</v>
      </c>
      <c r="H2483">
        <f t="shared" si="192"/>
        <v>0</v>
      </c>
      <c r="I2483" s="141">
        <f t="shared" si="193"/>
        <v>0</v>
      </c>
      <c r="J2483">
        <f t="shared" si="194"/>
        <v>0</v>
      </c>
      <c r="K2483" s="141">
        <f t="shared" si="195"/>
        <v>0</v>
      </c>
    </row>
    <row r="2484" spans="7:11" hidden="1" x14ac:dyDescent="0.25">
      <c r="G2484">
        <f t="shared" si="191"/>
        <v>0</v>
      </c>
      <c r="H2484">
        <f t="shared" si="192"/>
        <v>0</v>
      </c>
      <c r="I2484" s="141">
        <f t="shared" si="193"/>
        <v>0</v>
      </c>
      <c r="J2484">
        <f t="shared" si="194"/>
        <v>0</v>
      </c>
      <c r="K2484" s="141">
        <f t="shared" si="195"/>
        <v>0</v>
      </c>
    </row>
    <row r="2485" spans="7:11" hidden="1" x14ac:dyDescent="0.25">
      <c r="G2485">
        <f t="shared" si="191"/>
        <v>0</v>
      </c>
      <c r="H2485">
        <f t="shared" si="192"/>
        <v>0</v>
      </c>
      <c r="I2485" s="141">
        <f t="shared" si="193"/>
        <v>0</v>
      </c>
      <c r="J2485">
        <f t="shared" si="194"/>
        <v>0</v>
      </c>
      <c r="K2485" s="141">
        <f t="shared" si="195"/>
        <v>0</v>
      </c>
    </row>
    <row r="2486" spans="7:11" hidden="1" x14ac:dyDescent="0.25">
      <c r="G2486">
        <f t="shared" si="191"/>
        <v>0</v>
      </c>
      <c r="H2486">
        <f t="shared" si="192"/>
        <v>0</v>
      </c>
      <c r="I2486" s="141">
        <f t="shared" si="193"/>
        <v>0</v>
      </c>
      <c r="J2486">
        <f t="shared" si="194"/>
        <v>0</v>
      </c>
      <c r="K2486" s="141">
        <f t="shared" si="195"/>
        <v>0</v>
      </c>
    </row>
    <row r="2487" spans="7:11" hidden="1" x14ac:dyDescent="0.25">
      <c r="G2487">
        <f t="shared" si="191"/>
        <v>0</v>
      </c>
      <c r="H2487">
        <f t="shared" si="192"/>
        <v>0</v>
      </c>
      <c r="I2487" s="141">
        <f t="shared" si="193"/>
        <v>0</v>
      </c>
      <c r="J2487">
        <f t="shared" si="194"/>
        <v>0</v>
      </c>
      <c r="K2487" s="141">
        <f t="shared" si="195"/>
        <v>0</v>
      </c>
    </row>
    <row r="2488" spans="7:11" hidden="1" x14ac:dyDescent="0.25">
      <c r="G2488">
        <f t="shared" si="191"/>
        <v>0</v>
      </c>
      <c r="H2488">
        <f t="shared" si="192"/>
        <v>0</v>
      </c>
      <c r="I2488" s="141">
        <f t="shared" si="193"/>
        <v>0</v>
      </c>
      <c r="J2488">
        <f t="shared" si="194"/>
        <v>0</v>
      </c>
      <c r="K2488" s="141">
        <f t="shared" si="195"/>
        <v>0</v>
      </c>
    </row>
    <row r="2489" spans="7:11" hidden="1" x14ac:dyDescent="0.25">
      <c r="G2489">
        <f t="shared" si="191"/>
        <v>0</v>
      </c>
      <c r="H2489">
        <f t="shared" si="192"/>
        <v>0</v>
      </c>
      <c r="I2489" s="141">
        <f t="shared" si="193"/>
        <v>0</v>
      </c>
      <c r="J2489">
        <f t="shared" si="194"/>
        <v>0</v>
      </c>
      <c r="K2489" s="141">
        <f t="shared" si="195"/>
        <v>0</v>
      </c>
    </row>
    <row r="2490" spans="7:11" hidden="1" x14ac:dyDescent="0.25">
      <c r="G2490">
        <f t="shared" si="191"/>
        <v>0</v>
      </c>
      <c r="H2490">
        <f t="shared" si="192"/>
        <v>0</v>
      </c>
      <c r="I2490" s="141">
        <f t="shared" si="193"/>
        <v>0</v>
      </c>
      <c r="J2490">
        <f t="shared" si="194"/>
        <v>0</v>
      </c>
      <c r="K2490" s="141">
        <f t="shared" si="195"/>
        <v>0</v>
      </c>
    </row>
    <row r="2491" spans="7:11" hidden="1" x14ac:dyDescent="0.25">
      <c r="G2491">
        <f t="shared" si="191"/>
        <v>0</v>
      </c>
      <c r="H2491">
        <f t="shared" si="192"/>
        <v>0</v>
      </c>
      <c r="I2491" s="141">
        <f t="shared" si="193"/>
        <v>0</v>
      </c>
      <c r="J2491">
        <f t="shared" si="194"/>
        <v>0</v>
      </c>
      <c r="K2491" s="141">
        <f t="shared" si="195"/>
        <v>0</v>
      </c>
    </row>
    <row r="2492" spans="7:11" hidden="1" x14ac:dyDescent="0.25">
      <c r="G2492">
        <f t="shared" si="191"/>
        <v>0</v>
      </c>
      <c r="H2492">
        <f t="shared" si="192"/>
        <v>0</v>
      </c>
      <c r="I2492" s="141">
        <f t="shared" si="193"/>
        <v>0</v>
      </c>
      <c r="J2492">
        <f t="shared" si="194"/>
        <v>0</v>
      </c>
      <c r="K2492" s="141">
        <f t="shared" si="195"/>
        <v>0</v>
      </c>
    </row>
    <row r="2493" spans="7:11" hidden="1" x14ac:dyDescent="0.25">
      <c r="G2493">
        <f t="shared" si="191"/>
        <v>0</v>
      </c>
      <c r="H2493">
        <f t="shared" si="192"/>
        <v>0</v>
      </c>
      <c r="I2493" s="141">
        <f t="shared" si="193"/>
        <v>0</v>
      </c>
      <c r="J2493">
        <f t="shared" si="194"/>
        <v>0</v>
      </c>
      <c r="K2493" s="141">
        <f t="shared" si="195"/>
        <v>0</v>
      </c>
    </row>
    <row r="2494" spans="7:11" hidden="1" x14ac:dyDescent="0.25">
      <c r="G2494">
        <f t="shared" si="191"/>
        <v>0</v>
      </c>
      <c r="H2494">
        <f t="shared" si="192"/>
        <v>0</v>
      </c>
      <c r="I2494" s="141">
        <f t="shared" si="193"/>
        <v>0</v>
      </c>
      <c r="J2494">
        <f t="shared" si="194"/>
        <v>0</v>
      </c>
      <c r="K2494" s="141">
        <f t="shared" si="195"/>
        <v>0</v>
      </c>
    </row>
    <row r="2495" spans="7:11" hidden="1" x14ac:dyDescent="0.25">
      <c r="G2495">
        <f t="shared" si="191"/>
        <v>0</v>
      </c>
      <c r="H2495">
        <f t="shared" si="192"/>
        <v>0</v>
      </c>
      <c r="I2495" s="141">
        <f t="shared" si="193"/>
        <v>0</v>
      </c>
      <c r="J2495">
        <f t="shared" si="194"/>
        <v>0</v>
      </c>
      <c r="K2495" s="141">
        <f t="shared" si="195"/>
        <v>0</v>
      </c>
    </row>
    <row r="2496" spans="7:11" hidden="1" x14ac:dyDescent="0.25">
      <c r="G2496">
        <f t="shared" si="191"/>
        <v>0</v>
      </c>
      <c r="H2496">
        <f t="shared" si="192"/>
        <v>0</v>
      </c>
      <c r="I2496" s="141">
        <f t="shared" si="193"/>
        <v>0</v>
      </c>
      <c r="J2496">
        <f t="shared" si="194"/>
        <v>0</v>
      </c>
      <c r="K2496" s="141">
        <f t="shared" si="195"/>
        <v>0</v>
      </c>
    </row>
    <row r="2497" spans="7:11" hidden="1" x14ac:dyDescent="0.25">
      <c r="G2497">
        <f t="shared" si="191"/>
        <v>0</v>
      </c>
      <c r="H2497">
        <f t="shared" si="192"/>
        <v>0</v>
      </c>
      <c r="I2497" s="141">
        <f t="shared" si="193"/>
        <v>0</v>
      </c>
      <c r="J2497">
        <f t="shared" si="194"/>
        <v>0</v>
      </c>
      <c r="K2497" s="141">
        <f t="shared" si="195"/>
        <v>0</v>
      </c>
    </row>
    <row r="2498" spans="7:11" hidden="1" x14ac:dyDescent="0.25">
      <c r="G2498">
        <f t="shared" ref="G2498:G2561" si="196">A2498</f>
        <v>0</v>
      </c>
      <c r="H2498">
        <f t="shared" ref="H2498:H2561" si="197">B2498</f>
        <v>0</v>
      </c>
      <c r="I2498" s="141">
        <f t="shared" ref="I2498:I2561" si="198">C2498</f>
        <v>0</v>
      </c>
      <c r="J2498">
        <f t="shared" ref="J2498:J2561" si="199">D2498</f>
        <v>0</v>
      </c>
      <c r="K2498" s="141">
        <f t="shared" ref="K2498:K2561" si="200">E2498</f>
        <v>0</v>
      </c>
    </row>
    <row r="2499" spans="7:11" hidden="1" x14ac:dyDescent="0.25">
      <c r="G2499">
        <f t="shared" si="196"/>
        <v>0</v>
      </c>
      <c r="H2499">
        <f t="shared" si="197"/>
        <v>0</v>
      </c>
      <c r="I2499" s="141">
        <f t="shared" si="198"/>
        <v>0</v>
      </c>
      <c r="J2499">
        <f t="shared" si="199"/>
        <v>0</v>
      </c>
      <c r="K2499" s="141">
        <f t="shared" si="200"/>
        <v>0</v>
      </c>
    </row>
    <row r="2500" spans="7:11" hidden="1" x14ac:dyDescent="0.25">
      <c r="G2500">
        <f t="shared" si="196"/>
        <v>0</v>
      </c>
      <c r="H2500">
        <f t="shared" si="197"/>
        <v>0</v>
      </c>
      <c r="I2500" s="141">
        <f t="shared" si="198"/>
        <v>0</v>
      </c>
      <c r="J2500">
        <f t="shared" si="199"/>
        <v>0</v>
      </c>
      <c r="K2500" s="141">
        <f t="shared" si="200"/>
        <v>0</v>
      </c>
    </row>
    <row r="2501" spans="7:11" hidden="1" x14ac:dyDescent="0.25">
      <c r="G2501">
        <f t="shared" si="196"/>
        <v>0</v>
      </c>
      <c r="H2501">
        <f t="shared" si="197"/>
        <v>0</v>
      </c>
      <c r="I2501" s="141">
        <f t="shared" si="198"/>
        <v>0</v>
      </c>
      <c r="J2501">
        <f t="shared" si="199"/>
        <v>0</v>
      </c>
      <c r="K2501" s="141">
        <f t="shared" si="200"/>
        <v>0</v>
      </c>
    </row>
    <row r="2502" spans="7:11" hidden="1" x14ac:dyDescent="0.25">
      <c r="G2502">
        <f t="shared" si="196"/>
        <v>0</v>
      </c>
      <c r="H2502">
        <f t="shared" si="197"/>
        <v>0</v>
      </c>
      <c r="I2502" s="141">
        <f t="shared" si="198"/>
        <v>0</v>
      </c>
      <c r="J2502">
        <f t="shared" si="199"/>
        <v>0</v>
      </c>
      <c r="K2502" s="141">
        <f t="shared" si="200"/>
        <v>0</v>
      </c>
    </row>
    <row r="2503" spans="7:11" hidden="1" x14ac:dyDescent="0.25">
      <c r="G2503">
        <f t="shared" si="196"/>
        <v>0</v>
      </c>
      <c r="H2503">
        <f t="shared" si="197"/>
        <v>0</v>
      </c>
      <c r="I2503" s="141">
        <f t="shared" si="198"/>
        <v>0</v>
      </c>
      <c r="J2503">
        <f t="shared" si="199"/>
        <v>0</v>
      </c>
      <c r="K2503" s="141">
        <f t="shared" si="200"/>
        <v>0</v>
      </c>
    </row>
    <row r="2504" spans="7:11" hidden="1" x14ac:dyDescent="0.25">
      <c r="G2504">
        <f t="shared" si="196"/>
        <v>0</v>
      </c>
      <c r="H2504">
        <f t="shared" si="197"/>
        <v>0</v>
      </c>
      <c r="I2504" s="141">
        <f t="shared" si="198"/>
        <v>0</v>
      </c>
      <c r="J2504">
        <f t="shared" si="199"/>
        <v>0</v>
      </c>
      <c r="K2504" s="141">
        <f t="shared" si="200"/>
        <v>0</v>
      </c>
    </row>
    <row r="2505" spans="7:11" hidden="1" x14ac:dyDescent="0.25">
      <c r="G2505">
        <f t="shared" si="196"/>
        <v>0</v>
      </c>
      <c r="H2505">
        <f t="shared" si="197"/>
        <v>0</v>
      </c>
      <c r="I2505" s="141">
        <f t="shared" si="198"/>
        <v>0</v>
      </c>
      <c r="J2505">
        <f t="shared" si="199"/>
        <v>0</v>
      </c>
      <c r="K2505" s="141">
        <f t="shared" si="200"/>
        <v>0</v>
      </c>
    </row>
    <row r="2506" spans="7:11" hidden="1" x14ac:dyDescent="0.25">
      <c r="G2506">
        <f t="shared" si="196"/>
        <v>0</v>
      </c>
      <c r="H2506">
        <f t="shared" si="197"/>
        <v>0</v>
      </c>
      <c r="I2506" s="141">
        <f t="shared" si="198"/>
        <v>0</v>
      </c>
      <c r="J2506">
        <f t="shared" si="199"/>
        <v>0</v>
      </c>
      <c r="K2506" s="141">
        <f t="shared" si="200"/>
        <v>0</v>
      </c>
    </row>
    <row r="2507" spans="7:11" hidden="1" x14ac:dyDescent="0.25">
      <c r="G2507">
        <f t="shared" si="196"/>
        <v>0</v>
      </c>
      <c r="H2507">
        <f t="shared" si="197"/>
        <v>0</v>
      </c>
      <c r="I2507" s="141">
        <f t="shared" si="198"/>
        <v>0</v>
      </c>
      <c r="J2507">
        <f t="shared" si="199"/>
        <v>0</v>
      </c>
      <c r="K2507" s="141">
        <f t="shared" si="200"/>
        <v>0</v>
      </c>
    </row>
    <row r="2508" spans="7:11" hidden="1" x14ac:dyDescent="0.25">
      <c r="G2508">
        <f t="shared" si="196"/>
        <v>0</v>
      </c>
      <c r="H2508">
        <f t="shared" si="197"/>
        <v>0</v>
      </c>
      <c r="I2508" s="141">
        <f t="shared" si="198"/>
        <v>0</v>
      </c>
      <c r="J2508">
        <f t="shared" si="199"/>
        <v>0</v>
      </c>
      <c r="K2508" s="141">
        <f t="shared" si="200"/>
        <v>0</v>
      </c>
    </row>
    <row r="2509" spans="7:11" hidden="1" x14ac:dyDescent="0.25">
      <c r="G2509">
        <f t="shared" si="196"/>
        <v>0</v>
      </c>
      <c r="H2509">
        <f t="shared" si="197"/>
        <v>0</v>
      </c>
      <c r="I2509" s="141">
        <f t="shared" si="198"/>
        <v>0</v>
      </c>
      <c r="J2509">
        <f t="shared" si="199"/>
        <v>0</v>
      </c>
      <c r="K2509" s="141">
        <f t="shared" si="200"/>
        <v>0</v>
      </c>
    </row>
    <row r="2510" spans="7:11" hidden="1" x14ac:dyDescent="0.25">
      <c r="G2510">
        <f t="shared" si="196"/>
        <v>0</v>
      </c>
      <c r="H2510">
        <f t="shared" si="197"/>
        <v>0</v>
      </c>
      <c r="I2510" s="141">
        <f t="shared" si="198"/>
        <v>0</v>
      </c>
      <c r="J2510">
        <f t="shared" si="199"/>
        <v>0</v>
      </c>
      <c r="K2510" s="141">
        <f t="shared" si="200"/>
        <v>0</v>
      </c>
    </row>
    <row r="2511" spans="7:11" hidden="1" x14ac:dyDescent="0.25">
      <c r="G2511">
        <f t="shared" si="196"/>
        <v>0</v>
      </c>
      <c r="H2511">
        <f t="shared" si="197"/>
        <v>0</v>
      </c>
      <c r="I2511" s="141">
        <f t="shared" si="198"/>
        <v>0</v>
      </c>
      <c r="J2511">
        <f t="shared" si="199"/>
        <v>0</v>
      </c>
      <c r="K2511" s="141">
        <f t="shared" si="200"/>
        <v>0</v>
      </c>
    </row>
    <row r="2512" spans="7:11" hidden="1" x14ac:dyDescent="0.25">
      <c r="G2512">
        <f t="shared" si="196"/>
        <v>0</v>
      </c>
      <c r="H2512">
        <f t="shared" si="197"/>
        <v>0</v>
      </c>
      <c r="I2512" s="141">
        <f t="shared" si="198"/>
        <v>0</v>
      </c>
      <c r="J2512">
        <f t="shared" si="199"/>
        <v>0</v>
      </c>
      <c r="K2512" s="141">
        <f t="shared" si="200"/>
        <v>0</v>
      </c>
    </row>
    <row r="2513" spans="7:11" hidden="1" x14ac:dyDescent="0.25">
      <c r="G2513">
        <f t="shared" si="196"/>
        <v>0</v>
      </c>
      <c r="H2513">
        <f t="shared" si="197"/>
        <v>0</v>
      </c>
      <c r="I2513" s="141">
        <f t="shared" si="198"/>
        <v>0</v>
      </c>
      <c r="J2513">
        <f t="shared" si="199"/>
        <v>0</v>
      </c>
      <c r="K2513" s="141">
        <f t="shared" si="200"/>
        <v>0</v>
      </c>
    </row>
    <row r="2514" spans="7:11" hidden="1" x14ac:dyDescent="0.25">
      <c r="G2514">
        <f t="shared" si="196"/>
        <v>0</v>
      </c>
      <c r="H2514">
        <f t="shared" si="197"/>
        <v>0</v>
      </c>
      <c r="I2514" s="141">
        <f t="shared" si="198"/>
        <v>0</v>
      </c>
      <c r="J2514">
        <f t="shared" si="199"/>
        <v>0</v>
      </c>
      <c r="K2514" s="141">
        <f t="shared" si="200"/>
        <v>0</v>
      </c>
    </row>
    <row r="2515" spans="7:11" hidden="1" x14ac:dyDescent="0.25">
      <c r="G2515">
        <f t="shared" si="196"/>
        <v>0</v>
      </c>
      <c r="H2515">
        <f t="shared" si="197"/>
        <v>0</v>
      </c>
      <c r="I2515" s="141">
        <f t="shared" si="198"/>
        <v>0</v>
      </c>
      <c r="J2515">
        <f t="shared" si="199"/>
        <v>0</v>
      </c>
      <c r="K2515" s="141">
        <f t="shared" si="200"/>
        <v>0</v>
      </c>
    </row>
    <row r="2516" spans="7:11" hidden="1" x14ac:dyDescent="0.25">
      <c r="G2516">
        <f t="shared" si="196"/>
        <v>0</v>
      </c>
      <c r="H2516">
        <f t="shared" si="197"/>
        <v>0</v>
      </c>
      <c r="I2516" s="141">
        <f t="shared" si="198"/>
        <v>0</v>
      </c>
      <c r="J2516">
        <f t="shared" si="199"/>
        <v>0</v>
      </c>
      <c r="K2516" s="141">
        <f t="shared" si="200"/>
        <v>0</v>
      </c>
    </row>
    <row r="2517" spans="7:11" hidden="1" x14ac:dyDescent="0.25">
      <c r="G2517">
        <f t="shared" si="196"/>
        <v>0</v>
      </c>
      <c r="H2517">
        <f t="shared" si="197"/>
        <v>0</v>
      </c>
      <c r="I2517" s="141">
        <f t="shared" si="198"/>
        <v>0</v>
      </c>
      <c r="J2517">
        <f t="shared" si="199"/>
        <v>0</v>
      </c>
      <c r="K2517" s="141">
        <f t="shared" si="200"/>
        <v>0</v>
      </c>
    </row>
    <row r="2518" spans="7:11" hidden="1" x14ac:dyDescent="0.25">
      <c r="G2518">
        <f t="shared" si="196"/>
        <v>0</v>
      </c>
      <c r="H2518">
        <f t="shared" si="197"/>
        <v>0</v>
      </c>
      <c r="I2518" s="141">
        <f t="shared" si="198"/>
        <v>0</v>
      </c>
      <c r="J2518">
        <f t="shared" si="199"/>
        <v>0</v>
      </c>
      <c r="K2518" s="141">
        <f t="shared" si="200"/>
        <v>0</v>
      </c>
    </row>
    <row r="2519" spans="7:11" hidden="1" x14ac:dyDescent="0.25">
      <c r="G2519">
        <f t="shared" si="196"/>
        <v>0</v>
      </c>
      <c r="H2519">
        <f t="shared" si="197"/>
        <v>0</v>
      </c>
      <c r="I2519" s="141">
        <f t="shared" si="198"/>
        <v>0</v>
      </c>
      <c r="J2519">
        <f t="shared" si="199"/>
        <v>0</v>
      </c>
      <c r="K2519" s="141">
        <f t="shared" si="200"/>
        <v>0</v>
      </c>
    </row>
    <row r="2520" spans="7:11" hidden="1" x14ac:dyDescent="0.25">
      <c r="G2520">
        <f t="shared" si="196"/>
        <v>0</v>
      </c>
      <c r="H2520">
        <f t="shared" si="197"/>
        <v>0</v>
      </c>
      <c r="I2520" s="141">
        <f t="shared" si="198"/>
        <v>0</v>
      </c>
      <c r="J2520">
        <f t="shared" si="199"/>
        <v>0</v>
      </c>
      <c r="K2520" s="141">
        <f t="shared" si="200"/>
        <v>0</v>
      </c>
    </row>
    <row r="2521" spans="7:11" hidden="1" x14ac:dyDescent="0.25">
      <c r="G2521">
        <f t="shared" si="196"/>
        <v>0</v>
      </c>
      <c r="H2521">
        <f t="shared" si="197"/>
        <v>0</v>
      </c>
      <c r="I2521" s="141">
        <f t="shared" si="198"/>
        <v>0</v>
      </c>
      <c r="J2521">
        <f t="shared" si="199"/>
        <v>0</v>
      </c>
      <c r="K2521" s="141">
        <f t="shared" si="200"/>
        <v>0</v>
      </c>
    </row>
    <row r="2522" spans="7:11" hidden="1" x14ac:dyDescent="0.25">
      <c r="G2522">
        <f t="shared" si="196"/>
        <v>0</v>
      </c>
      <c r="H2522">
        <f t="shared" si="197"/>
        <v>0</v>
      </c>
      <c r="I2522" s="141">
        <f t="shared" si="198"/>
        <v>0</v>
      </c>
      <c r="J2522">
        <f t="shared" si="199"/>
        <v>0</v>
      </c>
      <c r="K2522" s="141">
        <f t="shared" si="200"/>
        <v>0</v>
      </c>
    </row>
    <row r="2523" spans="7:11" hidden="1" x14ac:dyDescent="0.25">
      <c r="G2523">
        <f t="shared" si="196"/>
        <v>0</v>
      </c>
      <c r="H2523">
        <f t="shared" si="197"/>
        <v>0</v>
      </c>
      <c r="I2523" s="141">
        <f t="shared" si="198"/>
        <v>0</v>
      </c>
      <c r="J2523">
        <f t="shared" si="199"/>
        <v>0</v>
      </c>
      <c r="K2523" s="141">
        <f t="shared" si="200"/>
        <v>0</v>
      </c>
    </row>
    <row r="2524" spans="7:11" hidden="1" x14ac:dyDescent="0.25">
      <c r="G2524">
        <f t="shared" si="196"/>
        <v>0</v>
      </c>
      <c r="H2524">
        <f t="shared" si="197"/>
        <v>0</v>
      </c>
      <c r="I2524" s="141">
        <f t="shared" si="198"/>
        <v>0</v>
      </c>
      <c r="J2524">
        <f t="shared" si="199"/>
        <v>0</v>
      </c>
      <c r="K2524" s="141">
        <f t="shared" si="200"/>
        <v>0</v>
      </c>
    </row>
    <row r="2525" spans="7:11" hidden="1" x14ac:dyDescent="0.25">
      <c r="G2525">
        <f t="shared" si="196"/>
        <v>0</v>
      </c>
      <c r="H2525">
        <f t="shared" si="197"/>
        <v>0</v>
      </c>
      <c r="I2525" s="141">
        <f t="shared" si="198"/>
        <v>0</v>
      </c>
      <c r="J2525">
        <f t="shared" si="199"/>
        <v>0</v>
      </c>
      <c r="K2525" s="141">
        <f t="shared" si="200"/>
        <v>0</v>
      </c>
    </row>
    <row r="2526" spans="7:11" hidden="1" x14ac:dyDescent="0.25">
      <c r="G2526">
        <f t="shared" si="196"/>
        <v>0</v>
      </c>
      <c r="H2526">
        <f t="shared" si="197"/>
        <v>0</v>
      </c>
      <c r="I2526" s="141">
        <f t="shared" si="198"/>
        <v>0</v>
      </c>
      <c r="J2526">
        <f t="shared" si="199"/>
        <v>0</v>
      </c>
      <c r="K2526" s="141">
        <f t="shared" si="200"/>
        <v>0</v>
      </c>
    </row>
    <row r="2527" spans="7:11" hidden="1" x14ac:dyDescent="0.25">
      <c r="G2527">
        <f t="shared" si="196"/>
        <v>0</v>
      </c>
      <c r="H2527">
        <f t="shared" si="197"/>
        <v>0</v>
      </c>
      <c r="I2527" s="141">
        <f t="shared" si="198"/>
        <v>0</v>
      </c>
      <c r="J2527">
        <f t="shared" si="199"/>
        <v>0</v>
      </c>
      <c r="K2527" s="141">
        <f t="shared" si="200"/>
        <v>0</v>
      </c>
    </row>
    <row r="2528" spans="7:11" hidden="1" x14ac:dyDescent="0.25">
      <c r="G2528">
        <f t="shared" si="196"/>
        <v>0</v>
      </c>
      <c r="H2528">
        <f t="shared" si="197"/>
        <v>0</v>
      </c>
      <c r="I2528" s="141">
        <f t="shared" si="198"/>
        <v>0</v>
      </c>
      <c r="J2528">
        <f t="shared" si="199"/>
        <v>0</v>
      </c>
      <c r="K2528" s="141">
        <f t="shared" si="200"/>
        <v>0</v>
      </c>
    </row>
    <row r="2529" spans="7:11" hidden="1" x14ac:dyDescent="0.25">
      <c r="G2529">
        <f t="shared" si="196"/>
        <v>0</v>
      </c>
      <c r="H2529">
        <f t="shared" si="197"/>
        <v>0</v>
      </c>
      <c r="I2529" s="141">
        <f t="shared" si="198"/>
        <v>0</v>
      </c>
      <c r="J2529">
        <f t="shared" si="199"/>
        <v>0</v>
      </c>
      <c r="K2529" s="141">
        <f t="shared" si="200"/>
        <v>0</v>
      </c>
    </row>
    <row r="2530" spans="7:11" hidden="1" x14ac:dyDescent="0.25">
      <c r="G2530">
        <f t="shared" si="196"/>
        <v>0</v>
      </c>
      <c r="H2530">
        <f t="shared" si="197"/>
        <v>0</v>
      </c>
      <c r="I2530" s="141">
        <f t="shared" si="198"/>
        <v>0</v>
      </c>
      <c r="J2530">
        <f t="shared" si="199"/>
        <v>0</v>
      </c>
      <c r="K2530" s="141">
        <f t="shared" si="200"/>
        <v>0</v>
      </c>
    </row>
    <row r="2531" spans="7:11" hidden="1" x14ac:dyDescent="0.25">
      <c r="G2531">
        <f t="shared" si="196"/>
        <v>0</v>
      </c>
      <c r="H2531">
        <f t="shared" si="197"/>
        <v>0</v>
      </c>
      <c r="I2531" s="141">
        <f t="shared" si="198"/>
        <v>0</v>
      </c>
      <c r="J2531">
        <f t="shared" si="199"/>
        <v>0</v>
      </c>
      <c r="K2531" s="141">
        <f t="shared" si="200"/>
        <v>0</v>
      </c>
    </row>
    <row r="2532" spans="7:11" hidden="1" x14ac:dyDescent="0.25">
      <c r="G2532">
        <f t="shared" si="196"/>
        <v>0</v>
      </c>
      <c r="H2532">
        <f t="shared" si="197"/>
        <v>0</v>
      </c>
      <c r="I2532" s="141">
        <f t="shared" si="198"/>
        <v>0</v>
      </c>
      <c r="J2532">
        <f t="shared" si="199"/>
        <v>0</v>
      </c>
      <c r="K2532" s="141">
        <f t="shared" si="200"/>
        <v>0</v>
      </c>
    </row>
    <row r="2533" spans="7:11" hidden="1" x14ac:dyDescent="0.25">
      <c r="G2533">
        <f t="shared" si="196"/>
        <v>0</v>
      </c>
      <c r="H2533">
        <f t="shared" si="197"/>
        <v>0</v>
      </c>
      <c r="I2533" s="141">
        <f t="shared" si="198"/>
        <v>0</v>
      </c>
      <c r="J2533">
        <f t="shared" si="199"/>
        <v>0</v>
      </c>
      <c r="K2533" s="141">
        <f t="shared" si="200"/>
        <v>0</v>
      </c>
    </row>
    <row r="2534" spans="7:11" hidden="1" x14ac:dyDescent="0.25">
      <c r="G2534">
        <f t="shared" si="196"/>
        <v>0</v>
      </c>
      <c r="H2534">
        <f t="shared" si="197"/>
        <v>0</v>
      </c>
      <c r="I2534" s="141">
        <f t="shared" si="198"/>
        <v>0</v>
      </c>
      <c r="J2534">
        <f t="shared" si="199"/>
        <v>0</v>
      </c>
      <c r="K2534" s="141">
        <f t="shared" si="200"/>
        <v>0</v>
      </c>
    </row>
    <row r="2535" spans="7:11" hidden="1" x14ac:dyDescent="0.25">
      <c r="G2535">
        <f t="shared" si="196"/>
        <v>0</v>
      </c>
      <c r="H2535">
        <f t="shared" si="197"/>
        <v>0</v>
      </c>
      <c r="I2535" s="141">
        <f t="shared" si="198"/>
        <v>0</v>
      </c>
      <c r="J2535">
        <f t="shared" si="199"/>
        <v>0</v>
      </c>
      <c r="K2535" s="141">
        <f t="shared" si="200"/>
        <v>0</v>
      </c>
    </row>
    <row r="2536" spans="7:11" hidden="1" x14ac:dyDescent="0.25">
      <c r="G2536">
        <f t="shared" si="196"/>
        <v>0</v>
      </c>
      <c r="H2536">
        <f t="shared" si="197"/>
        <v>0</v>
      </c>
      <c r="I2536" s="141">
        <f t="shared" si="198"/>
        <v>0</v>
      </c>
      <c r="J2536">
        <f t="shared" si="199"/>
        <v>0</v>
      </c>
      <c r="K2536" s="141">
        <f t="shared" si="200"/>
        <v>0</v>
      </c>
    </row>
    <row r="2537" spans="7:11" hidden="1" x14ac:dyDescent="0.25">
      <c r="G2537">
        <f t="shared" si="196"/>
        <v>0</v>
      </c>
      <c r="H2537">
        <f t="shared" si="197"/>
        <v>0</v>
      </c>
      <c r="I2537" s="141">
        <f t="shared" si="198"/>
        <v>0</v>
      </c>
      <c r="J2537">
        <f t="shared" si="199"/>
        <v>0</v>
      </c>
      <c r="K2537" s="141">
        <f t="shared" si="200"/>
        <v>0</v>
      </c>
    </row>
    <row r="2538" spans="7:11" hidden="1" x14ac:dyDescent="0.25">
      <c r="G2538">
        <f t="shared" si="196"/>
        <v>0</v>
      </c>
      <c r="H2538">
        <f t="shared" si="197"/>
        <v>0</v>
      </c>
      <c r="I2538" s="141">
        <f t="shared" si="198"/>
        <v>0</v>
      </c>
      <c r="J2538">
        <f t="shared" si="199"/>
        <v>0</v>
      </c>
      <c r="K2538" s="141">
        <f t="shared" si="200"/>
        <v>0</v>
      </c>
    </row>
    <row r="2539" spans="7:11" hidden="1" x14ac:dyDescent="0.25">
      <c r="G2539">
        <f t="shared" si="196"/>
        <v>0</v>
      </c>
      <c r="H2539">
        <f t="shared" si="197"/>
        <v>0</v>
      </c>
      <c r="I2539" s="141">
        <f t="shared" si="198"/>
        <v>0</v>
      </c>
      <c r="J2539">
        <f t="shared" si="199"/>
        <v>0</v>
      </c>
      <c r="K2539" s="141">
        <f t="shared" si="200"/>
        <v>0</v>
      </c>
    </row>
    <row r="2540" spans="7:11" hidden="1" x14ac:dyDescent="0.25">
      <c r="G2540">
        <f t="shared" si="196"/>
        <v>0</v>
      </c>
      <c r="H2540">
        <f t="shared" si="197"/>
        <v>0</v>
      </c>
      <c r="I2540" s="141">
        <f t="shared" si="198"/>
        <v>0</v>
      </c>
      <c r="J2540">
        <f t="shared" si="199"/>
        <v>0</v>
      </c>
      <c r="K2540" s="141">
        <f t="shared" si="200"/>
        <v>0</v>
      </c>
    </row>
    <row r="2541" spans="7:11" hidden="1" x14ac:dyDescent="0.25">
      <c r="G2541">
        <f t="shared" si="196"/>
        <v>0</v>
      </c>
      <c r="H2541">
        <f t="shared" si="197"/>
        <v>0</v>
      </c>
      <c r="I2541" s="141">
        <f t="shared" si="198"/>
        <v>0</v>
      </c>
      <c r="J2541">
        <f t="shared" si="199"/>
        <v>0</v>
      </c>
      <c r="K2541" s="141">
        <f t="shared" si="200"/>
        <v>0</v>
      </c>
    </row>
    <row r="2542" spans="7:11" hidden="1" x14ac:dyDescent="0.25">
      <c r="G2542">
        <f t="shared" si="196"/>
        <v>0</v>
      </c>
      <c r="H2542">
        <f t="shared" si="197"/>
        <v>0</v>
      </c>
      <c r="I2542" s="141">
        <f t="shared" si="198"/>
        <v>0</v>
      </c>
      <c r="J2542">
        <f t="shared" si="199"/>
        <v>0</v>
      </c>
      <c r="K2542" s="141">
        <f t="shared" si="200"/>
        <v>0</v>
      </c>
    </row>
    <row r="2543" spans="7:11" hidden="1" x14ac:dyDescent="0.25">
      <c r="G2543">
        <f t="shared" si="196"/>
        <v>0</v>
      </c>
      <c r="H2543">
        <f t="shared" si="197"/>
        <v>0</v>
      </c>
      <c r="I2543" s="141">
        <f t="shared" si="198"/>
        <v>0</v>
      </c>
      <c r="J2543">
        <f t="shared" si="199"/>
        <v>0</v>
      </c>
      <c r="K2543" s="141">
        <f t="shared" si="200"/>
        <v>0</v>
      </c>
    </row>
    <row r="2544" spans="7:11" hidden="1" x14ac:dyDescent="0.25">
      <c r="G2544">
        <f t="shared" si="196"/>
        <v>0</v>
      </c>
      <c r="H2544">
        <f t="shared" si="197"/>
        <v>0</v>
      </c>
      <c r="I2544" s="141">
        <f t="shared" si="198"/>
        <v>0</v>
      </c>
      <c r="J2544">
        <f t="shared" si="199"/>
        <v>0</v>
      </c>
      <c r="K2544" s="141">
        <f t="shared" si="200"/>
        <v>0</v>
      </c>
    </row>
    <row r="2545" spans="7:11" hidden="1" x14ac:dyDescent="0.25">
      <c r="G2545">
        <f t="shared" si="196"/>
        <v>0</v>
      </c>
      <c r="H2545">
        <f t="shared" si="197"/>
        <v>0</v>
      </c>
      <c r="I2545" s="141">
        <f t="shared" si="198"/>
        <v>0</v>
      </c>
      <c r="J2545">
        <f t="shared" si="199"/>
        <v>0</v>
      </c>
      <c r="K2545" s="141">
        <f t="shared" si="200"/>
        <v>0</v>
      </c>
    </row>
    <row r="2546" spans="7:11" hidden="1" x14ac:dyDescent="0.25">
      <c r="G2546">
        <f t="shared" si="196"/>
        <v>0</v>
      </c>
      <c r="H2546">
        <f t="shared" si="197"/>
        <v>0</v>
      </c>
      <c r="I2546" s="141">
        <f t="shared" si="198"/>
        <v>0</v>
      </c>
      <c r="J2546">
        <f t="shared" si="199"/>
        <v>0</v>
      </c>
      <c r="K2546" s="141">
        <f t="shared" si="200"/>
        <v>0</v>
      </c>
    </row>
    <row r="2547" spans="7:11" hidden="1" x14ac:dyDescent="0.25">
      <c r="G2547">
        <f t="shared" si="196"/>
        <v>0</v>
      </c>
      <c r="H2547">
        <f t="shared" si="197"/>
        <v>0</v>
      </c>
      <c r="I2547" s="141">
        <f t="shared" si="198"/>
        <v>0</v>
      </c>
      <c r="J2547">
        <f t="shared" si="199"/>
        <v>0</v>
      </c>
      <c r="K2547" s="141">
        <f t="shared" si="200"/>
        <v>0</v>
      </c>
    </row>
    <row r="2548" spans="7:11" hidden="1" x14ac:dyDescent="0.25">
      <c r="G2548">
        <f t="shared" si="196"/>
        <v>0</v>
      </c>
      <c r="H2548">
        <f t="shared" si="197"/>
        <v>0</v>
      </c>
      <c r="I2548" s="141">
        <f t="shared" si="198"/>
        <v>0</v>
      </c>
      <c r="J2548">
        <f t="shared" si="199"/>
        <v>0</v>
      </c>
      <c r="K2548" s="141">
        <f t="shared" si="200"/>
        <v>0</v>
      </c>
    </row>
    <row r="2549" spans="7:11" hidden="1" x14ac:dyDescent="0.25">
      <c r="G2549">
        <f t="shared" si="196"/>
        <v>0</v>
      </c>
      <c r="H2549">
        <f t="shared" si="197"/>
        <v>0</v>
      </c>
      <c r="I2549" s="141">
        <f t="shared" si="198"/>
        <v>0</v>
      </c>
      <c r="J2549">
        <f t="shared" si="199"/>
        <v>0</v>
      </c>
      <c r="K2549" s="141">
        <f t="shared" si="200"/>
        <v>0</v>
      </c>
    </row>
    <row r="2550" spans="7:11" hidden="1" x14ac:dyDescent="0.25">
      <c r="G2550">
        <f t="shared" si="196"/>
        <v>0</v>
      </c>
      <c r="H2550">
        <f t="shared" si="197"/>
        <v>0</v>
      </c>
      <c r="I2550" s="141">
        <f t="shared" si="198"/>
        <v>0</v>
      </c>
      <c r="J2550">
        <f t="shared" si="199"/>
        <v>0</v>
      </c>
      <c r="K2550" s="141">
        <f t="shared" si="200"/>
        <v>0</v>
      </c>
    </row>
    <row r="2551" spans="7:11" hidden="1" x14ac:dyDescent="0.25">
      <c r="G2551">
        <f t="shared" si="196"/>
        <v>0</v>
      </c>
      <c r="H2551">
        <f t="shared" si="197"/>
        <v>0</v>
      </c>
      <c r="I2551" s="141">
        <f t="shared" si="198"/>
        <v>0</v>
      </c>
      <c r="J2551">
        <f t="shared" si="199"/>
        <v>0</v>
      </c>
      <c r="K2551" s="141">
        <f t="shared" si="200"/>
        <v>0</v>
      </c>
    </row>
    <row r="2552" spans="7:11" hidden="1" x14ac:dyDescent="0.25">
      <c r="G2552">
        <f t="shared" si="196"/>
        <v>0</v>
      </c>
      <c r="H2552">
        <f t="shared" si="197"/>
        <v>0</v>
      </c>
      <c r="I2552" s="141">
        <f t="shared" si="198"/>
        <v>0</v>
      </c>
      <c r="J2552">
        <f t="shared" si="199"/>
        <v>0</v>
      </c>
      <c r="K2552" s="141">
        <f t="shared" si="200"/>
        <v>0</v>
      </c>
    </row>
    <row r="2553" spans="7:11" hidden="1" x14ac:dyDescent="0.25">
      <c r="G2553">
        <f t="shared" si="196"/>
        <v>0</v>
      </c>
      <c r="H2553">
        <f t="shared" si="197"/>
        <v>0</v>
      </c>
      <c r="I2553" s="141">
        <f t="shared" si="198"/>
        <v>0</v>
      </c>
      <c r="J2553">
        <f t="shared" si="199"/>
        <v>0</v>
      </c>
      <c r="K2553" s="141">
        <f t="shared" si="200"/>
        <v>0</v>
      </c>
    </row>
    <row r="2554" spans="7:11" hidden="1" x14ac:dyDescent="0.25">
      <c r="G2554">
        <f t="shared" si="196"/>
        <v>0</v>
      </c>
      <c r="H2554">
        <f t="shared" si="197"/>
        <v>0</v>
      </c>
      <c r="I2554" s="141">
        <f t="shared" si="198"/>
        <v>0</v>
      </c>
      <c r="J2554">
        <f t="shared" si="199"/>
        <v>0</v>
      </c>
      <c r="K2554" s="141">
        <f t="shared" si="200"/>
        <v>0</v>
      </c>
    </row>
    <row r="2555" spans="7:11" hidden="1" x14ac:dyDescent="0.25">
      <c r="G2555">
        <f t="shared" si="196"/>
        <v>0</v>
      </c>
      <c r="H2555">
        <f t="shared" si="197"/>
        <v>0</v>
      </c>
      <c r="I2555" s="141">
        <f t="shared" si="198"/>
        <v>0</v>
      </c>
      <c r="J2555">
        <f t="shared" si="199"/>
        <v>0</v>
      </c>
      <c r="K2555" s="141">
        <f t="shared" si="200"/>
        <v>0</v>
      </c>
    </row>
    <row r="2556" spans="7:11" hidden="1" x14ac:dyDescent="0.25">
      <c r="G2556">
        <f t="shared" si="196"/>
        <v>0</v>
      </c>
      <c r="H2556">
        <f t="shared" si="197"/>
        <v>0</v>
      </c>
      <c r="I2556" s="141">
        <f t="shared" si="198"/>
        <v>0</v>
      </c>
      <c r="J2556">
        <f t="shared" si="199"/>
        <v>0</v>
      </c>
      <c r="K2556" s="141">
        <f t="shared" si="200"/>
        <v>0</v>
      </c>
    </row>
    <row r="2557" spans="7:11" hidden="1" x14ac:dyDescent="0.25">
      <c r="G2557">
        <f t="shared" si="196"/>
        <v>0</v>
      </c>
      <c r="H2557">
        <f t="shared" si="197"/>
        <v>0</v>
      </c>
      <c r="I2557" s="141">
        <f t="shared" si="198"/>
        <v>0</v>
      </c>
      <c r="J2557">
        <f t="shared" si="199"/>
        <v>0</v>
      </c>
      <c r="K2557" s="141">
        <f t="shared" si="200"/>
        <v>0</v>
      </c>
    </row>
    <row r="2558" spans="7:11" hidden="1" x14ac:dyDescent="0.25">
      <c r="G2558">
        <f t="shared" si="196"/>
        <v>0</v>
      </c>
      <c r="H2558">
        <f t="shared" si="197"/>
        <v>0</v>
      </c>
      <c r="I2558" s="141">
        <f t="shared" si="198"/>
        <v>0</v>
      </c>
      <c r="J2558">
        <f t="shared" si="199"/>
        <v>0</v>
      </c>
      <c r="K2558" s="141">
        <f t="shared" si="200"/>
        <v>0</v>
      </c>
    </row>
    <row r="2559" spans="7:11" hidden="1" x14ac:dyDescent="0.25">
      <c r="G2559">
        <f t="shared" si="196"/>
        <v>0</v>
      </c>
      <c r="H2559">
        <f t="shared" si="197"/>
        <v>0</v>
      </c>
      <c r="I2559" s="141">
        <f t="shared" si="198"/>
        <v>0</v>
      </c>
      <c r="J2559">
        <f t="shared" si="199"/>
        <v>0</v>
      </c>
      <c r="K2559" s="141">
        <f t="shared" si="200"/>
        <v>0</v>
      </c>
    </row>
    <row r="2560" spans="7:11" hidden="1" x14ac:dyDescent="0.25">
      <c r="G2560">
        <f t="shared" si="196"/>
        <v>0</v>
      </c>
      <c r="H2560">
        <f t="shared" si="197"/>
        <v>0</v>
      </c>
      <c r="I2560" s="141">
        <f t="shared" si="198"/>
        <v>0</v>
      </c>
      <c r="J2560">
        <f t="shared" si="199"/>
        <v>0</v>
      </c>
      <c r="K2560" s="141">
        <f t="shared" si="200"/>
        <v>0</v>
      </c>
    </row>
    <row r="2561" spans="7:11" hidden="1" x14ac:dyDescent="0.25">
      <c r="G2561">
        <f t="shared" si="196"/>
        <v>0</v>
      </c>
      <c r="H2561">
        <f t="shared" si="197"/>
        <v>0</v>
      </c>
      <c r="I2561" s="141">
        <f t="shared" si="198"/>
        <v>0</v>
      </c>
      <c r="J2561">
        <f t="shared" si="199"/>
        <v>0</v>
      </c>
      <c r="K2561" s="141">
        <f t="shared" si="200"/>
        <v>0</v>
      </c>
    </row>
    <row r="2562" spans="7:11" hidden="1" x14ac:dyDescent="0.25">
      <c r="G2562">
        <f t="shared" ref="G2562:G2625" si="201">A2562</f>
        <v>0</v>
      </c>
      <c r="H2562">
        <f t="shared" ref="H2562:H2625" si="202">B2562</f>
        <v>0</v>
      </c>
      <c r="I2562" s="141">
        <f t="shared" ref="I2562:I2625" si="203">C2562</f>
        <v>0</v>
      </c>
      <c r="J2562">
        <f t="shared" ref="J2562:J2625" si="204">D2562</f>
        <v>0</v>
      </c>
      <c r="K2562" s="141">
        <f t="shared" ref="K2562:K2625" si="205">E2562</f>
        <v>0</v>
      </c>
    </row>
    <row r="2563" spans="7:11" hidden="1" x14ac:dyDescent="0.25">
      <c r="G2563">
        <f t="shared" si="201"/>
        <v>0</v>
      </c>
      <c r="H2563">
        <f t="shared" si="202"/>
        <v>0</v>
      </c>
      <c r="I2563" s="141">
        <f t="shared" si="203"/>
        <v>0</v>
      </c>
      <c r="J2563">
        <f t="shared" si="204"/>
        <v>0</v>
      </c>
      <c r="K2563" s="141">
        <f t="shared" si="205"/>
        <v>0</v>
      </c>
    </row>
    <row r="2564" spans="7:11" hidden="1" x14ac:dyDescent="0.25">
      <c r="G2564">
        <f t="shared" si="201"/>
        <v>0</v>
      </c>
      <c r="H2564">
        <f t="shared" si="202"/>
        <v>0</v>
      </c>
      <c r="I2564" s="141">
        <f t="shared" si="203"/>
        <v>0</v>
      </c>
      <c r="J2564">
        <f t="shared" si="204"/>
        <v>0</v>
      </c>
      <c r="K2564" s="141">
        <f t="shared" si="205"/>
        <v>0</v>
      </c>
    </row>
    <row r="2565" spans="7:11" hidden="1" x14ac:dyDescent="0.25">
      <c r="G2565">
        <f t="shared" si="201"/>
        <v>0</v>
      </c>
      <c r="H2565">
        <f t="shared" si="202"/>
        <v>0</v>
      </c>
      <c r="I2565" s="141">
        <f t="shared" si="203"/>
        <v>0</v>
      </c>
      <c r="J2565">
        <f t="shared" si="204"/>
        <v>0</v>
      </c>
      <c r="K2565" s="141">
        <f t="shared" si="205"/>
        <v>0</v>
      </c>
    </row>
    <row r="2566" spans="7:11" hidden="1" x14ac:dyDescent="0.25">
      <c r="G2566">
        <f t="shared" si="201"/>
        <v>0</v>
      </c>
      <c r="H2566">
        <f t="shared" si="202"/>
        <v>0</v>
      </c>
      <c r="I2566" s="141">
        <f t="shared" si="203"/>
        <v>0</v>
      </c>
      <c r="J2566">
        <f t="shared" si="204"/>
        <v>0</v>
      </c>
      <c r="K2566" s="141">
        <f t="shared" si="205"/>
        <v>0</v>
      </c>
    </row>
    <row r="2567" spans="7:11" hidden="1" x14ac:dyDescent="0.25">
      <c r="G2567">
        <f t="shared" si="201"/>
        <v>0</v>
      </c>
      <c r="H2567">
        <f t="shared" si="202"/>
        <v>0</v>
      </c>
      <c r="I2567" s="141">
        <f t="shared" si="203"/>
        <v>0</v>
      </c>
      <c r="J2567">
        <f t="shared" si="204"/>
        <v>0</v>
      </c>
      <c r="K2567" s="141">
        <f t="shared" si="205"/>
        <v>0</v>
      </c>
    </row>
    <row r="2568" spans="7:11" hidden="1" x14ac:dyDescent="0.25">
      <c r="G2568">
        <f t="shared" si="201"/>
        <v>0</v>
      </c>
      <c r="H2568">
        <f t="shared" si="202"/>
        <v>0</v>
      </c>
      <c r="I2568" s="141">
        <f t="shared" si="203"/>
        <v>0</v>
      </c>
      <c r="J2568">
        <f t="shared" si="204"/>
        <v>0</v>
      </c>
      <c r="K2568" s="141">
        <f t="shared" si="205"/>
        <v>0</v>
      </c>
    </row>
    <row r="2569" spans="7:11" hidden="1" x14ac:dyDescent="0.25">
      <c r="G2569">
        <f t="shared" si="201"/>
        <v>0</v>
      </c>
      <c r="H2569">
        <f t="shared" si="202"/>
        <v>0</v>
      </c>
      <c r="I2569" s="141">
        <f t="shared" si="203"/>
        <v>0</v>
      </c>
      <c r="J2569">
        <f t="shared" si="204"/>
        <v>0</v>
      </c>
      <c r="K2569" s="141">
        <f t="shared" si="205"/>
        <v>0</v>
      </c>
    </row>
    <row r="2570" spans="7:11" hidden="1" x14ac:dyDescent="0.25">
      <c r="G2570">
        <f t="shared" si="201"/>
        <v>0</v>
      </c>
      <c r="H2570">
        <f t="shared" si="202"/>
        <v>0</v>
      </c>
      <c r="I2570" s="141">
        <f t="shared" si="203"/>
        <v>0</v>
      </c>
      <c r="J2570">
        <f t="shared" si="204"/>
        <v>0</v>
      </c>
      <c r="K2570" s="141">
        <f t="shared" si="205"/>
        <v>0</v>
      </c>
    </row>
    <row r="2571" spans="7:11" hidden="1" x14ac:dyDescent="0.25">
      <c r="G2571">
        <f t="shared" si="201"/>
        <v>0</v>
      </c>
      <c r="H2571">
        <f t="shared" si="202"/>
        <v>0</v>
      </c>
      <c r="I2571" s="141">
        <f t="shared" si="203"/>
        <v>0</v>
      </c>
      <c r="J2571">
        <f t="shared" si="204"/>
        <v>0</v>
      </c>
      <c r="K2571" s="141">
        <f t="shared" si="205"/>
        <v>0</v>
      </c>
    </row>
    <row r="2572" spans="7:11" hidden="1" x14ac:dyDescent="0.25">
      <c r="G2572">
        <f t="shared" si="201"/>
        <v>0</v>
      </c>
      <c r="H2572">
        <f t="shared" si="202"/>
        <v>0</v>
      </c>
      <c r="I2572" s="141">
        <f t="shared" si="203"/>
        <v>0</v>
      </c>
      <c r="J2572">
        <f t="shared" si="204"/>
        <v>0</v>
      </c>
      <c r="K2572" s="141">
        <f t="shared" si="205"/>
        <v>0</v>
      </c>
    </row>
    <row r="2573" spans="7:11" hidden="1" x14ac:dyDescent="0.25">
      <c r="G2573">
        <f t="shared" si="201"/>
        <v>0</v>
      </c>
      <c r="H2573">
        <f t="shared" si="202"/>
        <v>0</v>
      </c>
      <c r="I2573" s="141">
        <f t="shared" si="203"/>
        <v>0</v>
      </c>
      <c r="J2573">
        <f t="shared" si="204"/>
        <v>0</v>
      </c>
      <c r="K2573" s="141">
        <f t="shared" si="205"/>
        <v>0</v>
      </c>
    </row>
    <row r="2574" spans="7:11" hidden="1" x14ac:dyDescent="0.25">
      <c r="G2574">
        <f t="shared" si="201"/>
        <v>0</v>
      </c>
      <c r="H2574">
        <f t="shared" si="202"/>
        <v>0</v>
      </c>
      <c r="I2574" s="141">
        <f t="shared" si="203"/>
        <v>0</v>
      </c>
      <c r="J2574">
        <f t="shared" si="204"/>
        <v>0</v>
      </c>
      <c r="K2574" s="141">
        <f t="shared" si="205"/>
        <v>0</v>
      </c>
    </row>
    <row r="2575" spans="7:11" hidden="1" x14ac:dyDescent="0.25">
      <c r="G2575">
        <f t="shared" si="201"/>
        <v>0</v>
      </c>
      <c r="H2575">
        <f t="shared" si="202"/>
        <v>0</v>
      </c>
      <c r="I2575" s="141">
        <f t="shared" si="203"/>
        <v>0</v>
      </c>
      <c r="J2575">
        <f t="shared" si="204"/>
        <v>0</v>
      </c>
      <c r="K2575" s="141">
        <f t="shared" si="205"/>
        <v>0</v>
      </c>
    </row>
    <row r="2576" spans="7:11" hidden="1" x14ac:dyDescent="0.25">
      <c r="G2576">
        <f t="shared" si="201"/>
        <v>0</v>
      </c>
      <c r="H2576">
        <f t="shared" si="202"/>
        <v>0</v>
      </c>
      <c r="I2576" s="141">
        <f t="shared" si="203"/>
        <v>0</v>
      </c>
      <c r="J2576">
        <f t="shared" si="204"/>
        <v>0</v>
      </c>
      <c r="K2576" s="141">
        <f t="shared" si="205"/>
        <v>0</v>
      </c>
    </row>
    <row r="2577" spans="7:11" hidden="1" x14ac:dyDescent="0.25">
      <c r="G2577">
        <f t="shared" si="201"/>
        <v>0</v>
      </c>
      <c r="H2577">
        <f t="shared" si="202"/>
        <v>0</v>
      </c>
      <c r="I2577" s="141">
        <f t="shared" si="203"/>
        <v>0</v>
      </c>
      <c r="J2577">
        <f t="shared" si="204"/>
        <v>0</v>
      </c>
      <c r="K2577" s="141">
        <f t="shared" si="205"/>
        <v>0</v>
      </c>
    </row>
    <row r="2578" spans="7:11" hidden="1" x14ac:dyDescent="0.25">
      <c r="G2578">
        <f t="shared" si="201"/>
        <v>0</v>
      </c>
      <c r="H2578">
        <f t="shared" si="202"/>
        <v>0</v>
      </c>
      <c r="I2578" s="141">
        <f t="shared" si="203"/>
        <v>0</v>
      </c>
      <c r="J2578">
        <f t="shared" si="204"/>
        <v>0</v>
      </c>
      <c r="K2578" s="141">
        <f t="shared" si="205"/>
        <v>0</v>
      </c>
    </row>
    <row r="2579" spans="7:11" hidden="1" x14ac:dyDescent="0.25">
      <c r="G2579">
        <f t="shared" si="201"/>
        <v>0</v>
      </c>
      <c r="H2579">
        <f t="shared" si="202"/>
        <v>0</v>
      </c>
      <c r="I2579" s="141">
        <f t="shared" si="203"/>
        <v>0</v>
      </c>
      <c r="J2579">
        <f t="shared" si="204"/>
        <v>0</v>
      </c>
      <c r="K2579" s="141">
        <f t="shared" si="205"/>
        <v>0</v>
      </c>
    </row>
    <row r="2580" spans="7:11" hidden="1" x14ac:dyDescent="0.25">
      <c r="G2580">
        <f t="shared" si="201"/>
        <v>0</v>
      </c>
      <c r="H2580">
        <f t="shared" si="202"/>
        <v>0</v>
      </c>
      <c r="I2580" s="141">
        <f t="shared" si="203"/>
        <v>0</v>
      </c>
      <c r="J2580">
        <f t="shared" si="204"/>
        <v>0</v>
      </c>
      <c r="K2580" s="141">
        <f t="shared" si="205"/>
        <v>0</v>
      </c>
    </row>
    <row r="2581" spans="7:11" hidden="1" x14ac:dyDescent="0.25">
      <c r="G2581">
        <f t="shared" si="201"/>
        <v>0</v>
      </c>
      <c r="H2581">
        <f t="shared" si="202"/>
        <v>0</v>
      </c>
      <c r="I2581" s="141">
        <f t="shared" si="203"/>
        <v>0</v>
      </c>
      <c r="J2581">
        <f t="shared" si="204"/>
        <v>0</v>
      </c>
      <c r="K2581" s="141">
        <f t="shared" si="205"/>
        <v>0</v>
      </c>
    </row>
    <row r="2582" spans="7:11" hidden="1" x14ac:dyDescent="0.25">
      <c r="G2582">
        <f t="shared" si="201"/>
        <v>0</v>
      </c>
      <c r="H2582">
        <f t="shared" si="202"/>
        <v>0</v>
      </c>
      <c r="I2582" s="141">
        <f t="shared" si="203"/>
        <v>0</v>
      </c>
      <c r="J2582">
        <f t="shared" si="204"/>
        <v>0</v>
      </c>
      <c r="K2582" s="141">
        <f t="shared" si="205"/>
        <v>0</v>
      </c>
    </row>
    <row r="2583" spans="7:11" hidden="1" x14ac:dyDescent="0.25">
      <c r="G2583">
        <f t="shared" si="201"/>
        <v>0</v>
      </c>
      <c r="H2583">
        <f t="shared" si="202"/>
        <v>0</v>
      </c>
      <c r="I2583" s="141">
        <f t="shared" si="203"/>
        <v>0</v>
      </c>
      <c r="J2583">
        <f t="shared" si="204"/>
        <v>0</v>
      </c>
      <c r="K2583" s="141">
        <f t="shared" si="205"/>
        <v>0</v>
      </c>
    </row>
    <row r="2584" spans="7:11" hidden="1" x14ac:dyDescent="0.25">
      <c r="G2584">
        <f t="shared" si="201"/>
        <v>0</v>
      </c>
      <c r="H2584">
        <f t="shared" si="202"/>
        <v>0</v>
      </c>
      <c r="I2584" s="141">
        <f t="shared" si="203"/>
        <v>0</v>
      </c>
      <c r="J2584">
        <f t="shared" si="204"/>
        <v>0</v>
      </c>
      <c r="K2584" s="141">
        <f t="shared" si="205"/>
        <v>0</v>
      </c>
    </row>
    <row r="2585" spans="7:11" hidden="1" x14ac:dyDescent="0.25">
      <c r="G2585">
        <f t="shared" si="201"/>
        <v>0</v>
      </c>
      <c r="H2585">
        <f t="shared" si="202"/>
        <v>0</v>
      </c>
      <c r="I2585" s="141">
        <f t="shared" si="203"/>
        <v>0</v>
      </c>
      <c r="J2585">
        <f t="shared" si="204"/>
        <v>0</v>
      </c>
      <c r="K2585" s="141">
        <f t="shared" si="205"/>
        <v>0</v>
      </c>
    </row>
    <row r="2586" spans="7:11" hidden="1" x14ac:dyDescent="0.25">
      <c r="G2586">
        <f t="shared" si="201"/>
        <v>0</v>
      </c>
      <c r="H2586">
        <f t="shared" si="202"/>
        <v>0</v>
      </c>
      <c r="I2586" s="141">
        <f t="shared" si="203"/>
        <v>0</v>
      </c>
      <c r="J2586">
        <f t="shared" si="204"/>
        <v>0</v>
      </c>
      <c r="K2586" s="141">
        <f t="shared" si="205"/>
        <v>0</v>
      </c>
    </row>
    <row r="2587" spans="7:11" hidden="1" x14ac:dyDescent="0.25">
      <c r="G2587">
        <f t="shared" si="201"/>
        <v>0</v>
      </c>
      <c r="H2587">
        <f t="shared" si="202"/>
        <v>0</v>
      </c>
      <c r="I2587" s="141">
        <f t="shared" si="203"/>
        <v>0</v>
      </c>
      <c r="J2587">
        <f t="shared" si="204"/>
        <v>0</v>
      </c>
      <c r="K2587" s="141">
        <f t="shared" si="205"/>
        <v>0</v>
      </c>
    </row>
    <row r="2588" spans="7:11" hidden="1" x14ac:dyDescent="0.25">
      <c r="G2588">
        <f t="shared" si="201"/>
        <v>0</v>
      </c>
      <c r="H2588">
        <f t="shared" si="202"/>
        <v>0</v>
      </c>
      <c r="I2588" s="141">
        <f t="shared" si="203"/>
        <v>0</v>
      </c>
      <c r="J2588">
        <f t="shared" si="204"/>
        <v>0</v>
      </c>
      <c r="K2588" s="141">
        <f t="shared" si="205"/>
        <v>0</v>
      </c>
    </row>
    <row r="2589" spans="7:11" hidden="1" x14ac:dyDescent="0.25">
      <c r="G2589">
        <f t="shared" si="201"/>
        <v>0</v>
      </c>
      <c r="H2589">
        <f t="shared" si="202"/>
        <v>0</v>
      </c>
      <c r="I2589" s="141">
        <f t="shared" si="203"/>
        <v>0</v>
      </c>
      <c r="J2589">
        <f t="shared" si="204"/>
        <v>0</v>
      </c>
      <c r="K2589" s="141">
        <f t="shared" si="205"/>
        <v>0</v>
      </c>
    </row>
    <row r="2590" spans="7:11" hidden="1" x14ac:dyDescent="0.25">
      <c r="G2590">
        <f t="shared" si="201"/>
        <v>0</v>
      </c>
      <c r="H2590">
        <f t="shared" si="202"/>
        <v>0</v>
      </c>
      <c r="I2590" s="141">
        <f t="shared" si="203"/>
        <v>0</v>
      </c>
      <c r="J2590">
        <f t="shared" si="204"/>
        <v>0</v>
      </c>
      <c r="K2590" s="141">
        <f t="shared" si="205"/>
        <v>0</v>
      </c>
    </row>
    <row r="2591" spans="7:11" hidden="1" x14ac:dyDescent="0.25">
      <c r="G2591">
        <f t="shared" si="201"/>
        <v>0</v>
      </c>
      <c r="H2591">
        <f t="shared" si="202"/>
        <v>0</v>
      </c>
      <c r="I2591" s="141">
        <f t="shared" si="203"/>
        <v>0</v>
      </c>
      <c r="J2591">
        <f t="shared" si="204"/>
        <v>0</v>
      </c>
      <c r="K2591" s="141">
        <f t="shared" si="205"/>
        <v>0</v>
      </c>
    </row>
    <row r="2592" spans="7:11" hidden="1" x14ac:dyDescent="0.25">
      <c r="G2592">
        <f t="shared" si="201"/>
        <v>0</v>
      </c>
      <c r="H2592">
        <f t="shared" si="202"/>
        <v>0</v>
      </c>
      <c r="I2592" s="141">
        <f t="shared" si="203"/>
        <v>0</v>
      </c>
      <c r="J2592">
        <f t="shared" si="204"/>
        <v>0</v>
      </c>
      <c r="K2592" s="141">
        <f t="shared" si="205"/>
        <v>0</v>
      </c>
    </row>
    <row r="2593" spans="7:11" hidden="1" x14ac:dyDescent="0.25">
      <c r="G2593">
        <f t="shared" si="201"/>
        <v>0</v>
      </c>
      <c r="H2593">
        <f t="shared" si="202"/>
        <v>0</v>
      </c>
      <c r="I2593" s="141">
        <f t="shared" si="203"/>
        <v>0</v>
      </c>
      <c r="J2593">
        <f t="shared" si="204"/>
        <v>0</v>
      </c>
      <c r="K2593" s="141">
        <f t="shared" si="205"/>
        <v>0</v>
      </c>
    </row>
    <row r="2594" spans="7:11" hidden="1" x14ac:dyDescent="0.25">
      <c r="G2594">
        <f t="shared" si="201"/>
        <v>0</v>
      </c>
      <c r="H2594">
        <f t="shared" si="202"/>
        <v>0</v>
      </c>
      <c r="I2594" s="141">
        <f t="shared" si="203"/>
        <v>0</v>
      </c>
      <c r="J2594">
        <f t="shared" si="204"/>
        <v>0</v>
      </c>
      <c r="K2594" s="141">
        <f t="shared" si="205"/>
        <v>0</v>
      </c>
    </row>
    <row r="2595" spans="7:11" hidden="1" x14ac:dyDescent="0.25">
      <c r="G2595">
        <f t="shared" si="201"/>
        <v>0</v>
      </c>
      <c r="H2595">
        <f t="shared" si="202"/>
        <v>0</v>
      </c>
      <c r="I2595" s="141">
        <f t="shared" si="203"/>
        <v>0</v>
      </c>
      <c r="J2595">
        <f t="shared" si="204"/>
        <v>0</v>
      </c>
      <c r="K2595" s="141">
        <f t="shared" si="205"/>
        <v>0</v>
      </c>
    </row>
    <row r="2596" spans="7:11" hidden="1" x14ac:dyDescent="0.25">
      <c r="G2596">
        <f t="shared" si="201"/>
        <v>0</v>
      </c>
      <c r="H2596">
        <f t="shared" si="202"/>
        <v>0</v>
      </c>
      <c r="I2596" s="141">
        <f t="shared" si="203"/>
        <v>0</v>
      </c>
      <c r="J2596">
        <f t="shared" si="204"/>
        <v>0</v>
      </c>
      <c r="K2596" s="141">
        <f t="shared" si="205"/>
        <v>0</v>
      </c>
    </row>
    <row r="2597" spans="7:11" hidden="1" x14ac:dyDescent="0.25">
      <c r="G2597">
        <f t="shared" si="201"/>
        <v>0</v>
      </c>
      <c r="H2597">
        <f t="shared" si="202"/>
        <v>0</v>
      </c>
      <c r="I2597" s="141">
        <f t="shared" si="203"/>
        <v>0</v>
      </c>
      <c r="J2597">
        <f t="shared" si="204"/>
        <v>0</v>
      </c>
      <c r="K2597" s="141">
        <f t="shared" si="205"/>
        <v>0</v>
      </c>
    </row>
    <row r="2598" spans="7:11" hidden="1" x14ac:dyDescent="0.25">
      <c r="G2598">
        <f t="shared" si="201"/>
        <v>0</v>
      </c>
      <c r="H2598">
        <f t="shared" si="202"/>
        <v>0</v>
      </c>
      <c r="I2598" s="141">
        <f t="shared" si="203"/>
        <v>0</v>
      </c>
      <c r="J2598">
        <f t="shared" si="204"/>
        <v>0</v>
      </c>
      <c r="K2598" s="141">
        <f t="shared" si="205"/>
        <v>0</v>
      </c>
    </row>
    <row r="2599" spans="7:11" hidden="1" x14ac:dyDescent="0.25">
      <c r="G2599">
        <f t="shared" si="201"/>
        <v>0</v>
      </c>
      <c r="H2599">
        <f t="shared" si="202"/>
        <v>0</v>
      </c>
      <c r="I2599" s="141">
        <f t="shared" si="203"/>
        <v>0</v>
      </c>
      <c r="J2599">
        <f t="shared" si="204"/>
        <v>0</v>
      </c>
      <c r="K2599" s="141">
        <f t="shared" si="205"/>
        <v>0</v>
      </c>
    </row>
    <row r="2600" spans="7:11" hidden="1" x14ac:dyDescent="0.25">
      <c r="G2600">
        <f t="shared" si="201"/>
        <v>0</v>
      </c>
      <c r="H2600">
        <f t="shared" si="202"/>
        <v>0</v>
      </c>
      <c r="I2600" s="141">
        <f t="shared" si="203"/>
        <v>0</v>
      </c>
      <c r="J2600">
        <f t="shared" si="204"/>
        <v>0</v>
      </c>
      <c r="K2600" s="141">
        <f t="shared" si="205"/>
        <v>0</v>
      </c>
    </row>
    <row r="2601" spans="7:11" hidden="1" x14ac:dyDescent="0.25">
      <c r="G2601">
        <f t="shared" si="201"/>
        <v>0</v>
      </c>
      <c r="H2601">
        <f t="shared" si="202"/>
        <v>0</v>
      </c>
      <c r="I2601" s="141">
        <f t="shared" si="203"/>
        <v>0</v>
      </c>
      <c r="J2601">
        <f t="shared" si="204"/>
        <v>0</v>
      </c>
      <c r="K2601" s="141">
        <f t="shared" si="205"/>
        <v>0</v>
      </c>
    </row>
    <row r="2602" spans="7:11" hidden="1" x14ac:dyDescent="0.25">
      <c r="G2602">
        <f t="shared" si="201"/>
        <v>0</v>
      </c>
      <c r="H2602">
        <f t="shared" si="202"/>
        <v>0</v>
      </c>
      <c r="I2602" s="141">
        <f t="shared" si="203"/>
        <v>0</v>
      </c>
      <c r="J2602">
        <f t="shared" si="204"/>
        <v>0</v>
      </c>
      <c r="K2602" s="141">
        <f t="shared" si="205"/>
        <v>0</v>
      </c>
    </row>
    <row r="2603" spans="7:11" hidden="1" x14ac:dyDescent="0.25">
      <c r="G2603">
        <f t="shared" si="201"/>
        <v>0</v>
      </c>
      <c r="H2603">
        <f t="shared" si="202"/>
        <v>0</v>
      </c>
      <c r="I2603" s="141">
        <f t="shared" si="203"/>
        <v>0</v>
      </c>
      <c r="J2603">
        <f t="shared" si="204"/>
        <v>0</v>
      </c>
      <c r="K2603" s="141">
        <f t="shared" si="205"/>
        <v>0</v>
      </c>
    </row>
    <row r="2604" spans="7:11" hidden="1" x14ac:dyDescent="0.25">
      <c r="G2604">
        <f t="shared" si="201"/>
        <v>0</v>
      </c>
      <c r="H2604">
        <f t="shared" si="202"/>
        <v>0</v>
      </c>
      <c r="I2604" s="141">
        <f t="shared" si="203"/>
        <v>0</v>
      </c>
      <c r="J2604">
        <f t="shared" si="204"/>
        <v>0</v>
      </c>
      <c r="K2604" s="141">
        <f t="shared" si="205"/>
        <v>0</v>
      </c>
    </row>
    <row r="2605" spans="7:11" hidden="1" x14ac:dyDescent="0.25">
      <c r="G2605">
        <f t="shared" si="201"/>
        <v>0</v>
      </c>
      <c r="H2605">
        <f t="shared" si="202"/>
        <v>0</v>
      </c>
      <c r="I2605" s="141">
        <f t="shared" si="203"/>
        <v>0</v>
      </c>
      <c r="J2605">
        <f t="shared" si="204"/>
        <v>0</v>
      </c>
      <c r="K2605" s="141">
        <f t="shared" si="205"/>
        <v>0</v>
      </c>
    </row>
    <row r="2606" spans="7:11" hidden="1" x14ac:dyDescent="0.25">
      <c r="G2606">
        <f t="shared" si="201"/>
        <v>0</v>
      </c>
      <c r="H2606">
        <f t="shared" si="202"/>
        <v>0</v>
      </c>
      <c r="I2606" s="141">
        <f t="shared" si="203"/>
        <v>0</v>
      </c>
      <c r="J2606">
        <f t="shared" si="204"/>
        <v>0</v>
      </c>
      <c r="K2606" s="141">
        <f t="shared" si="205"/>
        <v>0</v>
      </c>
    </row>
    <row r="2607" spans="7:11" hidden="1" x14ac:dyDescent="0.25">
      <c r="G2607">
        <f t="shared" si="201"/>
        <v>0</v>
      </c>
      <c r="H2607">
        <f t="shared" si="202"/>
        <v>0</v>
      </c>
      <c r="I2607" s="141">
        <f t="shared" si="203"/>
        <v>0</v>
      </c>
      <c r="J2607">
        <f t="shared" si="204"/>
        <v>0</v>
      </c>
      <c r="K2607" s="141">
        <f t="shared" si="205"/>
        <v>0</v>
      </c>
    </row>
    <row r="2608" spans="7:11" hidden="1" x14ac:dyDescent="0.25">
      <c r="G2608">
        <f t="shared" si="201"/>
        <v>0</v>
      </c>
      <c r="H2608">
        <f t="shared" si="202"/>
        <v>0</v>
      </c>
      <c r="I2608" s="141">
        <f t="shared" si="203"/>
        <v>0</v>
      </c>
      <c r="J2608">
        <f t="shared" si="204"/>
        <v>0</v>
      </c>
      <c r="K2608" s="141">
        <f t="shared" si="205"/>
        <v>0</v>
      </c>
    </row>
    <row r="2609" spans="7:11" hidden="1" x14ac:dyDescent="0.25">
      <c r="G2609">
        <f t="shared" si="201"/>
        <v>0</v>
      </c>
      <c r="H2609">
        <f t="shared" si="202"/>
        <v>0</v>
      </c>
      <c r="I2609" s="141">
        <f t="shared" si="203"/>
        <v>0</v>
      </c>
      <c r="J2609">
        <f t="shared" si="204"/>
        <v>0</v>
      </c>
      <c r="K2609" s="141">
        <f t="shared" si="205"/>
        <v>0</v>
      </c>
    </row>
    <row r="2610" spans="7:11" hidden="1" x14ac:dyDescent="0.25">
      <c r="G2610">
        <f t="shared" si="201"/>
        <v>0</v>
      </c>
      <c r="H2610">
        <f t="shared" si="202"/>
        <v>0</v>
      </c>
      <c r="I2610" s="141">
        <f t="shared" si="203"/>
        <v>0</v>
      </c>
      <c r="J2610">
        <f t="shared" si="204"/>
        <v>0</v>
      </c>
      <c r="K2610" s="141">
        <f t="shared" si="205"/>
        <v>0</v>
      </c>
    </row>
    <row r="2611" spans="7:11" hidden="1" x14ac:dyDescent="0.25">
      <c r="G2611">
        <f t="shared" si="201"/>
        <v>0</v>
      </c>
      <c r="H2611">
        <f t="shared" si="202"/>
        <v>0</v>
      </c>
      <c r="I2611" s="141">
        <f t="shared" si="203"/>
        <v>0</v>
      </c>
      <c r="J2611">
        <f t="shared" si="204"/>
        <v>0</v>
      </c>
      <c r="K2611" s="141">
        <f t="shared" si="205"/>
        <v>0</v>
      </c>
    </row>
    <row r="2612" spans="7:11" hidden="1" x14ac:dyDescent="0.25">
      <c r="G2612">
        <f t="shared" si="201"/>
        <v>0</v>
      </c>
      <c r="H2612">
        <f t="shared" si="202"/>
        <v>0</v>
      </c>
      <c r="I2612" s="141">
        <f t="shared" si="203"/>
        <v>0</v>
      </c>
      <c r="J2612">
        <f t="shared" si="204"/>
        <v>0</v>
      </c>
      <c r="K2612" s="141">
        <f t="shared" si="205"/>
        <v>0</v>
      </c>
    </row>
    <row r="2613" spans="7:11" hidden="1" x14ac:dyDescent="0.25">
      <c r="G2613">
        <f t="shared" si="201"/>
        <v>0</v>
      </c>
      <c r="H2613">
        <f t="shared" si="202"/>
        <v>0</v>
      </c>
      <c r="I2613" s="141">
        <f t="shared" si="203"/>
        <v>0</v>
      </c>
      <c r="J2613">
        <f t="shared" si="204"/>
        <v>0</v>
      </c>
      <c r="K2613" s="141">
        <f t="shared" si="205"/>
        <v>0</v>
      </c>
    </row>
    <row r="2614" spans="7:11" hidden="1" x14ac:dyDescent="0.25">
      <c r="G2614">
        <f t="shared" si="201"/>
        <v>0</v>
      </c>
      <c r="H2614">
        <f t="shared" si="202"/>
        <v>0</v>
      </c>
      <c r="I2614" s="141">
        <f t="shared" si="203"/>
        <v>0</v>
      </c>
      <c r="J2614">
        <f t="shared" si="204"/>
        <v>0</v>
      </c>
      <c r="K2614" s="141">
        <f t="shared" si="205"/>
        <v>0</v>
      </c>
    </row>
    <row r="2615" spans="7:11" hidden="1" x14ac:dyDescent="0.25">
      <c r="G2615">
        <f t="shared" si="201"/>
        <v>0</v>
      </c>
      <c r="H2615">
        <f t="shared" si="202"/>
        <v>0</v>
      </c>
      <c r="I2615" s="141">
        <f t="shared" si="203"/>
        <v>0</v>
      </c>
      <c r="J2615">
        <f t="shared" si="204"/>
        <v>0</v>
      </c>
      <c r="K2615" s="141">
        <f t="shared" si="205"/>
        <v>0</v>
      </c>
    </row>
    <row r="2616" spans="7:11" hidden="1" x14ac:dyDescent="0.25">
      <c r="G2616">
        <f t="shared" si="201"/>
        <v>0</v>
      </c>
      <c r="H2616">
        <f t="shared" si="202"/>
        <v>0</v>
      </c>
      <c r="I2616" s="141">
        <f t="shared" si="203"/>
        <v>0</v>
      </c>
      <c r="J2616">
        <f t="shared" si="204"/>
        <v>0</v>
      </c>
      <c r="K2616" s="141">
        <f t="shared" si="205"/>
        <v>0</v>
      </c>
    </row>
    <row r="2617" spans="7:11" hidden="1" x14ac:dyDescent="0.25">
      <c r="G2617">
        <f t="shared" si="201"/>
        <v>0</v>
      </c>
      <c r="H2617">
        <f t="shared" si="202"/>
        <v>0</v>
      </c>
      <c r="I2617" s="141">
        <f t="shared" si="203"/>
        <v>0</v>
      </c>
      <c r="J2617">
        <f t="shared" si="204"/>
        <v>0</v>
      </c>
      <c r="K2617" s="141">
        <f t="shared" si="205"/>
        <v>0</v>
      </c>
    </row>
    <row r="2618" spans="7:11" hidden="1" x14ac:dyDescent="0.25">
      <c r="G2618">
        <f t="shared" si="201"/>
        <v>0</v>
      </c>
      <c r="H2618">
        <f t="shared" si="202"/>
        <v>0</v>
      </c>
      <c r="I2618" s="141">
        <f t="shared" si="203"/>
        <v>0</v>
      </c>
      <c r="J2618">
        <f t="shared" si="204"/>
        <v>0</v>
      </c>
      <c r="K2618" s="141">
        <f t="shared" si="205"/>
        <v>0</v>
      </c>
    </row>
    <row r="2619" spans="7:11" hidden="1" x14ac:dyDescent="0.25">
      <c r="G2619">
        <f t="shared" si="201"/>
        <v>0</v>
      </c>
      <c r="H2619">
        <f t="shared" si="202"/>
        <v>0</v>
      </c>
      <c r="I2619" s="141">
        <f t="shared" si="203"/>
        <v>0</v>
      </c>
      <c r="J2619">
        <f t="shared" si="204"/>
        <v>0</v>
      </c>
      <c r="K2619" s="141">
        <f t="shared" si="205"/>
        <v>0</v>
      </c>
    </row>
    <row r="2620" spans="7:11" hidden="1" x14ac:dyDescent="0.25">
      <c r="G2620">
        <f t="shared" si="201"/>
        <v>0</v>
      </c>
      <c r="H2620">
        <f t="shared" si="202"/>
        <v>0</v>
      </c>
      <c r="I2620" s="141">
        <f t="shared" si="203"/>
        <v>0</v>
      </c>
      <c r="J2620">
        <f t="shared" si="204"/>
        <v>0</v>
      </c>
      <c r="K2620" s="141">
        <f t="shared" si="205"/>
        <v>0</v>
      </c>
    </row>
    <row r="2621" spans="7:11" hidden="1" x14ac:dyDescent="0.25">
      <c r="G2621">
        <f t="shared" si="201"/>
        <v>0</v>
      </c>
      <c r="H2621">
        <f t="shared" si="202"/>
        <v>0</v>
      </c>
      <c r="I2621" s="141">
        <f t="shared" si="203"/>
        <v>0</v>
      </c>
      <c r="J2621">
        <f t="shared" si="204"/>
        <v>0</v>
      </c>
      <c r="K2621" s="141">
        <f t="shared" si="205"/>
        <v>0</v>
      </c>
    </row>
    <row r="2622" spans="7:11" hidden="1" x14ac:dyDescent="0.25">
      <c r="G2622">
        <f t="shared" si="201"/>
        <v>0</v>
      </c>
      <c r="H2622">
        <f t="shared" si="202"/>
        <v>0</v>
      </c>
      <c r="I2622" s="141">
        <f t="shared" si="203"/>
        <v>0</v>
      </c>
      <c r="J2622">
        <f t="shared" si="204"/>
        <v>0</v>
      </c>
      <c r="K2622" s="141">
        <f t="shared" si="205"/>
        <v>0</v>
      </c>
    </row>
    <row r="2623" spans="7:11" hidden="1" x14ac:dyDescent="0.25">
      <c r="G2623">
        <f t="shared" si="201"/>
        <v>0</v>
      </c>
      <c r="H2623">
        <f t="shared" si="202"/>
        <v>0</v>
      </c>
      <c r="I2623" s="141">
        <f t="shared" si="203"/>
        <v>0</v>
      </c>
      <c r="J2623">
        <f t="shared" si="204"/>
        <v>0</v>
      </c>
      <c r="K2623" s="141">
        <f t="shared" si="205"/>
        <v>0</v>
      </c>
    </row>
    <row r="2624" spans="7:11" hidden="1" x14ac:dyDescent="0.25">
      <c r="G2624">
        <f t="shared" si="201"/>
        <v>0</v>
      </c>
      <c r="H2624">
        <f t="shared" si="202"/>
        <v>0</v>
      </c>
      <c r="I2624" s="141">
        <f t="shared" si="203"/>
        <v>0</v>
      </c>
      <c r="J2624">
        <f t="shared" si="204"/>
        <v>0</v>
      </c>
      <c r="K2624" s="141">
        <f t="shared" si="205"/>
        <v>0</v>
      </c>
    </row>
    <row r="2625" spans="7:11" hidden="1" x14ac:dyDescent="0.25">
      <c r="G2625">
        <f t="shared" si="201"/>
        <v>0</v>
      </c>
      <c r="H2625">
        <f t="shared" si="202"/>
        <v>0</v>
      </c>
      <c r="I2625" s="141">
        <f t="shared" si="203"/>
        <v>0</v>
      </c>
      <c r="J2625">
        <f t="shared" si="204"/>
        <v>0</v>
      </c>
      <c r="K2625" s="141">
        <f t="shared" si="205"/>
        <v>0</v>
      </c>
    </row>
    <row r="2626" spans="7:11" hidden="1" x14ac:dyDescent="0.25">
      <c r="G2626">
        <f t="shared" ref="G2626:G2689" si="206">A2626</f>
        <v>0</v>
      </c>
      <c r="H2626">
        <f t="shared" ref="H2626:H2689" si="207">B2626</f>
        <v>0</v>
      </c>
      <c r="I2626" s="141">
        <f t="shared" ref="I2626:I2689" si="208">C2626</f>
        <v>0</v>
      </c>
      <c r="J2626">
        <f t="shared" ref="J2626:J2689" si="209">D2626</f>
        <v>0</v>
      </c>
      <c r="K2626" s="141">
        <f t="shared" ref="K2626:K2689" si="210">E2626</f>
        <v>0</v>
      </c>
    </row>
    <row r="2627" spans="7:11" hidden="1" x14ac:dyDescent="0.25">
      <c r="G2627">
        <f t="shared" si="206"/>
        <v>0</v>
      </c>
      <c r="H2627">
        <f t="shared" si="207"/>
        <v>0</v>
      </c>
      <c r="I2627" s="141">
        <f t="shared" si="208"/>
        <v>0</v>
      </c>
      <c r="J2627">
        <f t="shared" si="209"/>
        <v>0</v>
      </c>
      <c r="K2627" s="141">
        <f t="shared" si="210"/>
        <v>0</v>
      </c>
    </row>
    <row r="2628" spans="7:11" hidden="1" x14ac:dyDescent="0.25">
      <c r="G2628">
        <f t="shared" si="206"/>
        <v>0</v>
      </c>
      <c r="H2628">
        <f t="shared" si="207"/>
        <v>0</v>
      </c>
      <c r="I2628" s="141">
        <f t="shared" si="208"/>
        <v>0</v>
      </c>
      <c r="J2628">
        <f t="shared" si="209"/>
        <v>0</v>
      </c>
      <c r="K2628" s="141">
        <f t="shared" si="210"/>
        <v>0</v>
      </c>
    </row>
    <row r="2629" spans="7:11" hidden="1" x14ac:dyDescent="0.25">
      <c r="G2629">
        <f t="shared" si="206"/>
        <v>0</v>
      </c>
      <c r="H2629">
        <f t="shared" si="207"/>
        <v>0</v>
      </c>
      <c r="I2629" s="141">
        <f t="shared" si="208"/>
        <v>0</v>
      </c>
      <c r="J2629">
        <f t="shared" si="209"/>
        <v>0</v>
      </c>
      <c r="K2629" s="141">
        <f t="shared" si="210"/>
        <v>0</v>
      </c>
    </row>
    <row r="2630" spans="7:11" hidden="1" x14ac:dyDescent="0.25">
      <c r="G2630">
        <f t="shared" si="206"/>
        <v>0</v>
      </c>
      <c r="H2630">
        <f t="shared" si="207"/>
        <v>0</v>
      </c>
      <c r="I2630" s="141">
        <f t="shared" si="208"/>
        <v>0</v>
      </c>
      <c r="J2630">
        <f t="shared" si="209"/>
        <v>0</v>
      </c>
      <c r="K2630" s="141">
        <f t="shared" si="210"/>
        <v>0</v>
      </c>
    </row>
    <row r="2631" spans="7:11" hidden="1" x14ac:dyDescent="0.25">
      <c r="G2631">
        <f t="shared" si="206"/>
        <v>0</v>
      </c>
      <c r="H2631">
        <f t="shared" si="207"/>
        <v>0</v>
      </c>
      <c r="I2631" s="141">
        <f t="shared" si="208"/>
        <v>0</v>
      </c>
      <c r="J2631">
        <f t="shared" si="209"/>
        <v>0</v>
      </c>
      <c r="K2631" s="141">
        <f t="shared" si="210"/>
        <v>0</v>
      </c>
    </row>
    <row r="2632" spans="7:11" hidden="1" x14ac:dyDescent="0.25">
      <c r="G2632">
        <f t="shared" si="206"/>
        <v>0</v>
      </c>
      <c r="H2632">
        <f t="shared" si="207"/>
        <v>0</v>
      </c>
      <c r="I2632" s="141">
        <f t="shared" si="208"/>
        <v>0</v>
      </c>
      <c r="J2632">
        <f t="shared" si="209"/>
        <v>0</v>
      </c>
      <c r="K2632" s="141">
        <f t="shared" si="210"/>
        <v>0</v>
      </c>
    </row>
    <row r="2633" spans="7:11" hidden="1" x14ac:dyDescent="0.25">
      <c r="G2633">
        <f t="shared" si="206"/>
        <v>0</v>
      </c>
      <c r="H2633">
        <f t="shared" si="207"/>
        <v>0</v>
      </c>
      <c r="I2633" s="141">
        <f t="shared" si="208"/>
        <v>0</v>
      </c>
      <c r="J2633">
        <f t="shared" si="209"/>
        <v>0</v>
      </c>
      <c r="K2633" s="141">
        <f t="shared" si="210"/>
        <v>0</v>
      </c>
    </row>
    <row r="2634" spans="7:11" hidden="1" x14ac:dyDescent="0.25">
      <c r="G2634">
        <f t="shared" si="206"/>
        <v>0</v>
      </c>
      <c r="H2634">
        <f t="shared" si="207"/>
        <v>0</v>
      </c>
      <c r="I2634" s="141">
        <f t="shared" si="208"/>
        <v>0</v>
      </c>
      <c r="J2634">
        <f t="shared" si="209"/>
        <v>0</v>
      </c>
      <c r="K2634" s="141">
        <f t="shared" si="210"/>
        <v>0</v>
      </c>
    </row>
    <row r="2635" spans="7:11" hidden="1" x14ac:dyDescent="0.25">
      <c r="G2635">
        <f t="shared" si="206"/>
        <v>0</v>
      </c>
      <c r="H2635">
        <f t="shared" si="207"/>
        <v>0</v>
      </c>
      <c r="I2635" s="141">
        <f t="shared" si="208"/>
        <v>0</v>
      </c>
      <c r="J2635">
        <f t="shared" si="209"/>
        <v>0</v>
      </c>
      <c r="K2635" s="141">
        <f t="shared" si="210"/>
        <v>0</v>
      </c>
    </row>
    <row r="2636" spans="7:11" hidden="1" x14ac:dyDescent="0.25">
      <c r="G2636">
        <f t="shared" si="206"/>
        <v>0</v>
      </c>
      <c r="H2636">
        <f t="shared" si="207"/>
        <v>0</v>
      </c>
      <c r="I2636" s="141">
        <f t="shared" si="208"/>
        <v>0</v>
      </c>
      <c r="J2636">
        <f t="shared" si="209"/>
        <v>0</v>
      </c>
      <c r="K2636" s="141">
        <f t="shared" si="210"/>
        <v>0</v>
      </c>
    </row>
    <row r="2637" spans="7:11" hidden="1" x14ac:dyDescent="0.25">
      <c r="G2637">
        <f t="shared" si="206"/>
        <v>0</v>
      </c>
      <c r="H2637">
        <f t="shared" si="207"/>
        <v>0</v>
      </c>
      <c r="I2637" s="141">
        <f t="shared" si="208"/>
        <v>0</v>
      </c>
      <c r="J2637">
        <f t="shared" si="209"/>
        <v>0</v>
      </c>
      <c r="K2637" s="141">
        <f t="shared" si="210"/>
        <v>0</v>
      </c>
    </row>
    <row r="2638" spans="7:11" hidden="1" x14ac:dyDescent="0.25">
      <c r="G2638">
        <f t="shared" si="206"/>
        <v>0</v>
      </c>
      <c r="H2638">
        <f t="shared" si="207"/>
        <v>0</v>
      </c>
      <c r="I2638" s="141">
        <f t="shared" si="208"/>
        <v>0</v>
      </c>
      <c r="J2638">
        <f t="shared" si="209"/>
        <v>0</v>
      </c>
      <c r="K2638" s="141">
        <f t="shared" si="210"/>
        <v>0</v>
      </c>
    </row>
    <row r="2639" spans="7:11" hidden="1" x14ac:dyDescent="0.25">
      <c r="G2639">
        <f t="shared" si="206"/>
        <v>0</v>
      </c>
      <c r="H2639">
        <f t="shared" si="207"/>
        <v>0</v>
      </c>
      <c r="I2639" s="141">
        <f t="shared" si="208"/>
        <v>0</v>
      </c>
      <c r="J2639">
        <f t="shared" si="209"/>
        <v>0</v>
      </c>
      <c r="K2639" s="141">
        <f t="shared" si="210"/>
        <v>0</v>
      </c>
    </row>
    <row r="2640" spans="7:11" hidden="1" x14ac:dyDescent="0.25">
      <c r="G2640">
        <f t="shared" si="206"/>
        <v>0</v>
      </c>
      <c r="H2640">
        <f t="shared" si="207"/>
        <v>0</v>
      </c>
      <c r="I2640" s="141">
        <f t="shared" si="208"/>
        <v>0</v>
      </c>
      <c r="J2640">
        <f t="shared" si="209"/>
        <v>0</v>
      </c>
      <c r="K2640" s="141">
        <f t="shared" si="210"/>
        <v>0</v>
      </c>
    </row>
    <row r="2641" spans="7:11" hidden="1" x14ac:dyDescent="0.25">
      <c r="G2641">
        <f t="shared" si="206"/>
        <v>0</v>
      </c>
      <c r="H2641">
        <f t="shared" si="207"/>
        <v>0</v>
      </c>
      <c r="I2641" s="141">
        <f t="shared" si="208"/>
        <v>0</v>
      </c>
      <c r="J2641">
        <f t="shared" si="209"/>
        <v>0</v>
      </c>
      <c r="K2641" s="141">
        <f t="shared" si="210"/>
        <v>0</v>
      </c>
    </row>
    <row r="2642" spans="7:11" hidden="1" x14ac:dyDescent="0.25">
      <c r="G2642">
        <f t="shared" si="206"/>
        <v>0</v>
      </c>
      <c r="H2642">
        <f t="shared" si="207"/>
        <v>0</v>
      </c>
      <c r="I2642" s="141">
        <f t="shared" si="208"/>
        <v>0</v>
      </c>
      <c r="J2642">
        <f t="shared" si="209"/>
        <v>0</v>
      </c>
      <c r="K2642" s="141">
        <f t="shared" si="210"/>
        <v>0</v>
      </c>
    </row>
    <row r="2643" spans="7:11" hidden="1" x14ac:dyDescent="0.25">
      <c r="G2643">
        <f t="shared" si="206"/>
        <v>0</v>
      </c>
      <c r="H2643">
        <f t="shared" si="207"/>
        <v>0</v>
      </c>
      <c r="I2643" s="141">
        <f t="shared" si="208"/>
        <v>0</v>
      </c>
      <c r="J2643">
        <f t="shared" si="209"/>
        <v>0</v>
      </c>
      <c r="K2643" s="141">
        <f t="shared" si="210"/>
        <v>0</v>
      </c>
    </row>
    <row r="2644" spans="7:11" hidden="1" x14ac:dyDescent="0.25">
      <c r="G2644">
        <f t="shared" si="206"/>
        <v>0</v>
      </c>
      <c r="H2644">
        <f t="shared" si="207"/>
        <v>0</v>
      </c>
      <c r="I2644" s="141">
        <f t="shared" si="208"/>
        <v>0</v>
      </c>
      <c r="J2644">
        <f t="shared" si="209"/>
        <v>0</v>
      </c>
      <c r="K2644" s="141">
        <f t="shared" si="210"/>
        <v>0</v>
      </c>
    </row>
    <row r="2645" spans="7:11" hidden="1" x14ac:dyDescent="0.25">
      <c r="G2645">
        <f t="shared" si="206"/>
        <v>0</v>
      </c>
      <c r="H2645">
        <f t="shared" si="207"/>
        <v>0</v>
      </c>
      <c r="I2645" s="141">
        <f t="shared" si="208"/>
        <v>0</v>
      </c>
      <c r="J2645">
        <f t="shared" si="209"/>
        <v>0</v>
      </c>
      <c r="K2645" s="141">
        <f t="shared" si="210"/>
        <v>0</v>
      </c>
    </row>
    <row r="2646" spans="7:11" hidden="1" x14ac:dyDescent="0.25">
      <c r="G2646">
        <f t="shared" si="206"/>
        <v>0</v>
      </c>
      <c r="H2646">
        <f t="shared" si="207"/>
        <v>0</v>
      </c>
      <c r="I2646" s="141">
        <f t="shared" si="208"/>
        <v>0</v>
      </c>
      <c r="J2646">
        <f t="shared" si="209"/>
        <v>0</v>
      </c>
      <c r="K2646" s="141">
        <f t="shared" si="210"/>
        <v>0</v>
      </c>
    </row>
    <row r="2647" spans="7:11" hidden="1" x14ac:dyDescent="0.25">
      <c r="G2647">
        <f t="shared" si="206"/>
        <v>0</v>
      </c>
      <c r="H2647">
        <f t="shared" si="207"/>
        <v>0</v>
      </c>
      <c r="I2647" s="141">
        <f t="shared" si="208"/>
        <v>0</v>
      </c>
      <c r="J2647">
        <f t="shared" si="209"/>
        <v>0</v>
      </c>
      <c r="K2647" s="141">
        <f t="shared" si="210"/>
        <v>0</v>
      </c>
    </row>
    <row r="2648" spans="7:11" hidden="1" x14ac:dyDescent="0.25">
      <c r="G2648">
        <f t="shared" si="206"/>
        <v>0</v>
      </c>
      <c r="H2648">
        <f t="shared" si="207"/>
        <v>0</v>
      </c>
      <c r="I2648" s="141">
        <f t="shared" si="208"/>
        <v>0</v>
      </c>
      <c r="J2648">
        <f t="shared" si="209"/>
        <v>0</v>
      </c>
      <c r="K2648" s="141">
        <f t="shared" si="210"/>
        <v>0</v>
      </c>
    </row>
    <row r="2649" spans="7:11" hidden="1" x14ac:dyDescent="0.25">
      <c r="G2649">
        <f t="shared" si="206"/>
        <v>0</v>
      </c>
      <c r="H2649">
        <f t="shared" si="207"/>
        <v>0</v>
      </c>
      <c r="I2649" s="141">
        <f t="shared" si="208"/>
        <v>0</v>
      </c>
      <c r="J2649">
        <f t="shared" si="209"/>
        <v>0</v>
      </c>
      <c r="K2649" s="141">
        <f t="shared" si="210"/>
        <v>0</v>
      </c>
    </row>
    <row r="2650" spans="7:11" hidden="1" x14ac:dyDescent="0.25">
      <c r="G2650">
        <f t="shared" si="206"/>
        <v>0</v>
      </c>
      <c r="H2650">
        <f t="shared" si="207"/>
        <v>0</v>
      </c>
      <c r="I2650" s="141">
        <f t="shared" si="208"/>
        <v>0</v>
      </c>
      <c r="J2650">
        <f t="shared" si="209"/>
        <v>0</v>
      </c>
      <c r="K2650" s="141">
        <f t="shared" si="210"/>
        <v>0</v>
      </c>
    </row>
    <row r="2651" spans="7:11" hidden="1" x14ac:dyDescent="0.25">
      <c r="G2651">
        <f t="shared" si="206"/>
        <v>0</v>
      </c>
      <c r="H2651">
        <f t="shared" si="207"/>
        <v>0</v>
      </c>
      <c r="I2651" s="141">
        <f t="shared" si="208"/>
        <v>0</v>
      </c>
      <c r="J2651">
        <f t="shared" si="209"/>
        <v>0</v>
      </c>
      <c r="K2651" s="141">
        <f t="shared" si="210"/>
        <v>0</v>
      </c>
    </row>
    <row r="2652" spans="7:11" hidden="1" x14ac:dyDescent="0.25">
      <c r="G2652">
        <f t="shared" si="206"/>
        <v>0</v>
      </c>
      <c r="H2652">
        <f t="shared" si="207"/>
        <v>0</v>
      </c>
      <c r="I2652" s="141">
        <f t="shared" si="208"/>
        <v>0</v>
      </c>
      <c r="J2652">
        <f t="shared" si="209"/>
        <v>0</v>
      </c>
      <c r="K2652" s="141">
        <f t="shared" si="210"/>
        <v>0</v>
      </c>
    </row>
    <row r="2653" spans="7:11" hidden="1" x14ac:dyDescent="0.25">
      <c r="G2653">
        <f t="shared" si="206"/>
        <v>0</v>
      </c>
      <c r="H2653">
        <f t="shared" si="207"/>
        <v>0</v>
      </c>
      <c r="I2653" s="141">
        <f t="shared" si="208"/>
        <v>0</v>
      </c>
      <c r="J2653">
        <f t="shared" si="209"/>
        <v>0</v>
      </c>
      <c r="K2653" s="141">
        <f t="shared" si="210"/>
        <v>0</v>
      </c>
    </row>
    <row r="2654" spans="7:11" hidden="1" x14ac:dyDescent="0.25">
      <c r="G2654">
        <f t="shared" si="206"/>
        <v>0</v>
      </c>
      <c r="H2654">
        <f t="shared" si="207"/>
        <v>0</v>
      </c>
      <c r="I2654" s="141">
        <f t="shared" si="208"/>
        <v>0</v>
      </c>
      <c r="J2654">
        <f t="shared" si="209"/>
        <v>0</v>
      </c>
      <c r="K2654" s="141">
        <f t="shared" si="210"/>
        <v>0</v>
      </c>
    </row>
    <row r="2655" spans="7:11" hidden="1" x14ac:dyDescent="0.25">
      <c r="G2655">
        <f t="shared" si="206"/>
        <v>0</v>
      </c>
      <c r="H2655">
        <f t="shared" si="207"/>
        <v>0</v>
      </c>
      <c r="I2655" s="141">
        <f t="shared" si="208"/>
        <v>0</v>
      </c>
      <c r="J2655">
        <f t="shared" si="209"/>
        <v>0</v>
      </c>
      <c r="K2655" s="141">
        <f t="shared" si="210"/>
        <v>0</v>
      </c>
    </row>
    <row r="2656" spans="7:11" hidden="1" x14ac:dyDescent="0.25">
      <c r="G2656">
        <f t="shared" si="206"/>
        <v>0</v>
      </c>
      <c r="H2656">
        <f t="shared" si="207"/>
        <v>0</v>
      </c>
      <c r="I2656" s="141">
        <f t="shared" si="208"/>
        <v>0</v>
      </c>
      <c r="J2656">
        <f t="shared" si="209"/>
        <v>0</v>
      </c>
      <c r="K2656" s="141">
        <f t="shared" si="210"/>
        <v>0</v>
      </c>
    </row>
    <row r="2657" spans="7:11" hidden="1" x14ac:dyDescent="0.25">
      <c r="G2657">
        <f t="shared" si="206"/>
        <v>0</v>
      </c>
      <c r="H2657">
        <f t="shared" si="207"/>
        <v>0</v>
      </c>
      <c r="I2657" s="141">
        <f t="shared" si="208"/>
        <v>0</v>
      </c>
      <c r="J2657">
        <f t="shared" si="209"/>
        <v>0</v>
      </c>
      <c r="K2657" s="141">
        <f t="shared" si="210"/>
        <v>0</v>
      </c>
    </row>
    <row r="2658" spans="7:11" hidden="1" x14ac:dyDescent="0.25">
      <c r="G2658">
        <f t="shared" si="206"/>
        <v>0</v>
      </c>
      <c r="H2658">
        <f t="shared" si="207"/>
        <v>0</v>
      </c>
      <c r="I2658" s="141">
        <f t="shared" si="208"/>
        <v>0</v>
      </c>
      <c r="J2658">
        <f t="shared" si="209"/>
        <v>0</v>
      </c>
      <c r="K2658" s="141">
        <f t="shared" si="210"/>
        <v>0</v>
      </c>
    </row>
    <row r="2659" spans="7:11" hidden="1" x14ac:dyDescent="0.25">
      <c r="G2659">
        <f t="shared" si="206"/>
        <v>0</v>
      </c>
      <c r="H2659">
        <f t="shared" si="207"/>
        <v>0</v>
      </c>
      <c r="I2659" s="141">
        <f t="shared" si="208"/>
        <v>0</v>
      </c>
      <c r="J2659">
        <f t="shared" si="209"/>
        <v>0</v>
      </c>
      <c r="K2659" s="141">
        <f t="shared" si="210"/>
        <v>0</v>
      </c>
    </row>
    <row r="2660" spans="7:11" hidden="1" x14ac:dyDescent="0.25">
      <c r="G2660">
        <f t="shared" si="206"/>
        <v>0</v>
      </c>
      <c r="H2660">
        <f t="shared" si="207"/>
        <v>0</v>
      </c>
      <c r="I2660" s="141">
        <f t="shared" si="208"/>
        <v>0</v>
      </c>
      <c r="J2660">
        <f t="shared" si="209"/>
        <v>0</v>
      </c>
      <c r="K2660" s="141">
        <f t="shared" si="210"/>
        <v>0</v>
      </c>
    </row>
    <row r="2661" spans="7:11" hidden="1" x14ac:dyDescent="0.25">
      <c r="G2661">
        <f t="shared" si="206"/>
        <v>0</v>
      </c>
      <c r="H2661">
        <f t="shared" si="207"/>
        <v>0</v>
      </c>
      <c r="I2661" s="141">
        <f t="shared" si="208"/>
        <v>0</v>
      </c>
      <c r="J2661">
        <f t="shared" si="209"/>
        <v>0</v>
      </c>
      <c r="K2661" s="141">
        <f t="shared" si="210"/>
        <v>0</v>
      </c>
    </row>
    <row r="2662" spans="7:11" hidden="1" x14ac:dyDescent="0.25">
      <c r="G2662">
        <f t="shared" si="206"/>
        <v>0</v>
      </c>
      <c r="H2662">
        <f t="shared" si="207"/>
        <v>0</v>
      </c>
      <c r="I2662" s="141">
        <f t="shared" si="208"/>
        <v>0</v>
      </c>
      <c r="J2662">
        <f t="shared" si="209"/>
        <v>0</v>
      </c>
      <c r="K2662" s="141">
        <f t="shared" si="210"/>
        <v>0</v>
      </c>
    </row>
    <row r="2663" spans="7:11" hidden="1" x14ac:dyDescent="0.25">
      <c r="G2663">
        <f t="shared" si="206"/>
        <v>0</v>
      </c>
      <c r="H2663">
        <f t="shared" si="207"/>
        <v>0</v>
      </c>
      <c r="I2663" s="141">
        <f t="shared" si="208"/>
        <v>0</v>
      </c>
      <c r="J2663">
        <f t="shared" si="209"/>
        <v>0</v>
      </c>
      <c r="K2663" s="141">
        <f t="shared" si="210"/>
        <v>0</v>
      </c>
    </row>
    <row r="2664" spans="7:11" hidden="1" x14ac:dyDescent="0.25">
      <c r="G2664">
        <f t="shared" si="206"/>
        <v>0</v>
      </c>
      <c r="H2664">
        <f t="shared" si="207"/>
        <v>0</v>
      </c>
      <c r="I2664" s="141">
        <f t="shared" si="208"/>
        <v>0</v>
      </c>
      <c r="J2664">
        <f t="shared" si="209"/>
        <v>0</v>
      </c>
      <c r="K2664" s="141">
        <f t="shared" si="210"/>
        <v>0</v>
      </c>
    </row>
    <row r="2665" spans="7:11" hidden="1" x14ac:dyDescent="0.25">
      <c r="G2665">
        <f t="shared" si="206"/>
        <v>0</v>
      </c>
      <c r="H2665">
        <f t="shared" si="207"/>
        <v>0</v>
      </c>
      <c r="I2665" s="141">
        <f t="shared" si="208"/>
        <v>0</v>
      </c>
      <c r="J2665">
        <f t="shared" si="209"/>
        <v>0</v>
      </c>
      <c r="K2665" s="141">
        <f t="shared" si="210"/>
        <v>0</v>
      </c>
    </row>
    <row r="2666" spans="7:11" hidden="1" x14ac:dyDescent="0.25">
      <c r="G2666">
        <f t="shared" si="206"/>
        <v>0</v>
      </c>
      <c r="H2666">
        <f t="shared" si="207"/>
        <v>0</v>
      </c>
      <c r="I2666" s="141">
        <f t="shared" si="208"/>
        <v>0</v>
      </c>
      <c r="J2666">
        <f t="shared" si="209"/>
        <v>0</v>
      </c>
      <c r="K2666" s="141">
        <f t="shared" si="210"/>
        <v>0</v>
      </c>
    </row>
    <row r="2667" spans="7:11" hidden="1" x14ac:dyDescent="0.25">
      <c r="G2667">
        <f t="shared" si="206"/>
        <v>0</v>
      </c>
      <c r="H2667">
        <f t="shared" si="207"/>
        <v>0</v>
      </c>
      <c r="I2667" s="141">
        <f t="shared" si="208"/>
        <v>0</v>
      </c>
      <c r="J2667">
        <f t="shared" si="209"/>
        <v>0</v>
      </c>
      <c r="K2667" s="141">
        <f t="shared" si="210"/>
        <v>0</v>
      </c>
    </row>
    <row r="2668" spans="7:11" hidden="1" x14ac:dyDescent="0.25">
      <c r="G2668">
        <f t="shared" si="206"/>
        <v>0</v>
      </c>
      <c r="H2668">
        <f t="shared" si="207"/>
        <v>0</v>
      </c>
      <c r="I2668" s="141">
        <f t="shared" si="208"/>
        <v>0</v>
      </c>
      <c r="J2668">
        <f t="shared" si="209"/>
        <v>0</v>
      </c>
      <c r="K2668" s="141">
        <f t="shared" si="210"/>
        <v>0</v>
      </c>
    </row>
    <row r="2669" spans="7:11" hidden="1" x14ac:dyDescent="0.25">
      <c r="G2669">
        <f t="shared" si="206"/>
        <v>0</v>
      </c>
      <c r="H2669">
        <f t="shared" si="207"/>
        <v>0</v>
      </c>
      <c r="I2669" s="141">
        <f t="shared" si="208"/>
        <v>0</v>
      </c>
      <c r="J2669">
        <f t="shared" si="209"/>
        <v>0</v>
      </c>
      <c r="K2669" s="141">
        <f t="shared" si="210"/>
        <v>0</v>
      </c>
    </row>
    <row r="2670" spans="7:11" hidden="1" x14ac:dyDescent="0.25">
      <c r="G2670">
        <f t="shared" si="206"/>
        <v>0</v>
      </c>
      <c r="H2670">
        <f t="shared" si="207"/>
        <v>0</v>
      </c>
      <c r="I2670" s="141">
        <f t="shared" si="208"/>
        <v>0</v>
      </c>
      <c r="J2670">
        <f t="shared" si="209"/>
        <v>0</v>
      </c>
      <c r="K2670" s="141">
        <f t="shared" si="210"/>
        <v>0</v>
      </c>
    </row>
    <row r="2671" spans="7:11" hidden="1" x14ac:dyDescent="0.25">
      <c r="G2671">
        <f t="shared" si="206"/>
        <v>0</v>
      </c>
      <c r="H2671">
        <f t="shared" si="207"/>
        <v>0</v>
      </c>
      <c r="I2671" s="141">
        <f t="shared" si="208"/>
        <v>0</v>
      </c>
      <c r="J2671">
        <f t="shared" si="209"/>
        <v>0</v>
      </c>
      <c r="K2671" s="141">
        <f t="shared" si="210"/>
        <v>0</v>
      </c>
    </row>
    <row r="2672" spans="7:11" hidden="1" x14ac:dyDescent="0.25">
      <c r="G2672">
        <f t="shared" si="206"/>
        <v>0</v>
      </c>
      <c r="H2672">
        <f t="shared" si="207"/>
        <v>0</v>
      </c>
      <c r="I2672" s="141">
        <f t="shared" si="208"/>
        <v>0</v>
      </c>
      <c r="J2672">
        <f t="shared" si="209"/>
        <v>0</v>
      </c>
      <c r="K2672" s="141">
        <f t="shared" si="210"/>
        <v>0</v>
      </c>
    </row>
    <row r="2673" spans="7:11" hidden="1" x14ac:dyDescent="0.25">
      <c r="G2673">
        <f t="shared" si="206"/>
        <v>0</v>
      </c>
      <c r="H2673">
        <f t="shared" si="207"/>
        <v>0</v>
      </c>
      <c r="I2673" s="141">
        <f t="shared" si="208"/>
        <v>0</v>
      </c>
      <c r="J2673">
        <f t="shared" si="209"/>
        <v>0</v>
      </c>
      <c r="K2673" s="141">
        <f t="shared" si="210"/>
        <v>0</v>
      </c>
    </row>
    <row r="2674" spans="7:11" hidden="1" x14ac:dyDescent="0.25">
      <c r="G2674">
        <f t="shared" si="206"/>
        <v>0</v>
      </c>
      <c r="H2674">
        <f t="shared" si="207"/>
        <v>0</v>
      </c>
      <c r="I2674" s="141">
        <f t="shared" si="208"/>
        <v>0</v>
      </c>
      <c r="J2674">
        <f t="shared" si="209"/>
        <v>0</v>
      </c>
      <c r="K2674" s="141">
        <f t="shared" si="210"/>
        <v>0</v>
      </c>
    </row>
    <row r="2675" spans="7:11" hidden="1" x14ac:dyDescent="0.25">
      <c r="G2675">
        <f t="shared" si="206"/>
        <v>0</v>
      </c>
      <c r="H2675">
        <f t="shared" si="207"/>
        <v>0</v>
      </c>
      <c r="I2675" s="141">
        <f t="shared" si="208"/>
        <v>0</v>
      </c>
      <c r="J2675">
        <f t="shared" si="209"/>
        <v>0</v>
      </c>
      <c r="K2675" s="141">
        <f t="shared" si="210"/>
        <v>0</v>
      </c>
    </row>
    <row r="2676" spans="7:11" hidden="1" x14ac:dyDescent="0.25">
      <c r="G2676">
        <f t="shared" si="206"/>
        <v>0</v>
      </c>
      <c r="H2676">
        <f t="shared" si="207"/>
        <v>0</v>
      </c>
      <c r="I2676" s="141">
        <f t="shared" si="208"/>
        <v>0</v>
      </c>
      <c r="J2676">
        <f t="shared" si="209"/>
        <v>0</v>
      </c>
      <c r="K2676" s="141">
        <f t="shared" si="210"/>
        <v>0</v>
      </c>
    </row>
    <row r="2677" spans="7:11" hidden="1" x14ac:dyDescent="0.25">
      <c r="G2677">
        <f t="shared" si="206"/>
        <v>0</v>
      </c>
      <c r="H2677">
        <f t="shared" si="207"/>
        <v>0</v>
      </c>
      <c r="I2677" s="141">
        <f t="shared" si="208"/>
        <v>0</v>
      </c>
      <c r="J2677">
        <f t="shared" si="209"/>
        <v>0</v>
      </c>
      <c r="K2677" s="141">
        <f t="shared" si="210"/>
        <v>0</v>
      </c>
    </row>
    <row r="2678" spans="7:11" hidden="1" x14ac:dyDescent="0.25">
      <c r="G2678">
        <f t="shared" si="206"/>
        <v>0</v>
      </c>
      <c r="H2678">
        <f t="shared" si="207"/>
        <v>0</v>
      </c>
      <c r="I2678" s="141">
        <f t="shared" si="208"/>
        <v>0</v>
      </c>
      <c r="J2678">
        <f t="shared" si="209"/>
        <v>0</v>
      </c>
      <c r="K2678" s="141">
        <f t="shared" si="210"/>
        <v>0</v>
      </c>
    </row>
    <row r="2679" spans="7:11" hidden="1" x14ac:dyDescent="0.25">
      <c r="G2679">
        <f t="shared" si="206"/>
        <v>0</v>
      </c>
      <c r="H2679">
        <f t="shared" si="207"/>
        <v>0</v>
      </c>
      <c r="I2679" s="141">
        <f t="shared" si="208"/>
        <v>0</v>
      </c>
      <c r="J2679">
        <f t="shared" si="209"/>
        <v>0</v>
      </c>
      <c r="K2679" s="141">
        <f t="shared" si="210"/>
        <v>0</v>
      </c>
    </row>
    <row r="2680" spans="7:11" hidden="1" x14ac:dyDescent="0.25">
      <c r="G2680">
        <f t="shared" si="206"/>
        <v>0</v>
      </c>
      <c r="H2680">
        <f t="shared" si="207"/>
        <v>0</v>
      </c>
      <c r="I2680" s="141">
        <f t="shared" si="208"/>
        <v>0</v>
      </c>
      <c r="J2680">
        <f t="shared" si="209"/>
        <v>0</v>
      </c>
      <c r="K2680" s="141">
        <f t="shared" si="210"/>
        <v>0</v>
      </c>
    </row>
    <row r="2681" spans="7:11" hidden="1" x14ac:dyDescent="0.25">
      <c r="G2681">
        <f t="shared" si="206"/>
        <v>0</v>
      </c>
      <c r="H2681">
        <f t="shared" si="207"/>
        <v>0</v>
      </c>
      <c r="I2681" s="141">
        <f t="shared" si="208"/>
        <v>0</v>
      </c>
      <c r="J2681">
        <f t="shared" si="209"/>
        <v>0</v>
      </c>
      <c r="K2681" s="141">
        <f t="shared" si="210"/>
        <v>0</v>
      </c>
    </row>
    <row r="2682" spans="7:11" hidden="1" x14ac:dyDescent="0.25">
      <c r="G2682">
        <f t="shared" si="206"/>
        <v>0</v>
      </c>
      <c r="H2682">
        <f t="shared" si="207"/>
        <v>0</v>
      </c>
      <c r="I2682" s="141">
        <f t="shared" si="208"/>
        <v>0</v>
      </c>
      <c r="J2682">
        <f t="shared" si="209"/>
        <v>0</v>
      </c>
      <c r="K2682" s="141">
        <f t="shared" si="210"/>
        <v>0</v>
      </c>
    </row>
    <row r="2683" spans="7:11" hidden="1" x14ac:dyDescent="0.25">
      <c r="G2683">
        <f t="shared" si="206"/>
        <v>0</v>
      </c>
      <c r="H2683">
        <f t="shared" si="207"/>
        <v>0</v>
      </c>
      <c r="I2683" s="141">
        <f t="shared" si="208"/>
        <v>0</v>
      </c>
      <c r="J2683">
        <f t="shared" si="209"/>
        <v>0</v>
      </c>
      <c r="K2683" s="141">
        <f t="shared" si="210"/>
        <v>0</v>
      </c>
    </row>
    <row r="2684" spans="7:11" hidden="1" x14ac:dyDescent="0.25">
      <c r="G2684">
        <f t="shared" si="206"/>
        <v>0</v>
      </c>
      <c r="H2684">
        <f t="shared" si="207"/>
        <v>0</v>
      </c>
      <c r="I2684" s="141">
        <f t="shared" si="208"/>
        <v>0</v>
      </c>
      <c r="J2684">
        <f t="shared" si="209"/>
        <v>0</v>
      </c>
      <c r="K2684" s="141">
        <f t="shared" si="210"/>
        <v>0</v>
      </c>
    </row>
    <row r="2685" spans="7:11" hidden="1" x14ac:dyDescent="0.25">
      <c r="G2685">
        <f t="shared" si="206"/>
        <v>0</v>
      </c>
      <c r="H2685">
        <f t="shared" si="207"/>
        <v>0</v>
      </c>
      <c r="I2685" s="141">
        <f t="shared" si="208"/>
        <v>0</v>
      </c>
      <c r="J2685">
        <f t="shared" si="209"/>
        <v>0</v>
      </c>
      <c r="K2685" s="141">
        <f t="shared" si="210"/>
        <v>0</v>
      </c>
    </row>
    <row r="2686" spans="7:11" hidden="1" x14ac:dyDescent="0.25">
      <c r="G2686">
        <f t="shared" si="206"/>
        <v>0</v>
      </c>
      <c r="H2686">
        <f t="shared" si="207"/>
        <v>0</v>
      </c>
      <c r="I2686" s="141">
        <f t="shared" si="208"/>
        <v>0</v>
      </c>
      <c r="J2686">
        <f t="shared" si="209"/>
        <v>0</v>
      </c>
      <c r="K2686" s="141">
        <f t="shared" si="210"/>
        <v>0</v>
      </c>
    </row>
    <row r="2687" spans="7:11" hidden="1" x14ac:dyDescent="0.25">
      <c r="G2687">
        <f t="shared" si="206"/>
        <v>0</v>
      </c>
      <c r="H2687">
        <f t="shared" si="207"/>
        <v>0</v>
      </c>
      <c r="I2687" s="141">
        <f t="shared" si="208"/>
        <v>0</v>
      </c>
      <c r="J2687">
        <f t="shared" si="209"/>
        <v>0</v>
      </c>
      <c r="K2687" s="141">
        <f t="shared" si="210"/>
        <v>0</v>
      </c>
    </row>
    <row r="2688" spans="7:11" hidden="1" x14ac:dyDescent="0.25">
      <c r="G2688">
        <f t="shared" si="206"/>
        <v>0</v>
      </c>
      <c r="H2688">
        <f t="shared" si="207"/>
        <v>0</v>
      </c>
      <c r="I2688" s="141">
        <f t="shared" si="208"/>
        <v>0</v>
      </c>
      <c r="J2688">
        <f t="shared" si="209"/>
        <v>0</v>
      </c>
      <c r="K2688" s="141">
        <f t="shared" si="210"/>
        <v>0</v>
      </c>
    </row>
    <row r="2689" spans="7:11" hidden="1" x14ac:dyDescent="0.25">
      <c r="G2689">
        <f t="shared" si="206"/>
        <v>0</v>
      </c>
      <c r="H2689">
        <f t="shared" si="207"/>
        <v>0</v>
      </c>
      <c r="I2689" s="141">
        <f t="shared" si="208"/>
        <v>0</v>
      </c>
      <c r="J2689">
        <f t="shared" si="209"/>
        <v>0</v>
      </c>
      <c r="K2689" s="141">
        <f t="shared" si="210"/>
        <v>0</v>
      </c>
    </row>
    <row r="2690" spans="7:11" hidden="1" x14ac:dyDescent="0.25">
      <c r="G2690">
        <f t="shared" ref="G2690:G2753" si="211">A2690</f>
        <v>0</v>
      </c>
      <c r="H2690">
        <f t="shared" ref="H2690:H2753" si="212">B2690</f>
        <v>0</v>
      </c>
      <c r="I2690" s="141">
        <f t="shared" ref="I2690:I2753" si="213">C2690</f>
        <v>0</v>
      </c>
      <c r="J2690">
        <f t="shared" ref="J2690:J2753" si="214">D2690</f>
        <v>0</v>
      </c>
      <c r="K2690" s="141">
        <f t="shared" ref="K2690:K2753" si="215">E2690</f>
        <v>0</v>
      </c>
    </row>
    <row r="2691" spans="7:11" hidden="1" x14ac:dyDescent="0.25">
      <c r="G2691">
        <f t="shared" si="211"/>
        <v>0</v>
      </c>
      <c r="H2691">
        <f t="shared" si="212"/>
        <v>0</v>
      </c>
      <c r="I2691" s="141">
        <f t="shared" si="213"/>
        <v>0</v>
      </c>
      <c r="J2691">
        <f t="shared" si="214"/>
        <v>0</v>
      </c>
      <c r="K2691" s="141">
        <f t="shared" si="215"/>
        <v>0</v>
      </c>
    </row>
    <row r="2692" spans="7:11" hidden="1" x14ac:dyDescent="0.25">
      <c r="G2692">
        <f t="shared" si="211"/>
        <v>0</v>
      </c>
      <c r="H2692">
        <f t="shared" si="212"/>
        <v>0</v>
      </c>
      <c r="I2692" s="141">
        <f t="shared" si="213"/>
        <v>0</v>
      </c>
      <c r="J2692">
        <f t="shared" si="214"/>
        <v>0</v>
      </c>
      <c r="K2692" s="141">
        <f t="shared" si="215"/>
        <v>0</v>
      </c>
    </row>
    <row r="2693" spans="7:11" hidden="1" x14ac:dyDescent="0.25">
      <c r="G2693">
        <f t="shared" si="211"/>
        <v>0</v>
      </c>
      <c r="H2693">
        <f t="shared" si="212"/>
        <v>0</v>
      </c>
      <c r="I2693" s="141">
        <f t="shared" si="213"/>
        <v>0</v>
      </c>
      <c r="J2693">
        <f t="shared" si="214"/>
        <v>0</v>
      </c>
      <c r="K2693" s="141">
        <f t="shared" si="215"/>
        <v>0</v>
      </c>
    </row>
    <row r="2694" spans="7:11" hidden="1" x14ac:dyDescent="0.25">
      <c r="G2694">
        <f t="shared" si="211"/>
        <v>0</v>
      </c>
      <c r="H2694">
        <f t="shared" si="212"/>
        <v>0</v>
      </c>
      <c r="I2694" s="141">
        <f t="shared" si="213"/>
        <v>0</v>
      </c>
      <c r="J2694">
        <f t="shared" si="214"/>
        <v>0</v>
      </c>
      <c r="K2694" s="141">
        <f t="shared" si="215"/>
        <v>0</v>
      </c>
    </row>
    <row r="2695" spans="7:11" hidden="1" x14ac:dyDescent="0.25">
      <c r="G2695">
        <f t="shared" si="211"/>
        <v>0</v>
      </c>
      <c r="H2695">
        <f t="shared" si="212"/>
        <v>0</v>
      </c>
      <c r="I2695" s="141">
        <f t="shared" si="213"/>
        <v>0</v>
      </c>
      <c r="J2695">
        <f t="shared" si="214"/>
        <v>0</v>
      </c>
      <c r="K2695" s="141">
        <f t="shared" si="215"/>
        <v>0</v>
      </c>
    </row>
    <row r="2696" spans="7:11" hidden="1" x14ac:dyDescent="0.25">
      <c r="G2696">
        <f t="shared" si="211"/>
        <v>0</v>
      </c>
      <c r="H2696">
        <f t="shared" si="212"/>
        <v>0</v>
      </c>
      <c r="I2696" s="141">
        <f t="shared" si="213"/>
        <v>0</v>
      </c>
      <c r="J2696">
        <f t="shared" si="214"/>
        <v>0</v>
      </c>
      <c r="K2696" s="141">
        <f t="shared" si="215"/>
        <v>0</v>
      </c>
    </row>
    <row r="2697" spans="7:11" hidden="1" x14ac:dyDescent="0.25">
      <c r="G2697">
        <f t="shared" si="211"/>
        <v>0</v>
      </c>
      <c r="H2697">
        <f t="shared" si="212"/>
        <v>0</v>
      </c>
      <c r="I2697" s="141">
        <f t="shared" si="213"/>
        <v>0</v>
      </c>
      <c r="J2697">
        <f t="shared" si="214"/>
        <v>0</v>
      </c>
      <c r="K2697" s="141">
        <f t="shared" si="215"/>
        <v>0</v>
      </c>
    </row>
    <row r="2698" spans="7:11" hidden="1" x14ac:dyDescent="0.25">
      <c r="G2698">
        <f t="shared" si="211"/>
        <v>0</v>
      </c>
      <c r="H2698">
        <f t="shared" si="212"/>
        <v>0</v>
      </c>
      <c r="I2698" s="141">
        <f t="shared" si="213"/>
        <v>0</v>
      </c>
      <c r="J2698">
        <f t="shared" si="214"/>
        <v>0</v>
      </c>
      <c r="K2698" s="141">
        <f t="shared" si="215"/>
        <v>0</v>
      </c>
    </row>
    <row r="2699" spans="7:11" hidden="1" x14ac:dyDescent="0.25">
      <c r="G2699">
        <f t="shared" si="211"/>
        <v>0</v>
      </c>
      <c r="H2699">
        <f t="shared" si="212"/>
        <v>0</v>
      </c>
      <c r="I2699" s="141">
        <f t="shared" si="213"/>
        <v>0</v>
      </c>
      <c r="J2699">
        <f t="shared" si="214"/>
        <v>0</v>
      </c>
      <c r="K2699" s="141">
        <f t="shared" si="215"/>
        <v>0</v>
      </c>
    </row>
    <row r="2700" spans="7:11" hidden="1" x14ac:dyDescent="0.25">
      <c r="G2700">
        <f t="shared" si="211"/>
        <v>0</v>
      </c>
      <c r="H2700">
        <f t="shared" si="212"/>
        <v>0</v>
      </c>
      <c r="I2700" s="141">
        <f t="shared" si="213"/>
        <v>0</v>
      </c>
      <c r="J2700">
        <f t="shared" si="214"/>
        <v>0</v>
      </c>
      <c r="K2700" s="141">
        <f t="shared" si="215"/>
        <v>0</v>
      </c>
    </row>
    <row r="2701" spans="7:11" hidden="1" x14ac:dyDescent="0.25">
      <c r="G2701">
        <f t="shared" si="211"/>
        <v>0</v>
      </c>
      <c r="H2701">
        <f t="shared" si="212"/>
        <v>0</v>
      </c>
      <c r="I2701" s="141">
        <f t="shared" si="213"/>
        <v>0</v>
      </c>
      <c r="J2701">
        <f t="shared" si="214"/>
        <v>0</v>
      </c>
      <c r="K2701" s="141">
        <f t="shared" si="215"/>
        <v>0</v>
      </c>
    </row>
    <row r="2702" spans="7:11" hidden="1" x14ac:dyDescent="0.25">
      <c r="G2702">
        <f t="shared" si="211"/>
        <v>0</v>
      </c>
      <c r="H2702">
        <f t="shared" si="212"/>
        <v>0</v>
      </c>
      <c r="I2702" s="141">
        <f t="shared" si="213"/>
        <v>0</v>
      </c>
      <c r="J2702">
        <f t="shared" si="214"/>
        <v>0</v>
      </c>
      <c r="K2702" s="141">
        <f t="shared" si="215"/>
        <v>0</v>
      </c>
    </row>
    <row r="2703" spans="7:11" hidden="1" x14ac:dyDescent="0.25">
      <c r="G2703">
        <f t="shared" si="211"/>
        <v>0</v>
      </c>
      <c r="H2703">
        <f t="shared" si="212"/>
        <v>0</v>
      </c>
      <c r="I2703" s="141">
        <f t="shared" si="213"/>
        <v>0</v>
      </c>
      <c r="J2703">
        <f t="shared" si="214"/>
        <v>0</v>
      </c>
      <c r="K2703" s="141">
        <f t="shared" si="215"/>
        <v>0</v>
      </c>
    </row>
    <row r="2704" spans="7:11" hidden="1" x14ac:dyDescent="0.25">
      <c r="G2704">
        <f t="shared" si="211"/>
        <v>0</v>
      </c>
      <c r="H2704">
        <f t="shared" si="212"/>
        <v>0</v>
      </c>
      <c r="I2704" s="141">
        <f t="shared" si="213"/>
        <v>0</v>
      </c>
      <c r="J2704">
        <f t="shared" si="214"/>
        <v>0</v>
      </c>
      <c r="K2704" s="141">
        <f t="shared" si="215"/>
        <v>0</v>
      </c>
    </row>
    <row r="2705" spans="7:11" hidden="1" x14ac:dyDescent="0.25">
      <c r="G2705">
        <f t="shared" si="211"/>
        <v>0</v>
      </c>
      <c r="H2705">
        <f t="shared" si="212"/>
        <v>0</v>
      </c>
      <c r="I2705" s="141">
        <f t="shared" si="213"/>
        <v>0</v>
      </c>
      <c r="J2705">
        <f t="shared" si="214"/>
        <v>0</v>
      </c>
      <c r="K2705" s="141">
        <f t="shared" si="215"/>
        <v>0</v>
      </c>
    </row>
    <row r="2706" spans="7:11" hidden="1" x14ac:dyDescent="0.25">
      <c r="G2706">
        <f t="shared" si="211"/>
        <v>0</v>
      </c>
      <c r="H2706">
        <f t="shared" si="212"/>
        <v>0</v>
      </c>
      <c r="I2706" s="141">
        <f t="shared" si="213"/>
        <v>0</v>
      </c>
      <c r="J2706">
        <f t="shared" si="214"/>
        <v>0</v>
      </c>
      <c r="K2706" s="141">
        <f t="shared" si="215"/>
        <v>0</v>
      </c>
    </row>
    <row r="2707" spans="7:11" hidden="1" x14ac:dyDescent="0.25">
      <c r="G2707">
        <f t="shared" si="211"/>
        <v>0</v>
      </c>
      <c r="H2707">
        <f t="shared" si="212"/>
        <v>0</v>
      </c>
      <c r="I2707" s="141">
        <f t="shared" si="213"/>
        <v>0</v>
      </c>
      <c r="J2707">
        <f t="shared" si="214"/>
        <v>0</v>
      </c>
      <c r="K2707" s="141">
        <f t="shared" si="215"/>
        <v>0</v>
      </c>
    </row>
    <row r="2708" spans="7:11" hidden="1" x14ac:dyDescent="0.25">
      <c r="G2708">
        <f t="shared" si="211"/>
        <v>0</v>
      </c>
      <c r="H2708">
        <f t="shared" si="212"/>
        <v>0</v>
      </c>
      <c r="I2708" s="141">
        <f t="shared" si="213"/>
        <v>0</v>
      </c>
      <c r="J2708">
        <f t="shared" si="214"/>
        <v>0</v>
      </c>
      <c r="K2708" s="141">
        <f t="shared" si="215"/>
        <v>0</v>
      </c>
    </row>
    <row r="2709" spans="7:11" hidden="1" x14ac:dyDescent="0.25">
      <c r="G2709">
        <f t="shared" si="211"/>
        <v>0</v>
      </c>
      <c r="H2709">
        <f t="shared" si="212"/>
        <v>0</v>
      </c>
      <c r="I2709" s="141">
        <f t="shared" si="213"/>
        <v>0</v>
      </c>
      <c r="J2709">
        <f t="shared" si="214"/>
        <v>0</v>
      </c>
      <c r="K2709" s="141">
        <f t="shared" si="215"/>
        <v>0</v>
      </c>
    </row>
    <row r="2710" spans="7:11" hidden="1" x14ac:dyDescent="0.25">
      <c r="G2710">
        <f t="shared" si="211"/>
        <v>0</v>
      </c>
      <c r="H2710">
        <f t="shared" si="212"/>
        <v>0</v>
      </c>
      <c r="I2710" s="141">
        <f t="shared" si="213"/>
        <v>0</v>
      </c>
      <c r="J2710">
        <f t="shared" si="214"/>
        <v>0</v>
      </c>
      <c r="K2710" s="141">
        <f t="shared" si="215"/>
        <v>0</v>
      </c>
    </row>
    <row r="2711" spans="7:11" hidden="1" x14ac:dyDescent="0.25">
      <c r="G2711">
        <f t="shared" si="211"/>
        <v>0</v>
      </c>
      <c r="H2711">
        <f t="shared" si="212"/>
        <v>0</v>
      </c>
      <c r="I2711" s="141">
        <f t="shared" si="213"/>
        <v>0</v>
      </c>
      <c r="J2711">
        <f t="shared" si="214"/>
        <v>0</v>
      </c>
      <c r="K2711" s="141">
        <f t="shared" si="215"/>
        <v>0</v>
      </c>
    </row>
    <row r="2712" spans="7:11" hidden="1" x14ac:dyDescent="0.25">
      <c r="G2712">
        <f t="shared" si="211"/>
        <v>0</v>
      </c>
      <c r="H2712">
        <f t="shared" si="212"/>
        <v>0</v>
      </c>
      <c r="I2712" s="141">
        <f t="shared" si="213"/>
        <v>0</v>
      </c>
      <c r="J2712">
        <f t="shared" si="214"/>
        <v>0</v>
      </c>
      <c r="K2712" s="141">
        <f t="shared" si="215"/>
        <v>0</v>
      </c>
    </row>
    <row r="2713" spans="7:11" hidden="1" x14ac:dyDescent="0.25">
      <c r="G2713">
        <f t="shared" si="211"/>
        <v>0</v>
      </c>
      <c r="H2713">
        <f t="shared" si="212"/>
        <v>0</v>
      </c>
      <c r="I2713" s="141">
        <f t="shared" si="213"/>
        <v>0</v>
      </c>
      <c r="J2713">
        <f t="shared" si="214"/>
        <v>0</v>
      </c>
      <c r="K2713" s="141">
        <f t="shared" si="215"/>
        <v>0</v>
      </c>
    </row>
    <row r="2714" spans="7:11" hidden="1" x14ac:dyDescent="0.25">
      <c r="G2714">
        <f t="shared" si="211"/>
        <v>0</v>
      </c>
      <c r="H2714">
        <f t="shared" si="212"/>
        <v>0</v>
      </c>
      <c r="I2714" s="141">
        <f t="shared" si="213"/>
        <v>0</v>
      </c>
      <c r="J2714">
        <f t="shared" si="214"/>
        <v>0</v>
      </c>
      <c r="K2714" s="141">
        <f t="shared" si="215"/>
        <v>0</v>
      </c>
    </row>
    <row r="2715" spans="7:11" hidden="1" x14ac:dyDescent="0.25">
      <c r="G2715">
        <f t="shared" si="211"/>
        <v>0</v>
      </c>
      <c r="H2715">
        <f t="shared" si="212"/>
        <v>0</v>
      </c>
      <c r="I2715" s="141">
        <f t="shared" si="213"/>
        <v>0</v>
      </c>
      <c r="J2715">
        <f t="shared" si="214"/>
        <v>0</v>
      </c>
      <c r="K2715" s="141">
        <f t="shared" si="215"/>
        <v>0</v>
      </c>
    </row>
    <row r="2716" spans="7:11" hidden="1" x14ac:dyDescent="0.25">
      <c r="G2716">
        <f t="shared" si="211"/>
        <v>0</v>
      </c>
      <c r="H2716">
        <f t="shared" si="212"/>
        <v>0</v>
      </c>
      <c r="I2716" s="141">
        <f t="shared" si="213"/>
        <v>0</v>
      </c>
      <c r="J2716">
        <f t="shared" si="214"/>
        <v>0</v>
      </c>
      <c r="K2716" s="141">
        <f t="shared" si="215"/>
        <v>0</v>
      </c>
    </row>
    <row r="2717" spans="7:11" hidden="1" x14ac:dyDescent="0.25">
      <c r="G2717">
        <f t="shared" si="211"/>
        <v>0</v>
      </c>
      <c r="H2717">
        <f t="shared" si="212"/>
        <v>0</v>
      </c>
      <c r="I2717" s="141">
        <f t="shared" si="213"/>
        <v>0</v>
      </c>
      <c r="J2717">
        <f t="shared" si="214"/>
        <v>0</v>
      </c>
      <c r="K2717" s="141">
        <f t="shared" si="215"/>
        <v>0</v>
      </c>
    </row>
    <row r="2718" spans="7:11" hidden="1" x14ac:dyDescent="0.25">
      <c r="G2718">
        <f t="shared" si="211"/>
        <v>0</v>
      </c>
      <c r="H2718">
        <f t="shared" si="212"/>
        <v>0</v>
      </c>
      <c r="I2718" s="141">
        <f t="shared" si="213"/>
        <v>0</v>
      </c>
      <c r="J2718">
        <f t="shared" si="214"/>
        <v>0</v>
      </c>
      <c r="K2718" s="141">
        <f t="shared" si="215"/>
        <v>0</v>
      </c>
    </row>
    <row r="2719" spans="7:11" hidden="1" x14ac:dyDescent="0.25">
      <c r="G2719">
        <f t="shared" si="211"/>
        <v>0</v>
      </c>
      <c r="H2719">
        <f t="shared" si="212"/>
        <v>0</v>
      </c>
      <c r="I2719" s="141">
        <f t="shared" si="213"/>
        <v>0</v>
      </c>
      <c r="J2719">
        <f t="shared" si="214"/>
        <v>0</v>
      </c>
      <c r="K2719" s="141">
        <f t="shared" si="215"/>
        <v>0</v>
      </c>
    </row>
    <row r="2720" spans="7:11" hidden="1" x14ac:dyDescent="0.25">
      <c r="G2720">
        <f t="shared" si="211"/>
        <v>0</v>
      </c>
      <c r="H2720">
        <f t="shared" si="212"/>
        <v>0</v>
      </c>
      <c r="I2720" s="141">
        <f t="shared" si="213"/>
        <v>0</v>
      </c>
      <c r="J2720">
        <f t="shared" si="214"/>
        <v>0</v>
      </c>
      <c r="K2720" s="141">
        <f t="shared" si="215"/>
        <v>0</v>
      </c>
    </row>
    <row r="2721" spans="7:11" hidden="1" x14ac:dyDescent="0.25">
      <c r="G2721">
        <f t="shared" si="211"/>
        <v>0</v>
      </c>
      <c r="H2721">
        <f t="shared" si="212"/>
        <v>0</v>
      </c>
      <c r="I2721" s="141">
        <f t="shared" si="213"/>
        <v>0</v>
      </c>
      <c r="J2721">
        <f t="shared" si="214"/>
        <v>0</v>
      </c>
      <c r="K2721" s="141">
        <f t="shared" si="215"/>
        <v>0</v>
      </c>
    </row>
    <row r="2722" spans="7:11" hidden="1" x14ac:dyDescent="0.25">
      <c r="G2722">
        <f t="shared" si="211"/>
        <v>0</v>
      </c>
      <c r="H2722">
        <f t="shared" si="212"/>
        <v>0</v>
      </c>
      <c r="I2722" s="141">
        <f t="shared" si="213"/>
        <v>0</v>
      </c>
      <c r="J2722">
        <f t="shared" si="214"/>
        <v>0</v>
      </c>
      <c r="K2722" s="141">
        <f t="shared" si="215"/>
        <v>0</v>
      </c>
    </row>
    <row r="2723" spans="7:11" hidden="1" x14ac:dyDescent="0.25">
      <c r="G2723">
        <f t="shared" si="211"/>
        <v>0</v>
      </c>
      <c r="H2723">
        <f t="shared" si="212"/>
        <v>0</v>
      </c>
      <c r="I2723" s="141">
        <f t="shared" si="213"/>
        <v>0</v>
      </c>
      <c r="J2723">
        <f t="shared" si="214"/>
        <v>0</v>
      </c>
      <c r="K2723" s="141">
        <f t="shared" si="215"/>
        <v>0</v>
      </c>
    </row>
    <row r="2724" spans="7:11" hidden="1" x14ac:dyDescent="0.25">
      <c r="G2724">
        <f t="shared" si="211"/>
        <v>0</v>
      </c>
      <c r="H2724">
        <f t="shared" si="212"/>
        <v>0</v>
      </c>
      <c r="I2724" s="141">
        <f t="shared" si="213"/>
        <v>0</v>
      </c>
      <c r="J2724">
        <f t="shared" si="214"/>
        <v>0</v>
      </c>
      <c r="K2724" s="141">
        <f t="shared" si="215"/>
        <v>0</v>
      </c>
    </row>
    <row r="2725" spans="7:11" hidden="1" x14ac:dyDescent="0.25">
      <c r="G2725">
        <f t="shared" si="211"/>
        <v>0</v>
      </c>
      <c r="H2725">
        <f t="shared" si="212"/>
        <v>0</v>
      </c>
      <c r="I2725" s="141">
        <f t="shared" si="213"/>
        <v>0</v>
      </c>
      <c r="J2725">
        <f t="shared" si="214"/>
        <v>0</v>
      </c>
      <c r="K2725" s="141">
        <f t="shared" si="215"/>
        <v>0</v>
      </c>
    </row>
    <row r="2726" spans="7:11" hidden="1" x14ac:dyDescent="0.25">
      <c r="G2726">
        <f t="shared" si="211"/>
        <v>0</v>
      </c>
      <c r="H2726">
        <f t="shared" si="212"/>
        <v>0</v>
      </c>
      <c r="I2726" s="141">
        <f t="shared" si="213"/>
        <v>0</v>
      </c>
      <c r="J2726">
        <f t="shared" si="214"/>
        <v>0</v>
      </c>
      <c r="K2726" s="141">
        <f t="shared" si="215"/>
        <v>0</v>
      </c>
    </row>
    <row r="2727" spans="7:11" hidden="1" x14ac:dyDescent="0.25">
      <c r="G2727">
        <f t="shared" si="211"/>
        <v>0</v>
      </c>
      <c r="H2727">
        <f t="shared" si="212"/>
        <v>0</v>
      </c>
      <c r="I2727" s="141">
        <f t="shared" si="213"/>
        <v>0</v>
      </c>
      <c r="J2727">
        <f t="shared" si="214"/>
        <v>0</v>
      </c>
      <c r="K2727" s="141">
        <f t="shared" si="215"/>
        <v>0</v>
      </c>
    </row>
    <row r="2728" spans="7:11" hidden="1" x14ac:dyDescent="0.25">
      <c r="G2728">
        <f t="shared" si="211"/>
        <v>0</v>
      </c>
      <c r="H2728">
        <f t="shared" si="212"/>
        <v>0</v>
      </c>
      <c r="I2728" s="141">
        <f t="shared" si="213"/>
        <v>0</v>
      </c>
      <c r="J2728">
        <f t="shared" si="214"/>
        <v>0</v>
      </c>
      <c r="K2728" s="141">
        <f t="shared" si="215"/>
        <v>0</v>
      </c>
    </row>
    <row r="2729" spans="7:11" hidden="1" x14ac:dyDescent="0.25">
      <c r="G2729">
        <f t="shared" si="211"/>
        <v>0</v>
      </c>
      <c r="H2729">
        <f t="shared" si="212"/>
        <v>0</v>
      </c>
      <c r="I2729" s="141">
        <f t="shared" si="213"/>
        <v>0</v>
      </c>
      <c r="J2729">
        <f t="shared" si="214"/>
        <v>0</v>
      </c>
      <c r="K2729" s="141">
        <f t="shared" si="215"/>
        <v>0</v>
      </c>
    </row>
    <row r="2730" spans="7:11" hidden="1" x14ac:dyDescent="0.25">
      <c r="G2730">
        <f t="shared" si="211"/>
        <v>0</v>
      </c>
      <c r="H2730">
        <f t="shared" si="212"/>
        <v>0</v>
      </c>
      <c r="I2730" s="141">
        <f t="shared" si="213"/>
        <v>0</v>
      </c>
      <c r="J2730">
        <f t="shared" si="214"/>
        <v>0</v>
      </c>
      <c r="K2730" s="141">
        <f t="shared" si="215"/>
        <v>0</v>
      </c>
    </row>
    <row r="2731" spans="7:11" hidden="1" x14ac:dyDescent="0.25">
      <c r="G2731">
        <f t="shared" si="211"/>
        <v>0</v>
      </c>
      <c r="H2731">
        <f t="shared" si="212"/>
        <v>0</v>
      </c>
      <c r="I2731" s="141">
        <f t="shared" si="213"/>
        <v>0</v>
      </c>
      <c r="J2731">
        <f t="shared" si="214"/>
        <v>0</v>
      </c>
      <c r="K2731" s="141">
        <f t="shared" si="215"/>
        <v>0</v>
      </c>
    </row>
    <row r="2732" spans="7:11" hidden="1" x14ac:dyDescent="0.25">
      <c r="G2732">
        <f t="shared" si="211"/>
        <v>0</v>
      </c>
      <c r="H2732">
        <f t="shared" si="212"/>
        <v>0</v>
      </c>
      <c r="I2732" s="141">
        <f t="shared" si="213"/>
        <v>0</v>
      </c>
      <c r="J2732">
        <f t="shared" si="214"/>
        <v>0</v>
      </c>
      <c r="K2732" s="141">
        <f t="shared" si="215"/>
        <v>0</v>
      </c>
    </row>
    <row r="2733" spans="7:11" hidden="1" x14ac:dyDescent="0.25">
      <c r="G2733">
        <f t="shared" si="211"/>
        <v>0</v>
      </c>
      <c r="H2733">
        <f t="shared" si="212"/>
        <v>0</v>
      </c>
      <c r="I2733" s="141">
        <f t="shared" si="213"/>
        <v>0</v>
      </c>
      <c r="J2733">
        <f t="shared" si="214"/>
        <v>0</v>
      </c>
      <c r="K2733" s="141">
        <f t="shared" si="215"/>
        <v>0</v>
      </c>
    </row>
    <row r="2734" spans="7:11" hidden="1" x14ac:dyDescent="0.25">
      <c r="G2734">
        <f t="shared" si="211"/>
        <v>0</v>
      </c>
      <c r="H2734">
        <f t="shared" si="212"/>
        <v>0</v>
      </c>
      <c r="I2734" s="141">
        <f t="shared" si="213"/>
        <v>0</v>
      </c>
      <c r="J2734">
        <f t="shared" si="214"/>
        <v>0</v>
      </c>
      <c r="K2734" s="141">
        <f t="shared" si="215"/>
        <v>0</v>
      </c>
    </row>
    <row r="2735" spans="7:11" hidden="1" x14ac:dyDescent="0.25">
      <c r="G2735">
        <f t="shared" si="211"/>
        <v>0</v>
      </c>
      <c r="H2735">
        <f t="shared" si="212"/>
        <v>0</v>
      </c>
      <c r="I2735" s="141">
        <f t="shared" si="213"/>
        <v>0</v>
      </c>
      <c r="J2735">
        <f t="shared" si="214"/>
        <v>0</v>
      </c>
      <c r="K2735" s="141">
        <f t="shared" si="215"/>
        <v>0</v>
      </c>
    </row>
    <row r="2736" spans="7:11" hidden="1" x14ac:dyDescent="0.25">
      <c r="G2736">
        <f t="shared" si="211"/>
        <v>0</v>
      </c>
      <c r="H2736">
        <f t="shared" si="212"/>
        <v>0</v>
      </c>
      <c r="I2736" s="141">
        <f t="shared" si="213"/>
        <v>0</v>
      </c>
      <c r="J2736">
        <f t="shared" si="214"/>
        <v>0</v>
      </c>
      <c r="K2736" s="141">
        <f t="shared" si="215"/>
        <v>0</v>
      </c>
    </row>
    <row r="2737" spans="7:11" hidden="1" x14ac:dyDescent="0.25">
      <c r="G2737">
        <f t="shared" si="211"/>
        <v>0</v>
      </c>
      <c r="H2737">
        <f t="shared" si="212"/>
        <v>0</v>
      </c>
      <c r="I2737" s="141">
        <f t="shared" si="213"/>
        <v>0</v>
      </c>
      <c r="J2737">
        <f t="shared" si="214"/>
        <v>0</v>
      </c>
      <c r="K2737" s="141">
        <f t="shared" si="215"/>
        <v>0</v>
      </c>
    </row>
    <row r="2738" spans="7:11" hidden="1" x14ac:dyDescent="0.25">
      <c r="G2738">
        <f t="shared" si="211"/>
        <v>0</v>
      </c>
      <c r="H2738">
        <f t="shared" si="212"/>
        <v>0</v>
      </c>
      <c r="I2738" s="141">
        <f t="shared" si="213"/>
        <v>0</v>
      </c>
      <c r="J2738">
        <f t="shared" si="214"/>
        <v>0</v>
      </c>
      <c r="K2738" s="141">
        <f t="shared" si="215"/>
        <v>0</v>
      </c>
    </row>
    <row r="2739" spans="7:11" hidden="1" x14ac:dyDescent="0.25">
      <c r="G2739">
        <f t="shared" si="211"/>
        <v>0</v>
      </c>
      <c r="H2739">
        <f t="shared" si="212"/>
        <v>0</v>
      </c>
      <c r="I2739" s="141">
        <f t="shared" si="213"/>
        <v>0</v>
      </c>
      <c r="J2739">
        <f t="shared" si="214"/>
        <v>0</v>
      </c>
      <c r="K2739" s="141">
        <f t="shared" si="215"/>
        <v>0</v>
      </c>
    </row>
    <row r="2740" spans="7:11" hidden="1" x14ac:dyDescent="0.25">
      <c r="G2740">
        <f t="shared" si="211"/>
        <v>0</v>
      </c>
      <c r="H2740">
        <f t="shared" si="212"/>
        <v>0</v>
      </c>
      <c r="I2740" s="141">
        <f t="shared" si="213"/>
        <v>0</v>
      </c>
      <c r="J2740">
        <f t="shared" si="214"/>
        <v>0</v>
      </c>
      <c r="K2740" s="141">
        <f t="shared" si="215"/>
        <v>0</v>
      </c>
    </row>
    <row r="2741" spans="7:11" hidden="1" x14ac:dyDescent="0.25">
      <c r="G2741">
        <f t="shared" si="211"/>
        <v>0</v>
      </c>
      <c r="H2741">
        <f t="shared" si="212"/>
        <v>0</v>
      </c>
      <c r="I2741" s="141">
        <f t="shared" si="213"/>
        <v>0</v>
      </c>
      <c r="J2741">
        <f t="shared" si="214"/>
        <v>0</v>
      </c>
      <c r="K2741" s="141">
        <f t="shared" si="215"/>
        <v>0</v>
      </c>
    </row>
    <row r="2742" spans="7:11" hidden="1" x14ac:dyDescent="0.25">
      <c r="G2742">
        <f t="shared" si="211"/>
        <v>0</v>
      </c>
      <c r="H2742">
        <f t="shared" si="212"/>
        <v>0</v>
      </c>
      <c r="I2742" s="141">
        <f t="shared" si="213"/>
        <v>0</v>
      </c>
      <c r="J2742">
        <f t="shared" si="214"/>
        <v>0</v>
      </c>
      <c r="K2742" s="141">
        <f t="shared" si="215"/>
        <v>0</v>
      </c>
    </row>
    <row r="2743" spans="7:11" hidden="1" x14ac:dyDescent="0.25">
      <c r="G2743">
        <f t="shared" si="211"/>
        <v>0</v>
      </c>
      <c r="H2743">
        <f t="shared" si="212"/>
        <v>0</v>
      </c>
      <c r="I2743" s="141">
        <f t="shared" si="213"/>
        <v>0</v>
      </c>
      <c r="J2743">
        <f t="shared" si="214"/>
        <v>0</v>
      </c>
      <c r="K2743" s="141">
        <f t="shared" si="215"/>
        <v>0</v>
      </c>
    </row>
    <row r="2744" spans="7:11" hidden="1" x14ac:dyDescent="0.25">
      <c r="G2744">
        <f t="shared" si="211"/>
        <v>0</v>
      </c>
      <c r="H2744">
        <f t="shared" si="212"/>
        <v>0</v>
      </c>
      <c r="I2744" s="141">
        <f t="shared" si="213"/>
        <v>0</v>
      </c>
      <c r="J2744">
        <f t="shared" si="214"/>
        <v>0</v>
      </c>
      <c r="K2744" s="141">
        <f t="shared" si="215"/>
        <v>0</v>
      </c>
    </row>
    <row r="2745" spans="7:11" hidden="1" x14ac:dyDescent="0.25">
      <c r="G2745">
        <f t="shared" si="211"/>
        <v>0</v>
      </c>
      <c r="H2745">
        <f t="shared" si="212"/>
        <v>0</v>
      </c>
      <c r="I2745" s="141">
        <f t="shared" si="213"/>
        <v>0</v>
      </c>
      <c r="J2745">
        <f t="shared" si="214"/>
        <v>0</v>
      </c>
      <c r="K2745" s="141">
        <f t="shared" si="215"/>
        <v>0</v>
      </c>
    </row>
    <row r="2746" spans="7:11" hidden="1" x14ac:dyDescent="0.25">
      <c r="G2746">
        <f t="shared" si="211"/>
        <v>0</v>
      </c>
      <c r="H2746">
        <f t="shared" si="212"/>
        <v>0</v>
      </c>
      <c r="I2746" s="141">
        <f t="shared" si="213"/>
        <v>0</v>
      </c>
      <c r="J2746">
        <f t="shared" si="214"/>
        <v>0</v>
      </c>
      <c r="K2746" s="141">
        <f t="shared" si="215"/>
        <v>0</v>
      </c>
    </row>
    <row r="2747" spans="7:11" hidden="1" x14ac:dyDescent="0.25">
      <c r="G2747">
        <f t="shared" si="211"/>
        <v>0</v>
      </c>
      <c r="H2747">
        <f t="shared" si="212"/>
        <v>0</v>
      </c>
      <c r="I2747" s="141">
        <f t="shared" si="213"/>
        <v>0</v>
      </c>
      <c r="J2747">
        <f t="shared" si="214"/>
        <v>0</v>
      </c>
      <c r="K2747" s="141">
        <f t="shared" si="215"/>
        <v>0</v>
      </c>
    </row>
    <row r="2748" spans="7:11" hidden="1" x14ac:dyDescent="0.25">
      <c r="G2748">
        <f t="shared" si="211"/>
        <v>0</v>
      </c>
      <c r="H2748">
        <f t="shared" si="212"/>
        <v>0</v>
      </c>
      <c r="I2748" s="141">
        <f t="shared" si="213"/>
        <v>0</v>
      </c>
      <c r="J2748">
        <f t="shared" si="214"/>
        <v>0</v>
      </c>
      <c r="K2748" s="141">
        <f t="shared" si="215"/>
        <v>0</v>
      </c>
    </row>
    <row r="2749" spans="7:11" hidden="1" x14ac:dyDescent="0.25">
      <c r="G2749">
        <f t="shared" si="211"/>
        <v>0</v>
      </c>
      <c r="H2749">
        <f t="shared" si="212"/>
        <v>0</v>
      </c>
      <c r="I2749" s="141">
        <f t="shared" si="213"/>
        <v>0</v>
      </c>
      <c r="J2749">
        <f t="shared" si="214"/>
        <v>0</v>
      </c>
      <c r="K2749" s="141">
        <f t="shared" si="215"/>
        <v>0</v>
      </c>
    </row>
    <row r="2750" spans="7:11" hidden="1" x14ac:dyDescent="0.25">
      <c r="G2750">
        <f t="shared" si="211"/>
        <v>0</v>
      </c>
      <c r="H2750">
        <f t="shared" si="212"/>
        <v>0</v>
      </c>
      <c r="I2750" s="141">
        <f t="shared" si="213"/>
        <v>0</v>
      </c>
      <c r="J2750">
        <f t="shared" si="214"/>
        <v>0</v>
      </c>
      <c r="K2750" s="141">
        <f t="shared" si="215"/>
        <v>0</v>
      </c>
    </row>
    <row r="2751" spans="7:11" hidden="1" x14ac:dyDescent="0.25">
      <c r="G2751">
        <f t="shared" si="211"/>
        <v>0</v>
      </c>
      <c r="H2751">
        <f t="shared" si="212"/>
        <v>0</v>
      </c>
      <c r="I2751" s="141">
        <f t="shared" si="213"/>
        <v>0</v>
      </c>
      <c r="J2751">
        <f t="shared" si="214"/>
        <v>0</v>
      </c>
      <c r="K2751" s="141">
        <f t="shared" si="215"/>
        <v>0</v>
      </c>
    </row>
    <row r="2752" spans="7:11" hidden="1" x14ac:dyDescent="0.25">
      <c r="G2752">
        <f t="shared" si="211"/>
        <v>0</v>
      </c>
      <c r="H2752">
        <f t="shared" si="212"/>
        <v>0</v>
      </c>
      <c r="I2752" s="141">
        <f t="shared" si="213"/>
        <v>0</v>
      </c>
      <c r="J2752">
        <f t="shared" si="214"/>
        <v>0</v>
      </c>
      <c r="K2752" s="141">
        <f t="shared" si="215"/>
        <v>0</v>
      </c>
    </row>
    <row r="2753" spans="7:11" hidden="1" x14ac:dyDescent="0.25">
      <c r="G2753">
        <f t="shared" si="211"/>
        <v>0</v>
      </c>
      <c r="H2753">
        <f t="shared" si="212"/>
        <v>0</v>
      </c>
      <c r="I2753" s="141">
        <f t="shared" si="213"/>
        <v>0</v>
      </c>
      <c r="J2753">
        <f t="shared" si="214"/>
        <v>0</v>
      </c>
      <c r="K2753" s="141">
        <f t="shared" si="215"/>
        <v>0</v>
      </c>
    </row>
    <row r="2754" spans="7:11" hidden="1" x14ac:dyDescent="0.25">
      <c r="G2754">
        <f t="shared" ref="G2754:G2817" si="216">A2754</f>
        <v>0</v>
      </c>
      <c r="H2754">
        <f t="shared" ref="H2754:H2817" si="217">B2754</f>
        <v>0</v>
      </c>
      <c r="I2754" s="141">
        <f t="shared" ref="I2754:I2817" si="218">C2754</f>
        <v>0</v>
      </c>
      <c r="J2754">
        <f t="shared" ref="J2754:J2817" si="219">D2754</f>
        <v>0</v>
      </c>
      <c r="K2754" s="141">
        <f t="shared" ref="K2754:K2817" si="220">E2754</f>
        <v>0</v>
      </c>
    </row>
    <row r="2755" spans="7:11" hidden="1" x14ac:dyDescent="0.25">
      <c r="G2755">
        <f t="shared" si="216"/>
        <v>0</v>
      </c>
      <c r="H2755">
        <f t="shared" si="217"/>
        <v>0</v>
      </c>
      <c r="I2755" s="141">
        <f t="shared" si="218"/>
        <v>0</v>
      </c>
      <c r="J2755">
        <f t="shared" si="219"/>
        <v>0</v>
      </c>
      <c r="K2755" s="141">
        <f t="shared" si="220"/>
        <v>0</v>
      </c>
    </row>
    <row r="2756" spans="7:11" hidden="1" x14ac:dyDescent="0.25">
      <c r="G2756">
        <f t="shared" si="216"/>
        <v>0</v>
      </c>
      <c r="H2756">
        <f t="shared" si="217"/>
        <v>0</v>
      </c>
      <c r="I2756" s="141">
        <f t="shared" si="218"/>
        <v>0</v>
      </c>
      <c r="J2756">
        <f t="shared" si="219"/>
        <v>0</v>
      </c>
      <c r="K2756" s="141">
        <f t="shared" si="220"/>
        <v>0</v>
      </c>
    </row>
    <row r="2757" spans="7:11" hidden="1" x14ac:dyDescent="0.25">
      <c r="G2757">
        <f t="shared" si="216"/>
        <v>0</v>
      </c>
      <c r="H2757">
        <f t="shared" si="217"/>
        <v>0</v>
      </c>
      <c r="I2757" s="141">
        <f t="shared" si="218"/>
        <v>0</v>
      </c>
      <c r="J2757">
        <f t="shared" si="219"/>
        <v>0</v>
      </c>
      <c r="K2757" s="141">
        <f t="shared" si="220"/>
        <v>0</v>
      </c>
    </row>
    <row r="2758" spans="7:11" hidden="1" x14ac:dyDescent="0.25">
      <c r="G2758">
        <f t="shared" si="216"/>
        <v>0</v>
      </c>
      <c r="H2758">
        <f t="shared" si="217"/>
        <v>0</v>
      </c>
      <c r="I2758" s="141">
        <f t="shared" si="218"/>
        <v>0</v>
      </c>
      <c r="J2758">
        <f t="shared" si="219"/>
        <v>0</v>
      </c>
      <c r="K2758" s="141">
        <f t="shared" si="220"/>
        <v>0</v>
      </c>
    </row>
    <row r="2759" spans="7:11" hidden="1" x14ac:dyDescent="0.25">
      <c r="G2759">
        <f t="shared" si="216"/>
        <v>0</v>
      </c>
      <c r="H2759">
        <f t="shared" si="217"/>
        <v>0</v>
      </c>
      <c r="I2759" s="141">
        <f t="shared" si="218"/>
        <v>0</v>
      </c>
      <c r="J2759">
        <f t="shared" si="219"/>
        <v>0</v>
      </c>
      <c r="K2759" s="141">
        <f t="shared" si="220"/>
        <v>0</v>
      </c>
    </row>
    <row r="2760" spans="7:11" hidden="1" x14ac:dyDescent="0.25">
      <c r="G2760">
        <f t="shared" si="216"/>
        <v>0</v>
      </c>
      <c r="H2760">
        <f t="shared" si="217"/>
        <v>0</v>
      </c>
      <c r="I2760" s="141">
        <f t="shared" si="218"/>
        <v>0</v>
      </c>
      <c r="J2760">
        <f t="shared" si="219"/>
        <v>0</v>
      </c>
      <c r="K2760" s="141">
        <f t="shared" si="220"/>
        <v>0</v>
      </c>
    </row>
    <row r="2761" spans="7:11" hidden="1" x14ac:dyDescent="0.25">
      <c r="G2761">
        <f t="shared" si="216"/>
        <v>0</v>
      </c>
      <c r="H2761">
        <f t="shared" si="217"/>
        <v>0</v>
      </c>
      <c r="I2761" s="141">
        <f t="shared" si="218"/>
        <v>0</v>
      </c>
      <c r="J2761">
        <f t="shared" si="219"/>
        <v>0</v>
      </c>
      <c r="K2761" s="141">
        <f t="shared" si="220"/>
        <v>0</v>
      </c>
    </row>
    <row r="2762" spans="7:11" hidden="1" x14ac:dyDescent="0.25">
      <c r="G2762">
        <f t="shared" si="216"/>
        <v>0</v>
      </c>
      <c r="H2762">
        <f t="shared" si="217"/>
        <v>0</v>
      </c>
      <c r="I2762" s="141">
        <f t="shared" si="218"/>
        <v>0</v>
      </c>
      <c r="J2762">
        <f t="shared" si="219"/>
        <v>0</v>
      </c>
      <c r="K2762" s="141">
        <f t="shared" si="220"/>
        <v>0</v>
      </c>
    </row>
    <row r="2763" spans="7:11" hidden="1" x14ac:dyDescent="0.25">
      <c r="G2763">
        <f t="shared" si="216"/>
        <v>0</v>
      </c>
      <c r="H2763">
        <f t="shared" si="217"/>
        <v>0</v>
      </c>
      <c r="I2763" s="141">
        <f t="shared" si="218"/>
        <v>0</v>
      </c>
      <c r="J2763">
        <f t="shared" si="219"/>
        <v>0</v>
      </c>
      <c r="K2763" s="141">
        <f t="shared" si="220"/>
        <v>0</v>
      </c>
    </row>
    <row r="2764" spans="7:11" hidden="1" x14ac:dyDescent="0.25">
      <c r="G2764">
        <f t="shared" si="216"/>
        <v>0</v>
      </c>
      <c r="H2764">
        <f t="shared" si="217"/>
        <v>0</v>
      </c>
      <c r="I2764" s="141">
        <f t="shared" si="218"/>
        <v>0</v>
      </c>
      <c r="J2764">
        <f t="shared" si="219"/>
        <v>0</v>
      </c>
      <c r="K2764" s="141">
        <f t="shared" si="220"/>
        <v>0</v>
      </c>
    </row>
    <row r="2765" spans="7:11" hidden="1" x14ac:dyDescent="0.25">
      <c r="G2765">
        <f t="shared" si="216"/>
        <v>0</v>
      </c>
      <c r="H2765">
        <f t="shared" si="217"/>
        <v>0</v>
      </c>
      <c r="I2765" s="141">
        <f t="shared" si="218"/>
        <v>0</v>
      </c>
      <c r="J2765">
        <f t="shared" si="219"/>
        <v>0</v>
      </c>
      <c r="K2765" s="141">
        <f t="shared" si="220"/>
        <v>0</v>
      </c>
    </row>
    <row r="2766" spans="7:11" hidden="1" x14ac:dyDescent="0.25">
      <c r="G2766">
        <f t="shared" si="216"/>
        <v>0</v>
      </c>
      <c r="H2766">
        <f t="shared" si="217"/>
        <v>0</v>
      </c>
      <c r="I2766" s="141">
        <f t="shared" si="218"/>
        <v>0</v>
      </c>
      <c r="J2766">
        <f t="shared" si="219"/>
        <v>0</v>
      </c>
      <c r="K2766" s="141">
        <f t="shared" si="220"/>
        <v>0</v>
      </c>
    </row>
    <row r="2767" spans="7:11" hidden="1" x14ac:dyDescent="0.25">
      <c r="G2767">
        <f t="shared" si="216"/>
        <v>0</v>
      </c>
      <c r="H2767">
        <f t="shared" si="217"/>
        <v>0</v>
      </c>
      <c r="I2767" s="141">
        <f t="shared" si="218"/>
        <v>0</v>
      </c>
      <c r="J2767">
        <f t="shared" si="219"/>
        <v>0</v>
      </c>
      <c r="K2767" s="141">
        <f t="shared" si="220"/>
        <v>0</v>
      </c>
    </row>
    <row r="2768" spans="7:11" hidden="1" x14ac:dyDescent="0.25">
      <c r="G2768">
        <f t="shared" si="216"/>
        <v>0</v>
      </c>
      <c r="H2768">
        <f t="shared" si="217"/>
        <v>0</v>
      </c>
      <c r="I2768" s="141">
        <f t="shared" si="218"/>
        <v>0</v>
      </c>
      <c r="J2768">
        <f t="shared" si="219"/>
        <v>0</v>
      </c>
      <c r="K2768" s="141">
        <f t="shared" si="220"/>
        <v>0</v>
      </c>
    </row>
    <row r="2769" spans="7:11" hidden="1" x14ac:dyDescent="0.25">
      <c r="G2769">
        <f t="shared" si="216"/>
        <v>0</v>
      </c>
      <c r="H2769">
        <f t="shared" si="217"/>
        <v>0</v>
      </c>
      <c r="I2769" s="141">
        <f t="shared" si="218"/>
        <v>0</v>
      </c>
      <c r="J2769">
        <f t="shared" si="219"/>
        <v>0</v>
      </c>
      <c r="K2769" s="141">
        <f t="shared" si="220"/>
        <v>0</v>
      </c>
    </row>
    <row r="2770" spans="7:11" hidden="1" x14ac:dyDescent="0.25">
      <c r="G2770">
        <f t="shared" si="216"/>
        <v>0</v>
      </c>
      <c r="H2770">
        <f t="shared" si="217"/>
        <v>0</v>
      </c>
      <c r="I2770" s="141">
        <f t="shared" si="218"/>
        <v>0</v>
      </c>
      <c r="J2770">
        <f t="shared" si="219"/>
        <v>0</v>
      </c>
      <c r="K2770" s="141">
        <f t="shared" si="220"/>
        <v>0</v>
      </c>
    </row>
    <row r="2771" spans="7:11" hidden="1" x14ac:dyDescent="0.25">
      <c r="G2771">
        <f t="shared" si="216"/>
        <v>0</v>
      </c>
      <c r="H2771">
        <f t="shared" si="217"/>
        <v>0</v>
      </c>
      <c r="I2771" s="141">
        <f t="shared" si="218"/>
        <v>0</v>
      </c>
      <c r="J2771">
        <f t="shared" si="219"/>
        <v>0</v>
      </c>
      <c r="K2771" s="141">
        <f t="shared" si="220"/>
        <v>0</v>
      </c>
    </row>
    <row r="2772" spans="7:11" hidden="1" x14ac:dyDescent="0.25">
      <c r="G2772">
        <f t="shared" si="216"/>
        <v>0</v>
      </c>
      <c r="H2772">
        <f t="shared" si="217"/>
        <v>0</v>
      </c>
      <c r="I2772" s="141">
        <f t="shared" si="218"/>
        <v>0</v>
      </c>
      <c r="J2772">
        <f t="shared" si="219"/>
        <v>0</v>
      </c>
      <c r="K2772" s="141">
        <f t="shared" si="220"/>
        <v>0</v>
      </c>
    </row>
    <row r="2773" spans="7:11" hidden="1" x14ac:dyDescent="0.25">
      <c r="G2773">
        <f t="shared" si="216"/>
        <v>0</v>
      </c>
      <c r="H2773">
        <f t="shared" si="217"/>
        <v>0</v>
      </c>
      <c r="I2773" s="141">
        <f t="shared" si="218"/>
        <v>0</v>
      </c>
      <c r="J2773">
        <f t="shared" si="219"/>
        <v>0</v>
      </c>
      <c r="K2773" s="141">
        <f t="shared" si="220"/>
        <v>0</v>
      </c>
    </row>
    <row r="2774" spans="7:11" hidden="1" x14ac:dyDescent="0.25">
      <c r="G2774">
        <f t="shared" si="216"/>
        <v>0</v>
      </c>
      <c r="H2774">
        <f t="shared" si="217"/>
        <v>0</v>
      </c>
      <c r="I2774" s="141">
        <f t="shared" si="218"/>
        <v>0</v>
      </c>
      <c r="J2774">
        <f t="shared" si="219"/>
        <v>0</v>
      </c>
      <c r="K2774" s="141">
        <f t="shared" si="220"/>
        <v>0</v>
      </c>
    </row>
    <row r="2775" spans="7:11" hidden="1" x14ac:dyDescent="0.25">
      <c r="G2775">
        <f t="shared" si="216"/>
        <v>0</v>
      </c>
      <c r="H2775">
        <f t="shared" si="217"/>
        <v>0</v>
      </c>
      <c r="I2775" s="141">
        <f t="shared" si="218"/>
        <v>0</v>
      </c>
      <c r="J2775">
        <f t="shared" si="219"/>
        <v>0</v>
      </c>
      <c r="K2775" s="141">
        <f t="shared" si="220"/>
        <v>0</v>
      </c>
    </row>
    <row r="2776" spans="7:11" hidden="1" x14ac:dyDescent="0.25">
      <c r="G2776">
        <f t="shared" si="216"/>
        <v>0</v>
      </c>
      <c r="H2776">
        <f t="shared" si="217"/>
        <v>0</v>
      </c>
      <c r="I2776" s="141">
        <f t="shared" si="218"/>
        <v>0</v>
      </c>
      <c r="J2776">
        <f t="shared" si="219"/>
        <v>0</v>
      </c>
      <c r="K2776" s="141">
        <f t="shared" si="220"/>
        <v>0</v>
      </c>
    </row>
    <row r="2777" spans="7:11" hidden="1" x14ac:dyDescent="0.25">
      <c r="G2777">
        <f t="shared" si="216"/>
        <v>0</v>
      </c>
      <c r="H2777">
        <f t="shared" si="217"/>
        <v>0</v>
      </c>
      <c r="I2777" s="141">
        <f t="shared" si="218"/>
        <v>0</v>
      </c>
      <c r="J2777">
        <f t="shared" si="219"/>
        <v>0</v>
      </c>
      <c r="K2777" s="141">
        <f t="shared" si="220"/>
        <v>0</v>
      </c>
    </row>
    <row r="2778" spans="7:11" hidden="1" x14ac:dyDescent="0.25">
      <c r="G2778">
        <f t="shared" si="216"/>
        <v>0</v>
      </c>
      <c r="H2778">
        <f t="shared" si="217"/>
        <v>0</v>
      </c>
      <c r="I2778" s="141">
        <f t="shared" si="218"/>
        <v>0</v>
      </c>
      <c r="J2778">
        <f t="shared" si="219"/>
        <v>0</v>
      </c>
      <c r="K2778" s="141">
        <f t="shared" si="220"/>
        <v>0</v>
      </c>
    </row>
    <row r="2779" spans="7:11" hidden="1" x14ac:dyDescent="0.25">
      <c r="G2779">
        <f t="shared" si="216"/>
        <v>0</v>
      </c>
      <c r="H2779">
        <f t="shared" si="217"/>
        <v>0</v>
      </c>
      <c r="I2779" s="141">
        <f t="shared" si="218"/>
        <v>0</v>
      </c>
      <c r="J2779">
        <f t="shared" si="219"/>
        <v>0</v>
      </c>
      <c r="K2779" s="141">
        <f t="shared" si="220"/>
        <v>0</v>
      </c>
    </row>
    <row r="2780" spans="7:11" hidden="1" x14ac:dyDescent="0.25">
      <c r="G2780">
        <f t="shared" si="216"/>
        <v>0</v>
      </c>
      <c r="H2780">
        <f t="shared" si="217"/>
        <v>0</v>
      </c>
      <c r="I2780" s="141">
        <f t="shared" si="218"/>
        <v>0</v>
      </c>
      <c r="J2780">
        <f t="shared" si="219"/>
        <v>0</v>
      </c>
      <c r="K2780" s="141">
        <f t="shared" si="220"/>
        <v>0</v>
      </c>
    </row>
    <row r="2781" spans="7:11" hidden="1" x14ac:dyDescent="0.25">
      <c r="G2781">
        <f t="shared" si="216"/>
        <v>0</v>
      </c>
      <c r="H2781">
        <f t="shared" si="217"/>
        <v>0</v>
      </c>
      <c r="I2781" s="141">
        <f t="shared" si="218"/>
        <v>0</v>
      </c>
      <c r="J2781">
        <f t="shared" si="219"/>
        <v>0</v>
      </c>
      <c r="K2781" s="141">
        <f t="shared" si="220"/>
        <v>0</v>
      </c>
    </row>
    <row r="2782" spans="7:11" hidden="1" x14ac:dyDescent="0.25">
      <c r="G2782">
        <f t="shared" si="216"/>
        <v>0</v>
      </c>
      <c r="H2782">
        <f t="shared" si="217"/>
        <v>0</v>
      </c>
      <c r="I2782" s="141">
        <f t="shared" si="218"/>
        <v>0</v>
      </c>
      <c r="J2782">
        <f t="shared" si="219"/>
        <v>0</v>
      </c>
      <c r="K2782" s="141">
        <f t="shared" si="220"/>
        <v>0</v>
      </c>
    </row>
    <row r="2783" spans="7:11" hidden="1" x14ac:dyDescent="0.25">
      <c r="G2783">
        <f t="shared" si="216"/>
        <v>0</v>
      </c>
      <c r="H2783">
        <f t="shared" si="217"/>
        <v>0</v>
      </c>
      <c r="I2783" s="141">
        <f t="shared" si="218"/>
        <v>0</v>
      </c>
      <c r="J2783">
        <f t="shared" si="219"/>
        <v>0</v>
      </c>
      <c r="K2783" s="141">
        <f t="shared" si="220"/>
        <v>0</v>
      </c>
    </row>
    <row r="2784" spans="7:11" hidden="1" x14ac:dyDescent="0.25">
      <c r="G2784">
        <f t="shared" si="216"/>
        <v>0</v>
      </c>
      <c r="H2784">
        <f t="shared" si="217"/>
        <v>0</v>
      </c>
      <c r="I2784" s="141">
        <f t="shared" si="218"/>
        <v>0</v>
      </c>
      <c r="J2784">
        <f t="shared" si="219"/>
        <v>0</v>
      </c>
      <c r="K2784" s="141">
        <f t="shared" si="220"/>
        <v>0</v>
      </c>
    </row>
    <row r="2785" spans="7:11" hidden="1" x14ac:dyDescent="0.25">
      <c r="G2785">
        <f t="shared" si="216"/>
        <v>0</v>
      </c>
      <c r="H2785">
        <f t="shared" si="217"/>
        <v>0</v>
      </c>
      <c r="I2785" s="141">
        <f t="shared" si="218"/>
        <v>0</v>
      </c>
      <c r="J2785">
        <f t="shared" si="219"/>
        <v>0</v>
      </c>
      <c r="K2785" s="141">
        <f t="shared" si="220"/>
        <v>0</v>
      </c>
    </row>
    <row r="2786" spans="7:11" hidden="1" x14ac:dyDescent="0.25">
      <c r="G2786">
        <f t="shared" si="216"/>
        <v>0</v>
      </c>
      <c r="H2786">
        <f t="shared" si="217"/>
        <v>0</v>
      </c>
      <c r="I2786" s="141">
        <f t="shared" si="218"/>
        <v>0</v>
      </c>
      <c r="J2786">
        <f t="shared" si="219"/>
        <v>0</v>
      </c>
      <c r="K2786" s="141">
        <f t="shared" si="220"/>
        <v>0</v>
      </c>
    </row>
    <row r="2787" spans="7:11" hidden="1" x14ac:dyDescent="0.25">
      <c r="G2787">
        <f t="shared" si="216"/>
        <v>0</v>
      </c>
      <c r="H2787">
        <f t="shared" si="217"/>
        <v>0</v>
      </c>
      <c r="I2787" s="141">
        <f t="shared" si="218"/>
        <v>0</v>
      </c>
      <c r="J2787">
        <f t="shared" si="219"/>
        <v>0</v>
      </c>
      <c r="K2787" s="141">
        <f t="shared" si="220"/>
        <v>0</v>
      </c>
    </row>
    <row r="2788" spans="7:11" hidden="1" x14ac:dyDescent="0.25">
      <c r="G2788">
        <f t="shared" si="216"/>
        <v>0</v>
      </c>
      <c r="H2788">
        <f t="shared" si="217"/>
        <v>0</v>
      </c>
      <c r="I2788" s="141">
        <f t="shared" si="218"/>
        <v>0</v>
      </c>
      <c r="J2788">
        <f t="shared" si="219"/>
        <v>0</v>
      </c>
      <c r="K2788" s="141">
        <f t="shared" si="220"/>
        <v>0</v>
      </c>
    </row>
    <row r="2789" spans="7:11" hidden="1" x14ac:dyDescent="0.25">
      <c r="G2789">
        <f t="shared" si="216"/>
        <v>0</v>
      </c>
      <c r="H2789">
        <f t="shared" si="217"/>
        <v>0</v>
      </c>
      <c r="I2789" s="141">
        <f t="shared" si="218"/>
        <v>0</v>
      </c>
      <c r="J2789">
        <f t="shared" si="219"/>
        <v>0</v>
      </c>
      <c r="K2789" s="141">
        <f t="shared" si="220"/>
        <v>0</v>
      </c>
    </row>
    <row r="2790" spans="7:11" hidden="1" x14ac:dyDescent="0.25">
      <c r="G2790">
        <f t="shared" si="216"/>
        <v>0</v>
      </c>
      <c r="H2790">
        <f t="shared" si="217"/>
        <v>0</v>
      </c>
      <c r="I2790" s="141">
        <f t="shared" si="218"/>
        <v>0</v>
      </c>
      <c r="J2790">
        <f t="shared" si="219"/>
        <v>0</v>
      </c>
      <c r="K2790" s="141">
        <f t="shared" si="220"/>
        <v>0</v>
      </c>
    </row>
    <row r="2791" spans="7:11" hidden="1" x14ac:dyDescent="0.25">
      <c r="G2791">
        <f t="shared" si="216"/>
        <v>0</v>
      </c>
      <c r="H2791">
        <f t="shared" si="217"/>
        <v>0</v>
      </c>
      <c r="I2791" s="141">
        <f t="shared" si="218"/>
        <v>0</v>
      </c>
      <c r="J2791">
        <f t="shared" si="219"/>
        <v>0</v>
      </c>
      <c r="K2791" s="141">
        <f t="shared" si="220"/>
        <v>0</v>
      </c>
    </row>
    <row r="2792" spans="7:11" hidden="1" x14ac:dyDescent="0.25">
      <c r="G2792">
        <f t="shared" si="216"/>
        <v>0</v>
      </c>
      <c r="H2792">
        <f t="shared" si="217"/>
        <v>0</v>
      </c>
      <c r="I2792" s="141">
        <f t="shared" si="218"/>
        <v>0</v>
      </c>
      <c r="J2792">
        <f t="shared" si="219"/>
        <v>0</v>
      </c>
      <c r="K2792" s="141">
        <f t="shared" si="220"/>
        <v>0</v>
      </c>
    </row>
    <row r="2793" spans="7:11" hidden="1" x14ac:dyDescent="0.25">
      <c r="G2793">
        <f t="shared" si="216"/>
        <v>0</v>
      </c>
      <c r="H2793">
        <f t="shared" si="217"/>
        <v>0</v>
      </c>
      <c r="I2793" s="141">
        <f t="shared" si="218"/>
        <v>0</v>
      </c>
      <c r="J2793">
        <f t="shared" si="219"/>
        <v>0</v>
      </c>
      <c r="K2793" s="141">
        <f t="shared" si="220"/>
        <v>0</v>
      </c>
    </row>
    <row r="2794" spans="7:11" hidden="1" x14ac:dyDescent="0.25">
      <c r="G2794">
        <f t="shared" si="216"/>
        <v>0</v>
      </c>
      <c r="H2794">
        <f t="shared" si="217"/>
        <v>0</v>
      </c>
      <c r="I2794" s="141">
        <f t="shared" si="218"/>
        <v>0</v>
      </c>
      <c r="J2794">
        <f t="shared" si="219"/>
        <v>0</v>
      </c>
      <c r="K2794" s="141">
        <f t="shared" si="220"/>
        <v>0</v>
      </c>
    </row>
    <row r="2795" spans="7:11" hidden="1" x14ac:dyDescent="0.25">
      <c r="G2795">
        <f t="shared" si="216"/>
        <v>0</v>
      </c>
      <c r="H2795">
        <f t="shared" si="217"/>
        <v>0</v>
      </c>
      <c r="I2795" s="141">
        <f t="shared" si="218"/>
        <v>0</v>
      </c>
      <c r="J2795">
        <f t="shared" si="219"/>
        <v>0</v>
      </c>
      <c r="K2795" s="141">
        <f t="shared" si="220"/>
        <v>0</v>
      </c>
    </row>
    <row r="2796" spans="7:11" hidden="1" x14ac:dyDescent="0.25">
      <c r="G2796">
        <f t="shared" si="216"/>
        <v>0</v>
      </c>
      <c r="H2796">
        <f t="shared" si="217"/>
        <v>0</v>
      </c>
      <c r="I2796" s="141">
        <f t="shared" si="218"/>
        <v>0</v>
      </c>
      <c r="J2796">
        <f t="shared" si="219"/>
        <v>0</v>
      </c>
      <c r="K2796" s="141">
        <f t="shared" si="220"/>
        <v>0</v>
      </c>
    </row>
    <row r="2797" spans="7:11" hidden="1" x14ac:dyDescent="0.25">
      <c r="G2797">
        <f t="shared" si="216"/>
        <v>0</v>
      </c>
      <c r="H2797">
        <f t="shared" si="217"/>
        <v>0</v>
      </c>
      <c r="I2797" s="141">
        <f t="shared" si="218"/>
        <v>0</v>
      </c>
      <c r="J2797">
        <f t="shared" si="219"/>
        <v>0</v>
      </c>
      <c r="K2797" s="141">
        <f t="shared" si="220"/>
        <v>0</v>
      </c>
    </row>
    <row r="2798" spans="7:11" hidden="1" x14ac:dyDescent="0.25">
      <c r="G2798">
        <f t="shared" si="216"/>
        <v>0</v>
      </c>
      <c r="H2798">
        <f t="shared" si="217"/>
        <v>0</v>
      </c>
      <c r="I2798" s="141">
        <f t="shared" si="218"/>
        <v>0</v>
      </c>
      <c r="J2798">
        <f t="shared" si="219"/>
        <v>0</v>
      </c>
      <c r="K2798" s="141">
        <f t="shared" si="220"/>
        <v>0</v>
      </c>
    </row>
    <row r="2799" spans="7:11" hidden="1" x14ac:dyDescent="0.25">
      <c r="G2799">
        <f t="shared" si="216"/>
        <v>0</v>
      </c>
      <c r="H2799">
        <f t="shared" si="217"/>
        <v>0</v>
      </c>
      <c r="I2799" s="141">
        <f t="shared" si="218"/>
        <v>0</v>
      </c>
      <c r="J2799">
        <f t="shared" si="219"/>
        <v>0</v>
      </c>
      <c r="K2799" s="141">
        <f t="shared" si="220"/>
        <v>0</v>
      </c>
    </row>
    <row r="2800" spans="7:11" hidden="1" x14ac:dyDescent="0.25">
      <c r="G2800">
        <f t="shared" si="216"/>
        <v>0</v>
      </c>
      <c r="H2800">
        <f t="shared" si="217"/>
        <v>0</v>
      </c>
      <c r="I2800" s="141">
        <f t="shared" si="218"/>
        <v>0</v>
      </c>
      <c r="J2800">
        <f t="shared" si="219"/>
        <v>0</v>
      </c>
      <c r="K2800" s="141">
        <f t="shared" si="220"/>
        <v>0</v>
      </c>
    </row>
    <row r="2801" spans="7:11" hidden="1" x14ac:dyDescent="0.25">
      <c r="G2801">
        <f t="shared" si="216"/>
        <v>0</v>
      </c>
      <c r="H2801">
        <f t="shared" si="217"/>
        <v>0</v>
      </c>
      <c r="I2801" s="141">
        <f t="shared" si="218"/>
        <v>0</v>
      </c>
      <c r="J2801">
        <f t="shared" si="219"/>
        <v>0</v>
      </c>
      <c r="K2801" s="141">
        <f t="shared" si="220"/>
        <v>0</v>
      </c>
    </row>
    <row r="2802" spans="7:11" hidden="1" x14ac:dyDescent="0.25">
      <c r="G2802">
        <f t="shared" si="216"/>
        <v>0</v>
      </c>
      <c r="H2802">
        <f t="shared" si="217"/>
        <v>0</v>
      </c>
      <c r="I2802" s="141">
        <f t="shared" si="218"/>
        <v>0</v>
      </c>
      <c r="J2802">
        <f t="shared" si="219"/>
        <v>0</v>
      </c>
      <c r="K2802" s="141">
        <f t="shared" si="220"/>
        <v>0</v>
      </c>
    </row>
    <row r="2803" spans="7:11" hidden="1" x14ac:dyDescent="0.25">
      <c r="G2803">
        <f t="shared" si="216"/>
        <v>0</v>
      </c>
      <c r="H2803">
        <f t="shared" si="217"/>
        <v>0</v>
      </c>
      <c r="I2803" s="141">
        <f t="shared" si="218"/>
        <v>0</v>
      </c>
      <c r="J2803">
        <f t="shared" si="219"/>
        <v>0</v>
      </c>
      <c r="K2803" s="141">
        <f t="shared" si="220"/>
        <v>0</v>
      </c>
    </row>
    <row r="2804" spans="7:11" hidden="1" x14ac:dyDescent="0.25">
      <c r="G2804">
        <f t="shared" si="216"/>
        <v>0</v>
      </c>
      <c r="H2804">
        <f t="shared" si="217"/>
        <v>0</v>
      </c>
      <c r="I2804" s="141">
        <f t="shared" si="218"/>
        <v>0</v>
      </c>
      <c r="J2804">
        <f t="shared" si="219"/>
        <v>0</v>
      </c>
      <c r="K2804" s="141">
        <f t="shared" si="220"/>
        <v>0</v>
      </c>
    </row>
    <row r="2805" spans="7:11" hidden="1" x14ac:dyDescent="0.25">
      <c r="G2805">
        <f t="shared" si="216"/>
        <v>0</v>
      </c>
      <c r="H2805">
        <f t="shared" si="217"/>
        <v>0</v>
      </c>
      <c r="I2805" s="141">
        <f t="shared" si="218"/>
        <v>0</v>
      </c>
      <c r="J2805">
        <f t="shared" si="219"/>
        <v>0</v>
      </c>
      <c r="K2805" s="141">
        <f t="shared" si="220"/>
        <v>0</v>
      </c>
    </row>
    <row r="2806" spans="7:11" hidden="1" x14ac:dyDescent="0.25">
      <c r="G2806">
        <f t="shared" si="216"/>
        <v>0</v>
      </c>
      <c r="H2806">
        <f t="shared" si="217"/>
        <v>0</v>
      </c>
      <c r="I2806" s="141">
        <f t="shared" si="218"/>
        <v>0</v>
      </c>
      <c r="J2806">
        <f t="shared" si="219"/>
        <v>0</v>
      </c>
      <c r="K2806" s="141">
        <f t="shared" si="220"/>
        <v>0</v>
      </c>
    </row>
    <row r="2807" spans="7:11" hidden="1" x14ac:dyDescent="0.25">
      <c r="G2807">
        <f t="shared" si="216"/>
        <v>0</v>
      </c>
      <c r="H2807">
        <f t="shared" si="217"/>
        <v>0</v>
      </c>
      <c r="I2807" s="141">
        <f t="shared" si="218"/>
        <v>0</v>
      </c>
      <c r="J2807">
        <f t="shared" si="219"/>
        <v>0</v>
      </c>
      <c r="K2807" s="141">
        <f t="shared" si="220"/>
        <v>0</v>
      </c>
    </row>
    <row r="2808" spans="7:11" hidden="1" x14ac:dyDescent="0.25">
      <c r="G2808">
        <f t="shared" si="216"/>
        <v>0</v>
      </c>
      <c r="H2808">
        <f t="shared" si="217"/>
        <v>0</v>
      </c>
      <c r="I2808" s="141">
        <f t="shared" si="218"/>
        <v>0</v>
      </c>
      <c r="J2808">
        <f t="shared" si="219"/>
        <v>0</v>
      </c>
      <c r="K2808" s="141">
        <f t="shared" si="220"/>
        <v>0</v>
      </c>
    </row>
    <row r="2809" spans="7:11" hidden="1" x14ac:dyDescent="0.25">
      <c r="G2809">
        <f t="shared" si="216"/>
        <v>0</v>
      </c>
      <c r="H2809">
        <f t="shared" si="217"/>
        <v>0</v>
      </c>
      <c r="I2809" s="141">
        <f t="shared" si="218"/>
        <v>0</v>
      </c>
      <c r="J2809">
        <f t="shared" si="219"/>
        <v>0</v>
      </c>
      <c r="K2809" s="141">
        <f t="shared" si="220"/>
        <v>0</v>
      </c>
    </row>
    <row r="2810" spans="7:11" hidden="1" x14ac:dyDescent="0.25">
      <c r="G2810">
        <f t="shared" si="216"/>
        <v>0</v>
      </c>
      <c r="H2810">
        <f t="shared" si="217"/>
        <v>0</v>
      </c>
      <c r="I2810" s="141">
        <f t="shared" si="218"/>
        <v>0</v>
      </c>
      <c r="J2810">
        <f t="shared" si="219"/>
        <v>0</v>
      </c>
      <c r="K2810" s="141">
        <f t="shared" si="220"/>
        <v>0</v>
      </c>
    </row>
    <row r="2811" spans="7:11" hidden="1" x14ac:dyDescent="0.25">
      <c r="G2811">
        <f t="shared" si="216"/>
        <v>0</v>
      </c>
      <c r="H2811">
        <f t="shared" si="217"/>
        <v>0</v>
      </c>
      <c r="I2811" s="141">
        <f t="shared" si="218"/>
        <v>0</v>
      </c>
      <c r="J2811">
        <f t="shared" si="219"/>
        <v>0</v>
      </c>
      <c r="K2811" s="141">
        <f t="shared" si="220"/>
        <v>0</v>
      </c>
    </row>
    <row r="2812" spans="7:11" hidden="1" x14ac:dyDescent="0.25">
      <c r="G2812">
        <f t="shared" si="216"/>
        <v>0</v>
      </c>
      <c r="H2812">
        <f t="shared" si="217"/>
        <v>0</v>
      </c>
      <c r="I2812" s="141">
        <f t="shared" si="218"/>
        <v>0</v>
      </c>
      <c r="J2812">
        <f t="shared" si="219"/>
        <v>0</v>
      </c>
      <c r="K2812" s="141">
        <f t="shared" si="220"/>
        <v>0</v>
      </c>
    </row>
    <row r="2813" spans="7:11" hidden="1" x14ac:dyDescent="0.25">
      <c r="G2813">
        <f t="shared" si="216"/>
        <v>0</v>
      </c>
      <c r="H2813">
        <f t="shared" si="217"/>
        <v>0</v>
      </c>
      <c r="I2813" s="141">
        <f t="shared" si="218"/>
        <v>0</v>
      </c>
      <c r="J2813">
        <f t="shared" si="219"/>
        <v>0</v>
      </c>
      <c r="K2813" s="141">
        <f t="shared" si="220"/>
        <v>0</v>
      </c>
    </row>
    <row r="2814" spans="7:11" hidden="1" x14ac:dyDescent="0.25">
      <c r="G2814">
        <f t="shared" si="216"/>
        <v>0</v>
      </c>
      <c r="H2814">
        <f t="shared" si="217"/>
        <v>0</v>
      </c>
      <c r="I2814" s="141">
        <f t="shared" si="218"/>
        <v>0</v>
      </c>
      <c r="J2814">
        <f t="shared" si="219"/>
        <v>0</v>
      </c>
      <c r="K2814" s="141">
        <f t="shared" si="220"/>
        <v>0</v>
      </c>
    </row>
    <row r="2815" spans="7:11" hidden="1" x14ac:dyDescent="0.25">
      <c r="G2815">
        <f t="shared" si="216"/>
        <v>0</v>
      </c>
      <c r="H2815">
        <f t="shared" si="217"/>
        <v>0</v>
      </c>
      <c r="I2815" s="141">
        <f t="shared" si="218"/>
        <v>0</v>
      </c>
      <c r="J2815">
        <f t="shared" si="219"/>
        <v>0</v>
      </c>
      <c r="K2815" s="141">
        <f t="shared" si="220"/>
        <v>0</v>
      </c>
    </row>
    <row r="2816" spans="7:11" hidden="1" x14ac:dyDescent="0.25">
      <c r="G2816">
        <f t="shared" si="216"/>
        <v>0</v>
      </c>
      <c r="H2816">
        <f t="shared" si="217"/>
        <v>0</v>
      </c>
      <c r="I2816" s="141">
        <f t="shared" si="218"/>
        <v>0</v>
      </c>
      <c r="J2816">
        <f t="shared" si="219"/>
        <v>0</v>
      </c>
      <c r="K2816" s="141">
        <f t="shared" si="220"/>
        <v>0</v>
      </c>
    </row>
    <row r="2817" spans="7:11" hidden="1" x14ac:dyDescent="0.25">
      <c r="G2817">
        <f t="shared" si="216"/>
        <v>0</v>
      </c>
      <c r="H2817">
        <f t="shared" si="217"/>
        <v>0</v>
      </c>
      <c r="I2817" s="141">
        <f t="shared" si="218"/>
        <v>0</v>
      </c>
      <c r="J2817">
        <f t="shared" si="219"/>
        <v>0</v>
      </c>
      <c r="K2817" s="141">
        <f t="shared" si="220"/>
        <v>0</v>
      </c>
    </row>
    <row r="2818" spans="7:11" hidden="1" x14ac:dyDescent="0.25">
      <c r="G2818">
        <f t="shared" ref="G2818:G2881" si="221">A2818</f>
        <v>0</v>
      </c>
      <c r="H2818">
        <f t="shared" ref="H2818:H2881" si="222">B2818</f>
        <v>0</v>
      </c>
      <c r="I2818" s="141">
        <f t="shared" ref="I2818:I2881" si="223">C2818</f>
        <v>0</v>
      </c>
      <c r="J2818">
        <f t="shared" ref="J2818:J2881" si="224">D2818</f>
        <v>0</v>
      </c>
      <c r="K2818" s="141">
        <f t="shared" ref="K2818:K2881" si="225">E2818</f>
        <v>0</v>
      </c>
    </row>
    <row r="2819" spans="7:11" hidden="1" x14ac:dyDescent="0.25">
      <c r="G2819">
        <f t="shared" si="221"/>
        <v>0</v>
      </c>
      <c r="H2819">
        <f t="shared" si="222"/>
        <v>0</v>
      </c>
      <c r="I2819" s="141">
        <f t="shared" si="223"/>
        <v>0</v>
      </c>
      <c r="J2819">
        <f t="shared" si="224"/>
        <v>0</v>
      </c>
      <c r="K2819" s="141">
        <f t="shared" si="225"/>
        <v>0</v>
      </c>
    </row>
    <row r="2820" spans="7:11" hidden="1" x14ac:dyDescent="0.25">
      <c r="G2820">
        <f t="shared" si="221"/>
        <v>0</v>
      </c>
      <c r="H2820">
        <f t="shared" si="222"/>
        <v>0</v>
      </c>
      <c r="I2820" s="141">
        <f t="shared" si="223"/>
        <v>0</v>
      </c>
      <c r="J2820">
        <f t="shared" si="224"/>
        <v>0</v>
      </c>
      <c r="K2820" s="141">
        <f t="shared" si="225"/>
        <v>0</v>
      </c>
    </row>
    <row r="2821" spans="7:11" hidden="1" x14ac:dyDescent="0.25">
      <c r="G2821">
        <f t="shared" si="221"/>
        <v>0</v>
      </c>
      <c r="H2821">
        <f t="shared" si="222"/>
        <v>0</v>
      </c>
      <c r="I2821" s="141">
        <f t="shared" si="223"/>
        <v>0</v>
      </c>
      <c r="J2821">
        <f t="shared" si="224"/>
        <v>0</v>
      </c>
      <c r="K2821" s="141">
        <f t="shared" si="225"/>
        <v>0</v>
      </c>
    </row>
    <row r="2822" spans="7:11" hidden="1" x14ac:dyDescent="0.25">
      <c r="G2822">
        <f t="shared" si="221"/>
        <v>0</v>
      </c>
      <c r="H2822">
        <f t="shared" si="222"/>
        <v>0</v>
      </c>
      <c r="I2822" s="141">
        <f t="shared" si="223"/>
        <v>0</v>
      </c>
      <c r="J2822">
        <f t="shared" si="224"/>
        <v>0</v>
      </c>
      <c r="K2822" s="141">
        <f t="shared" si="225"/>
        <v>0</v>
      </c>
    </row>
    <row r="2823" spans="7:11" hidden="1" x14ac:dyDescent="0.25">
      <c r="G2823">
        <f t="shared" si="221"/>
        <v>0</v>
      </c>
      <c r="H2823">
        <f t="shared" si="222"/>
        <v>0</v>
      </c>
      <c r="I2823" s="141">
        <f t="shared" si="223"/>
        <v>0</v>
      </c>
      <c r="J2823">
        <f t="shared" si="224"/>
        <v>0</v>
      </c>
      <c r="K2823" s="141">
        <f t="shared" si="225"/>
        <v>0</v>
      </c>
    </row>
    <row r="2824" spans="7:11" hidden="1" x14ac:dyDescent="0.25">
      <c r="G2824">
        <f t="shared" si="221"/>
        <v>0</v>
      </c>
      <c r="H2824">
        <f t="shared" si="222"/>
        <v>0</v>
      </c>
      <c r="I2824" s="141">
        <f t="shared" si="223"/>
        <v>0</v>
      </c>
      <c r="J2824">
        <f t="shared" si="224"/>
        <v>0</v>
      </c>
      <c r="K2824" s="141">
        <f t="shared" si="225"/>
        <v>0</v>
      </c>
    </row>
    <row r="2825" spans="7:11" hidden="1" x14ac:dyDescent="0.25">
      <c r="G2825">
        <f t="shared" si="221"/>
        <v>0</v>
      </c>
      <c r="H2825">
        <f t="shared" si="222"/>
        <v>0</v>
      </c>
      <c r="I2825" s="141">
        <f t="shared" si="223"/>
        <v>0</v>
      </c>
      <c r="J2825">
        <f t="shared" si="224"/>
        <v>0</v>
      </c>
      <c r="K2825" s="141">
        <f t="shared" si="225"/>
        <v>0</v>
      </c>
    </row>
    <row r="2826" spans="7:11" hidden="1" x14ac:dyDescent="0.25">
      <c r="G2826">
        <f t="shared" si="221"/>
        <v>0</v>
      </c>
      <c r="H2826">
        <f t="shared" si="222"/>
        <v>0</v>
      </c>
      <c r="I2826" s="141">
        <f t="shared" si="223"/>
        <v>0</v>
      </c>
      <c r="J2826">
        <f t="shared" si="224"/>
        <v>0</v>
      </c>
      <c r="K2826" s="141">
        <f t="shared" si="225"/>
        <v>0</v>
      </c>
    </row>
    <row r="2827" spans="7:11" hidden="1" x14ac:dyDescent="0.25">
      <c r="G2827">
        <f t="shared" si="221"/>
        <v>0</v>
      </c>
      <c r="H2827">
        <f t="shared" si="222"/>
        <v>0</v>
      </c>
      <c r="I2827" s="141">
        <f t="shared" si="223"/>
        <v>0</v>
      </c>
      <c r="J2827">
        <f t="shared" si="224"/>
        <v>0</v>
      </c>
      <c r="K2827" s="141">
        <f t="shared" si="225"/>
        <v>0</v>
      </c>
    </row>
    <row r="2828" spans="7:11" hidden="1" x14ac:dyDescent="0.25">
      <c r="G2828">
        <f t="shared" si="221"/>
        <v>0</v>
      </c>
      <c r="H2828">
        <f t="shared" si="222"/>
        <v>0</v>
      </c>
      <c r="I2828" s="141">
        <f t="shared" si="223"/>
        <v>0</v>
      </c>
      <c r="J2828">
        <f t="shared" si="224"/>
        <v>0</v>
      </c>
      <c r="K2828" s="141">
        <f t="shared" si="225"/>
        <v>0</v>
      </c>
    </row>
    <row r="2829" spans="7:11" hidden="1" x14ac:dyDescent="0.25">
      <c r="G2829">
        <f t="shared" si="221"/>
        <v>0</v>
      </c>
      <c r="H2829">
        <f t="shared" si="222"/>
        <v>0</v>
      </c>
      <c r="I2829" s="141">
        <f t="shared" si="223"/>
        <v>0</v>
      </c>
      <c r="J2829">
        <f t="shared" si="224"/>
        <v>0</v>
      </c>
      <c r="K2829" s="141">
        <f t="shared" si="225"/>
        <v>0</v>
      </c>
    </row>
    <row r="2830" spans="7:11" hidden="1" x14ac:dyDescent="0.25">
      <c r="G2830">
        <f t="shared" si="221"/>
        <v>0</v>
      </c>
      <c r="H2830">
        <f t="shared" si="222"/>
        <v>0</v>
      </c>
      <c r="I2830" s="141">
        <f t="shared" si="223"/>
        <v>0</v>
      </c>
      <c r="J2830">
        <f t="shared" si="224"/>
        <v>0</v>
      </c>
      <c r="K2830" s="141">
        <f t="shared" si="225"/>
        <v>0</v>
      </c>
    </row>
    <row r="2831" spans="7:11" hidden="1" x14ac:dyDescent="0.25">
      <c r="G2831">
        <f t="shared" si="221"/>
        <v>0</v>
      </c>
      <c r="H2831">
        <f t="shared" si="222"/>
        <v>0</v>
      </c>
      <c r="I2831" s="141">
        <f t="shared" si="223"/>
        <v>0</v>
      </c>
      <c r="J2831">
        <f t="shared" si="224"/>
        <v>0</v>
      </c>
      <c r="K2831" s="141">
        <f t="shared" si="225"/>
        <v>0</v>
      </c>
    </row>
    <row r="2832" spans="7:11" hidden="1" x14ac:dyDescent="0.25">
      <c r="G2832">
        <f t="shared" si="221"/>
        <v>0</v>
      </c>
      <c r="H2832">
        <f t="shared" si="222"/>
        <v>0</v>
      </c>
      <c r="I2832" s="141">
        <f t="shared" si="223"/>
        <v>0</v>
      </c>
      <c r="J2832">
        <f t="shared" si="224"/>
        <v>0</v>
      </c>
      <c r="K2832" s="141">
        <f t="shared" si="225"/>
        <v>0</v>
      </c>
    </row>
    <row r="2833" spans="7:11" hidden="1" x14ac:dyDescent="0.25">
      <c r="G2833">
        <f t="shared" si="221"/>
        <v>0</v>
      </c>
      <c r="H2833">
        <f t="shared" si="222"/>
        <v>0</v>
      </c>
      <c r="I2833" s="141">
        <f t="shared" si="223"/>
        <v>0</v>
      </c>
      <c r="J2833">
        <f t="shared" si="224"/>
        <v>0</v>
      </c>
      <c r="K2833" s="141">
        <f t="shared" si="225"/>
        <v>0</v>
      </c>
    </row>
    <row r="2834" spans="7:11" hidden="1" x14ac:dyDescent="0.25">
      <c r="G2834">
        <f t="shared" si="221"/>
        <v>0</v>
      </c>
      <c r="H2834">
        <f t="shared" si="222"/>
        <v>0</v>
      </c>
      <c r="I2834" s="141">
        <f t="shared" si="223"/>
        <v>0</v>
      </c>
      <c r="J2834">
        <f t="shared" si="224"/>
        <v>0</v>
      </c>
      <c r="K2834" s="141">
        <f t="shared" si="225"/>
        <v>0</v>
      </c>
    </row>
    <row r="2835" spans="7:11" hidden="1" x14ac:dyDescent="0.25">
      <c r="G2835">
        <f t="shared" si="221"/>
        <v>0</v>
      </c>
      <c r="H2835">
        <f t="shared" si="222"/>
        <v>0</v>
      </c>
      <c r="I2835" s="141">
        <f t="shared" si="223"/>
        <v>0</v>
      </c>
      <c r="J2835">
        <f t="shared" si="224"/>
        <v>0</v>
      </c>
      <c r="K2835" s="141">
        <f t="shared" si="225"/>
        <v>0</v>
      </c>
    </row>
    <row r="2836" spans="7:11" hidden="1" x14ac:dyDescent="0.25">
      <c r="G2836">
        <f t="shared" si="221"/>
        <v>0</v>
      </c>
      <c r="H2836">
        <f t="shared" si="222"/>
        <v>0</v>
      </c>
      <c r="I2836" s="141">
        <f t="shared" si="223"/>
        <v>0</v>
      </c>
      <c r="J2836">
        <f t="shared" si="224"/>
        <v>0</v>
      </c>
      <c r="K2836" s="141">
        <f t="shared" si="225"/>
        <v>0</v>
      </c>
    </row>
    <row r="2837" spans="7:11" hidden="1" x14ac:dyDescent="0.25">
      <c r="G2837">
        <f t="shared" si="221"/>
        <v>0</v>
      </c>
      <c r="H2837">
        <f t="shared" si="222"/>
        <v>0</v>
      </c>
      <c r="I2837" s="141">
        <f t="shared" si="223"/>
        <v>0</v>
      </c>
      <c r="J2837">
        <f t="shared" si="224"/>
        <v>0</v>
      </c>
      <c r="K2837" s="141">
        <f t="shared" si="225"/>
        <v>0</v>
      </c>
    </row>
    <row r="2838" spans="7:11" hidden="1" x14ac:dyDescent="0.25">
      <c r="G2838">
        <f t="shared" si="221"/>
        <v>0</v>
      </c>
      <c r="H2838">
        <f t="shared" si="222"/>
        <v>0</v>
      </c>
      <c r="I2838" s="141">
        <f t="shared" si="223"/>
        <v>0</v>
      </c>
      <c r="J2838">
        <f t="shared" si="224"/>
        <v>0</v>
      </c>
      <c r="K2838" s="141">
        <f t="shared" si="225"/>
        <v>0</v>
      </c>
    </row>
    <row r="2839" spans="7:11" hidden="1" x14ac:dyDescent="0.25">
      <c r="G2839">
        <f t="shared" si="221"/>
        <v>0</v>
      </c>
      <c r="H2839">
        <f t="shared" si="222"/>
        <v>0</v>
      </c>
      <c r="I2839" s="141">
        <f t="shared" si="223"/>
        <v>0</v>
      </c>
      <c r="J2839">
        <f t="shared" si="224"/>
        <v>0</v>
      </c>
      <c r="K2839" s="141">
        <f t="shared" si="225"/>
        <v>0</v>
      </c>
    </row>
    <row r="2840" spans="7:11" hidden="1" x14ac:dyDescent="0.25">
      <c r="G2840">
        <f t="shared" si="221"/>
        <v>0</v>
      </c>
      <c r="H2840">
        <f t="shared" si="222"/>
        <v>0</v>
      </c>
      <c r="I2840" s="141">
        <f t="shared" si="223"/>
        <v>0</v>
      </c>
      <c r="J2840">
        <f t="shared" si="224"/>
        <v>0</v>
      </c>
      <c r="K2840" s="141">
        <f t="shared" si="225"/>
        <v>0</v>
      </c>
    </row>
    <row r="2841" spans="7:11" hidden="1" x14ac:dyDescent="0.25">
      <c r="G2841">
        <f t="shared" si="221"/>
        <v>0</v>
      </c>
      <c r="H2841">
        <f t="shared" si="222"/>
        <v>0</v>
      </c>
      <c r="I2841" s="141">
        <f t="shared" si="223"/>
        <v>0</v>
      </c>
      <c r="J2841">
        <f t="shared" si="224"/>
        <v>0</v>
      </c>
      <c r="K2841" s="141">
        <f t="shared" si="225"/>
        <v>0</v>
      </c>
    </row>
    <row r="2842" spans="7:11" hidden="1" x14ac:dyDescent="0.25">
      <c r="G2842">
        <f t="shared" si="221"/>
        <v>0</v>
      </c>
      <c r="H2842">
        <f t="shared" si="222"/>
        <v>0</v>
      </c>
      <c r="I2842" s="141">
        <f t="shared" si="223"/>
        <v>0</v>
      </c>
      <c r="J2842">
        <f t="shared" si="224"/>
        <v>0</v>
      </c>
      <c r="K2842" s="141">
        <f t="shared" si="225"/>
        <v>0</v>
      </c>
    </row>
    <row r="2843" spans="7:11" hidden="1" x14ac:dyDescent="0.25">
      <c r="G2843">
        <f t="shared" si="221"/>
        <v>0</v>
      </c>
      <c r="H2843">
        <f t="shared" si="222"/>
        <v>0</v>
      </c>
      <c r="I2843" s="141">
        <f t="shared" si="223"/>
        <v>0</v>
      </c>
      <c r="J2843">
        <f t="shared" si="224"/>
        <v>0</v>
      </c>
      <c r="K2843" s="141">
        <f t="shared" si="225"/>
        <v>0</v>
      </c>
    </row>
    <row r="2844" spans="7:11" hidden="1" x14ac:dyDescent="0.25">
      <c r="G2844">
        <f t="shared" si="221"/>
        <v>0</v>
      </c>
      <c r="H2844">
        <f t="shared" si="222"/>
        <v>0</v>
      </c>
      <c r="I2844" s="141">
        <f t="shared" si="223"/>
        <v>0</v>
      </c>
      <c r="J2844">
        <f t="shared" si="224"/>
        <v>0</v>
      </c>
      <c r="K2844" s="141">
        <f t="shared" si="225"/>
        <v>0</v>
      </c>
    </row>
    <row r="2845" spans="7:11" hidden="1" x14ac:dyDescent="0.25">
      <c r="G2845">
        <f t="shared" si="221"/>
        <v>0</v>
      </c>
      <c r="H2845">
        <f t="shared" si="222"/>
        <v>0</v>
      </c>
      <c r="I2845" s="141">
        <f t="shared" si="223"/>
        <v>0</v>
      </c>
      <c r="J2845">
        <f t="shared" si="224"/>
        <v>0</v>
      </c>
      <c r="K2845" s="141">
        <f t="shared" si="225"/>
        <v>0</v>
      </c>
    </row>
    <row r="2846" spans="7:11" hidden="1" x14ac:dyDescent="0.25">
      <c r="G2846">
        <f t="shared" si="221"/>
        <v>0</v>
      </c>
      <c r="H2846">
        <f t="shared" si="222"/>
        <v>0</v>
      </c>
      <c r="I2846" s="141">
        <f t="shared" si="223"/>
        <v>0</v>
      </c>
      <c r="J2846">
        <f t="shared" si="224"/>
        <v>0</v>
      </c>
      <c r="K2846" s="141">
        <f t="shared" si="225"/>
        <v>0</v>
      </c>
    </row>
    <row r="2847" spans="7:11" hidden="1" x14ac:dyDescent="0.25">
      <c r="G2847">
        <f t="shared" si="221"/>
        <v>0</v>
      </c>
      <c r="H2847">
        <f t="shared" si="222"/>
        <v>0</v>
      </c>
      <c r="I2847" s="141">
        <f t="shared" si="223"/>
        <v>0</v>
      </c>
      <c r="J2847">
        <f t="shared" si="224"/>
        <v>0</v>
      </c>
      <c r="K2847" s="141">
        <f t="shared" si="225"/>
        <v>0</v>
      </c>
    </row>
    <row r="2848" spans="7:11" hidden="1" x14ac:dyDescent="0.25">
      <c r="G2848">
        <f t="shared" si="221"/>
        <v>0</v>
      </c>
      <c r="H2848">
        <f t="shared" si="222"/>
        <v>0</v>
      </c>
      <c r="I2848" s="141">
        <f t="shared" si="223"/>
        <v>0</v>
      </c>
      <c r="J2848">
        <f t="shared" si="224"/>
        <v>0</v>
      </c>
      <c r="K2848" s="141">
        <f t="shared" si="225"/>
        <v>0</v>
      </c>
    </row>
    <row r="2849" spans="7:11" hidden="1" x14ac:dyDescent="0.25">
      <c r="G2849">
        <f t="shared" si="221"/>
        <v>0</v>
      </c>
      <c r="H2849">
        <f t="shared" si="222"/>
        <v>0</v>
      </c>
      <c r="I2849" s="141">
        <f t="shared" si="223"/>
        <v>0</v>
      </c>
      <c r="J2849">
        <f t="shared" si="224"/>
        <v>0</v>
      </c>
      <c r="K2849" s="141">
        <f t="shared" si="225"/>
        <v>0</v>
      </c>
    </row>
    <row r="2850" spans="7:11" hidden="1" x14ac:dyDescent="0.25">
      <c r="G2850">
        <f t="shared" si="221"/>
        <v>0</v>
      </c>
      <c r="H2850">
        <f t="shared" si="222"/>
        <v>0</v>
      </c>
      <c r="I2850" s="141">
        <f t="shared" si="223"/>
        <v>0</v>
      </c>
      <c r="J2850">
        <f t="shared" si="224"/>
        <v>0</v>
      </c>
      <c r="K2850" s="141">
        <f t="shared" si="225"/>
        <v>0</v>
      </c>
    </row>
    <row r="2851" spans="7:11" hidden="1" x14ac:dyDescent="0.25">
      <c r="G2851">
        <f t="shared" si="221"/>
        <v>0</v>
      </c>
      <c r="H2851">
        <f t="shared" si="222"/>
        <v>0</v>
      </c>
      <c r="I2851" s="141">
        <f t="shared" si="223"/>
        <v>0</v>
      </c>
      <c r="J2851">
        <f t="shared" si="224"/>
        <v>0</v>
      </c>
      <c r="K2851" s="141">
        <f t="shared" si="225"/>
        <v>0</v>
      </c>
    </row>
    <row r="2852" spans="7:11" hidden="1" x14ac:dyDescent="0.25">
      <c r="G2852">
        <f t="shared" si="221"/>
        <v>0</v>
      </c>
      <c r="H2852">
        <f t="shared" si="222"/>
        <v>0</v>
      </c>
      <c r="I2852" s="141">
        <f t="shared" si="223"/>
        <v>0</v>
      </c>
      <c r="J2852">
        <f t="shared" si="224"/>
        <v>0</v>
      </c>
      <c r="K2852" s="141">
        <f t="shared" si="225"/>
        <v>0</v>
      </c>
    </row>
    <row r="2853" spans="7:11" hidden="1" x14ac:dyDescent="0.25">
      <c r="G2853">
        <f t="shared" si="221"/>
        <v>0</v>
      </c>
      <c r="H2853">
        <f t="shared" si="222"/>
        <v>0</v>
      </c>
      <c r="I2853" s="141">
        <f t="shared" si="223"/>
        <v>0</v>
      </c>
      <c r="J2853">
        <f t="shared" si="224"/>
        <v>0</v>
      </c>
      <c r="K2853" s="141">
        <f t="shared" si="225"/>
        <v>0</v>
      </c>
    </row>
    <row r="2854" spans="7:11" hidden="1" x14ac:dyDescent="0.25">
      <c r="G2854">
        <f t="shared" si="221"/>
        <v>0</v>
      </c>
      <c r="H2854">
        <f t="shared" si="222"/>
        <v>0</v>
      </c>
      <c r="I2854" s="141">
        <f t="shared" si="223"/>
        <v>0</v>
      </c>
      <c r="J2854">
        <f t="shared" si="224"/>
        <v>0</v>
      </c>
      <c r="K2854" s="141">
        <f t="shared" si="225"/>
        <v>0</v>
      </c>
    </row>
    <row r="2855" spans="7:11" hidden="1" x14ac:dyDescent="0.25">
      <c r="G2855">
        <f t="shared" si="221"/>
        <v>0</v>
      </c>
      <c r="H2855">
        <f t="shared" si="222"/>
        <v>0</v>
      </c>
      <c r="I2855" s="141">
        <f t="shared" si="223"/>
        <v>0</v>
      </c>
      <c r="J2855">
        <f t="shared" si="224"/>
        <v>0</v>
      </c>
      <c r="K2855" s="141">
        <f t="shared" si="225"/>
        <v>0</v>
      </c>
    </row>
    <row r="2856" spans="7:11" hidden="1" x14ac:dyDescent="0.25">
      <c r="G2856">
        <f t="shared" si="221"/>
        <v>0</v>
      </c>
      <c r="H2856">
        <f t="shared" si="222"/>
        <v>0</v>
      </c>
      <c r="I2856" s="141">
        <f t="shared" si="223"/>
        <v>0</v>
      </c>
      <c r="J2856">
        <f t="shared" si="224"/>
        <v>0</v>
      </c>
      <c r="K2856" s="141">
        <f t="shared" si="225"/>
        <v>0</v>
      </c>
    </row>
    <row r="2857" spans="7:11" hidden="1" x14ac:dyDescent="0.25">
      <c r="G2857">
        <f t="shared" si="221"/>
        <v>0</v>
      </c>
      <c r="H2857">
        <f t="shared" si="222"/>
        <v>0</v>
      </c>
      <c r="I2857" s="141">
        <f t="shared" si="223"/>
        <v>0</v>
      </c>
      <c r="J2857">
        <f t="shared" si="224"/>
        <v>0</v>
      </c>
      <c r="K2857" s="141">
        <f t="shared" si="225"/>
        <v>0</v>
      </c>
    </row>
    <row r="2858" spans="7:11" hidden="1" x14ac:dyDescent="0.25">
      <c r="G2858">
        <f t="shared" si="221"/>
        <v>0</v>
      </c>
      <c r="H2858">
        <f t="shared" si="222"/>
        <v>0</v>
      </c>
      <c r="I2858" s="141">
        <f t="shared" si="223"/>
        <v>0</v>
      </c>
      <c r="J2858">
        <f t="shared" si="224"/>
        <v>0</v>
      </c>
      <c r="K2858" s="141">
        <f t="shared" si="225"/>
        <v>0</v>
      </c>
    </row>
    <row r="2859" spans="7:11" hidden="1" x14ac:dyDescent="0.25">
      <c r="G2859">
        <f t="shared" si="221"/>
        <v>0</v>
      </c>
      <c r="H2859">
        <f t="shared" si="222"/>
        <v>0</v>
      </c>
      <c r="I2859" s="141">
        <f t="shared" si="223"/>
        <v>0</v>
      </c>
      <c r="J2859">
        <f t="shared" si="224"/>
        <v>0</v>
      </c>
      <c r="K2859" s="141">
        <f t="shared" si="225"/>
        <v>0</v>
      </c>
    </row>
    <row r="2860" spans="7:11" hidden="1" x14ac:dyDescent="0.25">
      <c r="G2860">
        <f t="shared" si="221"/>
        <v>0</v>
      </c>
      <c r="H2860">
        <f t="shared" si="222"/>
        <v>0</v>
      </c>
      <c r="I2860" s="141">
        <f t="shared" si="223"/>
        <v>0</v>
      </c>
      <c r="J2860">
        <f t="shared" si="224"/>
        <v>0</v>
      </c>
      <c r="K2860" s="141">
        <f t="shared" si="225"/>
        <v>0</v>
      </c>
    </row>
    <row r="2861" spans="7:11" hidden="1" x14ac:dyDescent="0.25">
      <c r="G2861">
        <f t="shared" si="221"/>
        <v>0</v>
      </c>
      <c r="H2861">
        <f t="shared" si="222"/>
        <v>0</v>
      </c>
      <c r="I2861" s="141">
        <f t="shared" si="223"/>
        <v>0</v>
      </c>
      <c r="J2861">
        <f t="shared" si="224"/>
        <v>0</v>
      </c>
      <c r="K2861" s="141">
        <f t="shared" si="225"/>
        <v>0</v>
      </c>
    </row>
    <row r="2862" spans="7:11" hidden="1" x14ac:dyDescent="0.25">
      <c r="G2862">
        <f t="shared" si="221"/>
        <v>0</v>
      </c>
      <c r="H2862">
        <f t="shared" si="222"/>
        <v>0</v>
      </c>
      <c r="I2862" s="141">
        <f t="shared" si="223"/>
        <v>0</v>
      </c>
      <c r="J2862">
        <f t="shared" si="224"/>
        <v>0</v>
      </c>
      <c r="K2862" s="141">
        <f t="shared" si="225"/>
        <v>0</v>
      </c>
    </row>
    <row r="2863" spans="7:11" hidden="1" x14ac:dyDescent="0.25">
      <c r="G2863">
        <f t="shared" si="221"/>
        <v>0</v>
      </c>
      <c r="H2863">
        <f t="shared" si="222"/>
        <v>0</v>
      </c>
      <c r="I2863" s="141">
        <f t="shared" si="223"/>
        <v>0</v>
      </c>
      <c r="J2863">
        <f t="shared" si="224"/>
        <v>0</v>
      </c>
      <c r="K2863" s="141">
        <f t="shared" si="225"/>
        <v>0</v>
      </c>
    </row>
    <row r="2864" spans="7:11" hidden="1" x14ac:dyDescent="0.25">
      <c r="G2864">
        <f t="shared" si="221"/>
        <v>0</v>
      </c>
      <c r="H2864">
        <f t="shared" si="222"/>
        <v>0</v>
      </c>
      <c r="I2864" s="141">
        <f t="shared" si="223"/>
        <v>0</v>
      </c>
      <c r="J2864">
        <f t="shared" si="224"/>
        <v>0</v>
      </c>
      <c r="K2864" s="141">
        <f t="shared" si="225"/>
        <v>0</v>
      </c>
    </row>
    <row r="2865" spans="7:11" hidden="1" x14ac:dyDescent="0.25">
      <c r="G2865">
        <f t="shared" si="221"/>
        <v>0</v>
      </c>
      <c r="H2865">
        <f t="shared" si="222"/>
        <v>0</v>
      </c>
      <c r="I2865" s="141">
        <f t="shared" si="223"/>
        <v>0</v>
      </c>
      <c r="J2865">
        <f t="shared" si="224"/>
        <v>0</v>
      </c>
      <c r="K2865" s="141">
        <f t="shared" si="225"/>
        <v>0</v>
      </c>
    </row>
    <row r="2866" spans="7:11" hidden="1" x14ac:dyDescent="0.25">
      <c r="G2866">
        <f t="shared" si="221"/>
        <v>0</v>
      </c>
      <c r="H2866">
        <f t="shared" si="222"/>
        <v>0</v>
      </c>
      <c r="I2866" s="141">
        <f t="shared" si="223"/>
        <v>0</v>
      </c>
      <c r="J2866">
        <f t="shared" si="224"/>
        <v>0</v>
      </c>
      <c r="K2866" s="141">
        <f t="shared" si="225"/>
        <v>0</v>
      </c>
    </row>
    <row r="2867" spans="7:11" hidden="1" x14ac:dyDescent="0.25">
      <c r="G2867">
        <f t="shared" si="221"/>
        <v>0</v>
      </c>
      <c r="H2867">
        <f t="shared" si="222"/>
        <v>0</v>
      </c>
      <c r="I2867" s="141">
        <f t="shared" si="223"/>
        <v>0</v>
      </c>
      <c r="J2867">
        <f t="shared" si="224"/>
        <v>0</v>
      </c>
      <c r="K2867" s="141">
        <f t="shared" si="225"/>
        <v>0</v>
      </c>
    </row>
    <row r="2868" spans="7:11" hidden="1" x14ac:dyDescent="0.25">
      <c r="G2868">
        <f t="shared" si="221"/>
        <v>0</v>
      </c>
      <c r="H2868">
        <f t="shared" si="222"/>
        <v>0</v>
      </c>
      <c r="I2868" s="141">
        <f t="shared" si="223"/>
        <v>0</v>
      </c>
      <c r="J2868">
        <f t="shared" si="224"/>
        <v>0</v>
      </c>
      <c r="K2868" s="141">
        <f t="shared" si="225"/>
        <v>0</v>
      </c>
    </row>
    <row r="2869" spans="7:11" hidden="1" x14ac:dyDescent="0.25">
      <c r="G2869">
        <f t="shared" si="221"/>
        <v>0</v>
      </c>
      <c r="H2869">
        <f t="shared" si="222"/>
        <v>0</v>
      </c>
      <c r="I2869" s="141">
        <f t="shared" si="223"/>
        <v>0</v>
      </c>
      <c r="J2869">
        <f t="shared" si="224"/>
        <v>0</v>
      </c>
      <c r="K2869" s="141">
        <f t="shared" si="225"/>
        <v>0</v>
      </c>
    </row>
    <row r="2870" spans="7:11" hidden="1" x14ac:dyDescent="0.25">
      <c r="G2870">
        <f t="shared" si="221"/>
        <v>0</v>
      </c>
      <c r="H2870">
        <f t="shared" si="222"/>
        <v>0</v>
      </c>
      <c r="I2870" s="141">
        <f t="shared" si="223"/>
        <v>0</v>
      </c>
      <c r="J2870">
        <f t="shared" si="224"/>
        <v>0</v>
      </c>
      <c r="K2870" s="141">
        <f t="shared" si="225"/>
        <v>0</v>
      </c>
    </row>
    <row r="2871" spans="7:11" hidden="1" x14ac:dyDescent="0.25">
      <c r="G2871">
        <f t="shared" si="221"/>
        <v>0</v>
      </c>
      <c r="H2871">
        <f t="shared" si="222"/>
        <v>0</v>
      </c>
      <c r="I2871" s="141">
        <f t="shared" si="223"/>
        <v>0</v>
      </c>
      <c r="J2871">
        <f t="shared" si="224"/>
        <v>0</v>
      </c>
      <c r="K2871" s="141">
        <f t="shared" si="225"/>
        <v>0</v>
      </c>
    </row>
    <row r="2872" spans="7:11" hidden="1" x14ac:dyDescent="0.25">
      <c r="G2872">
        <f t="shared" si="221"/>
        <v>0</v>
      </c>
      <c r="H2872">
        <f t="shared" si="222"/>
        <v>0</v>
      </c>
      <c r="I2872" s="141">
        <f t="shared" si="223"/>
        <v>0</v>
      </c>
      <c r="J2872">
        <f t="shared" si="224"/>
        <v>0</v>
      </c>
      <c r="K2872" s="141">
        <f t="shared" si="225"/>
        <v>0</v>
      </c>
    </row>
    <row r="2873" spans="7:11" hidden="1" x14ac:dyDescent="0.25">
      <c r="G2873">
        <f t="shared" si="221"/>
        <v>0</v>
      </c>
      <c r="H2873">
        <f t="shared" si="222"/>
        <v>0</v>
      </c>
      <c r="I2873" s="141">
        <f t="shared" si="223"/>
        <v>0</v>
      </c>
      <c r="J2873">
        <f t="shared" si="224"/>
        <v>0</v>
      </c>
      <c r="K2873" s="141">
        <f t="shared" si="225"/>
        <v>0</v>
      </c>
    </row>
    <row r="2874" spans="7:11" hidden="1" x14ac:dyDescent="0.25">
      <c r="G2874">
        <f t="shared" si="221"/>
        <v>0</v>
      </c>
      <c r="H2874">
        <f t="shared" si="222"/>
        <v>0</v>
      </c>
      <c r="I2874" s="141">
        <f t="shared" si="223"/>
        <v>0</v>
      </c>
      <c r="J2874">
        <f t="shared" si="224"/>
        <v>0</v>
      </c>
      <c r="K2874" s="141">
        <f t="shared" si="225"/>
        <v>0</v>
      </c>
    </row>
    <row r="2875" spans="7:11" hidden="1" x14ac:dyDescent="0.25">
      <c r="G2875">
        <f t="shared" si="221"/>
        <v>0</v>
      </c>
      <c r="H2875">
        <f t="shared" si="222"/>
        <v>0</v>
      </c>
      <c r="I2875" s="141">
        <f t="shared" si="223"/>
        <v>0</v>
      </c>
      <c r="J2875">
        <f t="shared" si="224"/>
        <v>0</v>
      </c>
      <c r="K2875" s="141">
        <f t="shared" si="225"/>
        <v>0</v>
      </c>
    </row>
    <row r="2876" spans="7:11" hidden="1" x14ac:dyDescent="0.25">
      <c r="G2876">
        <f t="shared" si="221"/>
        <v>0</v>
      </c>
      <c r="H2876">
        <f t="shared" si="222"/>
        <v>0</v>
      </c>
      <c r="I2876" s="141">
        <f t="shared" si="223"/>
        <v>0</v>
      </c>
      <c r="J2876">
        <f t="shared" si="224"/>
        <v>0</v>
      </c>
      <c r="K2876" s="141">
        <f t="shared" si="225"/>
        <v>0</v>
      </c>
    </row>
    <row r="2877" spans="7:11" hidden="1" x14ac:dyDescent="0.25">
      <c r="G2877">
        <f t="shared" si="221"/>
        <v>0</v>
      </c>
      <c r="H2877">
        <f t="shared" si="222"/>
        <v>0</v>
      </c>
      <c r="I2877" s="141">
        <f t="shared" si="223"/>
        <v>0</v>
      </c>
      <c r="J2877">
        <f t="shared" si="224"/>
        <v>0</v>
      </c>
      <c r="K2877" s="141">
        <f t="shared" si="225"/>
        <v>0</v>
      </c>
    </row>
    <row r="2878" spans="7:11" hidden="1" x14ac:dyDescent="0.25">
      <c r="G2878">
        <f t="shared" si="221"/>
        <v>0</v>
      </c>
      <c r="H2878">
        <f t="shared" si="222"/>
        <v>0</v>
      </c>
      <c r="I2878" s="141">
        <f t="shared" si="223"/>
        <v>0</v>
      </c>
      <c r="J2878">
        <f t="shared" si="224"/>
        <v>0</v>
      </c>
      <c r="K2878" s="141">
        <f t="shared" si="225"/>
        <v>0</v>
      </c>
    </row>
    <row r="2879" spans="7:11" hidden="1" x14ac:dyDescent="0.25">
      <c r="G2879">
        <f t="shared" si="221"/>
        <v>0</v>
      </c>
      <c r="H2879">
        <f t="shared" si="222"/>
        <v>0</v>
      </c>
      <c r="I2879" s="141">
        <f t="shared" si="223"/>
        <v>0</v>
      </c>
      <c r="J2879">
        <f t="shared" si="224"/>
        <v>0</v>
      </c>
      <c r="K2879" s="141">
        <f t="shared" si="225"/>
        <v>0</v>
      </c>
    </row>
    <row r="2880" spans="7:11" hidden="1" x14ac:dyDescent="0.25">
      <c r="G2880">
        <f t="shared" si="221"/>
        <v>0</v>
      </c>
      <c r="H2880">
        <f t="shared" si="222"/>
        <v>0</v>
      </c>
      <c r="I2880" s="141">
        <f t="shared" si="223"/>
        <v>0</v>
      </c>
      <c r="J2880">
        <f t="shared" si="224"/>
        <v>0</v>
      </c>
      <c r="K2880" s="141">
        <f t="shared" si="225"/>
        <v>0</v>
      </c>
    </row>
    <row r="2881" spans="7:11" hidden="1" x14ac:dyDescent="0.25">
      <c r="G2881">
        <f t="shared" si="221"/>
        <v>0</v>
      </c>
      <c r="H2881">
        <f t="shared" si="222"/>
        <v>0</v>
      </c>
      <c r="I2881" s="141">
        <f t="shared" si="223"/>
        <v>0</v>
      </c>
      <c r="J2881">
        <f t="shared" si="224"/>
        <v>0</v>
      </c>
      <c r="K2881" s="141">
        <f t="shared" si="225"/>
        <v>0</v>
      </c>
    </row>
    <row r="2882" spans="7:11" hidden="1" x14ac:dyDescent="0.25">
      <c r="G2882">
        <f t="shared" ref="G2882:G2945" si="226">A2882</f>
        <v>0</v>
      </c>
      <c r="H2882">
        <f t="shared" ref="H2882:H2945" si="227">B2882</f>
        <v>0</v>
      </c>
      <c r="I2882" s="141">
        <f t="shared" ref="I2882:I2945" si="228">C2882</f>
        <v>0</v>
      </c>
      <c r="J2882">
        <f t="shared" ref="J2882:J2945" si="229">D2882</f>
        <v>0</v>
      </c>
      <c r="K2882" s="141">
        <f t="shared" ref="K2882:K2945" si="230">E2882</f>
        <v>0</v>
      </c>
    </row>
    <row r="2883" spans="7:11" hidden="1" x14ac:dyDescent="0.25">
      <c r="G2883">
        <f t="shared" si="226"/>
        <v>0</v>
      </c>
      <c r="H2883">
        <f t="shared" si="227"/>
        <v>0</v>
      </c>
      <c r="I2883" s="141">
        <f t="shared" si="228"/>
        <v>0</v>
      </c>
      <c r="J2883">
        <f t="shared" si="229"/>
        <v>0</v>
      </c>
      <c r="K2883" s="141">
        <f t="shared" si="230"/>
        <v>0</v>
      </c>
    </row>
    <row r="2884" spans="7:11" hidden="1" x14ac:dyDescent="0.25">
      <c r="G2884">
        <f t="shared" si="226"/>
        <v>0</v>
      </c>
      <c r="H2884">
        <f t="shared" si="227"/>
        <v>0</v>
      </c>
      <c r="I2884" s="141">
        <f t="shared" si="228"/>
        <v>0</v>
      </c>
      <c r="J2884">
        <f t="shared" si="229"/>
        <v>0</v>
      </c>
      <c r="K2884" s="141">
        <f t="shared" si="230"/>
        <v>0</v>
      </c>
    </row>
    <row r="2885" spans="7:11" hidden="1" x14ac:dyDescent="0.25">
      <c r="G2885">
        <f t="shared" si="226"/>
        <v>0</v>
      </c>
      <c r="H2885">
        <f t="shared" si="227"/>
        <v>0</v>
      </c>
      <c r="I2885" s="141">
        <f t="shared" si="228"/>
        <v>0</v>
      </c>
      <c r="J2885">
        <f t="shared" si="229"/>
        <v>0</v>
      </c>
      <c r="K2885" s="141">
        <f t="shared" si="230"/>
        <v>0</v>
      </c>
    </row>
    <row r="2886" spans="7:11" hidden="1" x14ac:dyDescent="0.25">
      <c r="G2886">
        <f t="shared" si="226"/>
        <v>0</v>
      </c>
      <c r="H2886">
        <f t="shared" si="227"/>
        <v>0</v>
      </c>
      <c r="I2886" s="141">
        <f t="shared" si="228"/>
        <v>0</v>
      </c>
      <c r="J2886">
        <f t="shared" si="229"/>
        <v>0</v>
      </c>
      <c r="K2886" s="141">
        <f t="shared" si="230"/>
        <v>0</v>
      </c>
    </row>
    <row r="2887" spans="7:11" hidden="1" x14ac:dyDescent="0.25">
      <c r="G2887">
        <f t="shared" si="226"/>
        <v>0</v>
      </c>
      <c r="H2887">
        <f t="shared" si="227"/>
        <v>0</v>
      </c>
      <c r="I2887" s="141">
        <f t="shared" si="228"/>
        <v>0</v>
      </c>
      <c r="J2887">
        <f t="shared" si="229"/>
        <v>0</v>
      </c>
      <c r="K2887" s="141">
        <f t="shared" si="230"/>
        <v>0</v>
      </c>
    </row>
    <row r="2888" spans="7:11" hidden="1" x14ac:dyDescent="0.25">
      <c r="G2888">
        <f t="shared" si="226"/>
        <v>0</v>
      </c>
      <c r="H2888">
        <f t="shared" si="227"/>
        <v>0</v>
      </c>
      <c r="I2888" s="141">
        <f t="shared" si="228"/>
        <v>0</v>
      </c>
      <c r="J2888">
        <f t="shared" si="229"/>
        <v>0</v>
      </c>
      <c r="K2888" s="141">
        <f t="shared" si="230"/>
        <v>0</v>
      </c>
    </row>
    <row r="2889" spans="7:11" hidden="1" x14ac:dyDescent="0.25">
      <c r="G2889">
        <f t="shared" si="226"/>
        <v>0</v>
      </c>
      <c r="H2889">
        <f t="shared" si="227"/>
        <v>0</v>
      </c>
      <c r="I2889" s="141">
        <f t="shared" si="228"/>
        <v>0</v>
      </c>
      <c r="J2889">
        <f t="shared" si="229"/>
        <v>0</v>
      </c>
      <c r="K2889" s="141">
        <f t="shared" si="230"/>
        <v>0</v>
      </c>
    </row>
    <row r="2890" spans="7:11" hidden="1" x14ac:dyDescent="0.25">
      <c r="G2890">
        <f t="shared" si="226"/>
        <v>0</v>
      </c>
      <c r="H2890">
        <f t="shared" si="227"/>
        <v>0</v>
      </c>
      <c r="I2890" s="141">
        <f t="shared" si="228"/>
        <v>0</v>
      </c>
      <c r="J2890">
        <f t="shared" si="229"/>
        <v>0</v>
      </c>
      <c r="K2890" s="141">
        <f t="shared" si="230"/>
        <v>0</v>
      </c>
    </row>
    <row r="2891" spans="7:11" hidden="1" x14ac:dyDescent="0.25">
      <c r="G2891">
        <f t="shared" si="226"/>
        <v>0</v>
      </c>
      <c r="H2891">
        <f t="shared" si="227"/>
        <v>0</v>
      </c>
      <c r="I2891" s="141">
        <f t="shared" si="228"/>
        <v>0</v>
      </c>
      <c r="J2891">
        <f t="shared" si="229"/>
        <v>0</v>
      </c>
      <c r="K2891" s="141">
        <f t="shared" si="230"/>
        <v>0</v>
      </c>
    </row>
    <row r="2892" spans="7:11" hidden="1" x14ac:dyDescent="0.25">
      <c r="G2892">
        <f t="shared" si="226"/>
        <v>0</v>
      </c>
      <c r="H2892">
        <f t="shared" si="227"/>
        <v>0</v>
      </c>
      <c r="I2892" s="141">
        <f t="shared" si="228"/>
        <v>0</v>
      </c>
      <c r="J2892">
        <f t="shared" si="229"/>
        <v>0</v>
      </c>
      <c r="K2892" s="141">
        <f t="shared" si="230"/>
        <v>0</v>
      </c>
    </row>
    <row r="2893" spans="7:11" hidden="1" x14ac:dyDescent="0.25">
      <c r="G2893">
        <f t="shared" si="226"/>
        <v>0</v>
      </c>
      <c r="H2893">
        <f t="shared" si="227"/>
        <v>0</v>
      </c>
      <c r="I2893" s="141">
        <f t="shared" si="228"/>
        <v>0</v>
      </c>
      <c r="J2893">
        <f t="shared" si="229"/>
        <v>0</v>
      </c>
      <c r="K2893" s="141">
        <f t="shared" si="230"/>
        <v>0</v>
      </c>
    </row>
    <row r="2894" spans="7:11" hidden="1" x14ac:dyDescent="0.25">
      <c r="G2894">
        <f t="shared" si="226"/>
        <v>0</v>
      </c>
      <c r="H2894">
        <f t="shared" si="227"/>
        <v>0</v>
      </c>
      <c r="I2894" s="141">
        <f t="shared" si="228"/>
        <v>0</v>
      </c>
      <c r="J2894">
        <f t="shared" si="229"/>
        <v>0</v>
      </c>
      <c r="K2894" s="141">
        <f t="shared" si="230"/>
        <v>0</v>
      </c>
    </row>
    <row r="2895" spans="7:11" hidden="1" x14ac:dyDescent="0.25">
      <c r="G2895">
        <f t="shared" si="226"/>
        <v>0</v>
      </c>
      <c r="H2895">
        <f t="shared" si="227"/>
        <v>0</v>
      </c>
      <c r="I2895" s="141">
        <f t="shared" si="228"/>
        <v>0</v>
      </c>
      <c r="J2895">
        <f t="shared" si="229"/>
        <v>0</v>
      </c>
      <c r="K2895" s="141">
        <f t="shared" si="230"/>
        <v>0</v>
      </c>
    </row>
    <row r="2896" spans="7:11" hidden="1" x14ac:dyDescent="0.25">
      <c r="G2896">
        <f t="shared" si="226"/>
        <v>0</v>
      </c>
      <c r="H2896">
        <f t="shared" si="227"/>
        <v>0</v>
      </c>
      <c r="I2896" s="141">
        <f t="shared" si="228"/>
        <v>0</v>
      </c>
      <c r="J2896">
        <f t="shared" si="229"/>
        <v>0</v>
      </c>
      <c r="K2896" s="141">
        <f t="shared" si="230"/>
        <v>0</v>
      </c>
    </row>
    <row r="2897" spans="7:11" hidden="1" x14ac:dyDescent="0.25">
      <c r="G2897">
        <f t="shared" si="226"/>
        <v>0</v>
      </c>
      <c r="H2897">
        <f t="shared" si="227"/>
        <v>0</v>
      </c>
      <c r="I2897" s="141">
        <f t="shared" si="228"/>
        <v>0</v>
      </c>
      <c r="J2897">
        <f t="shared" si="229"/>
        <v>0</v>
      </c>
      <c r="K2897" s="141">
        <f t="shared" si="230"/>
        <v>0</v>
      </c>
    </row>
    <row r="2898" spans="7:11" hidden="1" x14ac:dyDescent="0.25">
      <c r="G2898">
        <f t="shared" si="226"/>
        <v>0</v>
      </c>
      <c r="H2898">
        <f t="shared" si="227"/>
        <v>0</v>
      </c>
      <c r="I2898" s="141">
        <f t="shared" si="228"/>
        <v>0</v>
      </c>
      <c r="J2898">
        <f t="shared" si="229"/>
        <v>0</v>
      </c>
      <c r="K2898" s="141">
        <f t="shared" si="230"/>
        <v>0</v>
      </c>
    </row>
    <row r="2899" spans="7:11" hidden="1" x14ac:dyDescent="0.25">
      <c r="G2899">
        <f t="shared" si="226"/>
        <v>0</v>
      </c>
      <c r="H2899">
        <f t="shared" si="227"/>
        <v>0</v>
      </c>
      <c r="I2899" s="141">
        <f t="shared" si="228"/>
        <v>0</v>
      </c>
      <c r="J2899">
        <f t="shared" si="229"/>
        <v>0</v>
      </c>
      <c r="K2899" s="141">
        <f t="shared" si="230"/>
        <v>0</v>
      </c>
    </row>
    <row r="2900" spans="7:11" hidden="1" x14ac:dyDescent="0.25">
      <c r="G2900">
        <f t="shared" si="226"/>
        <v>0</v>
      </c>
      <c r="H2900">
        <f t="shared" si="227"/>
        <v>0</v>
      </c>
      <c r="I2900" s="141">
        <f t="shared" si="228"/>
        <v>0</v>
      </c>
      <c r="J2900">
        <f t="shared" si="229"/>
        <v>0</v>
      </c>
      <c r="K2900" s="141">
        <f t="shared" si="230"/>
        <v>0</v>
      </c>
    </row>
    <row r="2901" spans="7:11" hidden="1" x14ac:dyDescent="0.25">
      <c r="G2901">
        <f t="shared" si="226"/>
        <v>0</v>
      </c>
      <c r="H2901">
        <f t="shared" si="227"/>
        <v>0</v>
      </c>
      <c r="I2901" s="141">
        <f t="shared" si="228"/>
        <v>0</v>
      </c>
      <c r="J2901">
        <f t="shared" si="229"/>
        <v>0</v>
      </c>
      <c r="K2901" s="141">
        <f t="shared" si="230"/>
        <v>0</v>
      </c>
    </row>
    <row r="2902" spans="7:11" hidden="1" x14ac:dyDescent="0.25">
      <c r="G2902">
        <f t="shared" si="226"/>
        <v>0</v>
      </c>
      <c r="H2902">
        <f t="shared" si="227"/>
        <v>0</v>
      </c>
      <c r="I2902" s="141">
        <f t="shared" si="228"/>
        <v>0</v>
      </c>
      <c r="J2902">
        <f t="shared" si="229"/>
        <v>0</v>
      </c>
      <c r="K2902" s="141">
        <f t="shared" si="230"/>
        <v>0</v>
      </c>
    </row>
    <row r="2903" spans="7:11" hidden="1" x14ac:dyDescent="0.25">
      <c r="G2903">
        <f t="shared" si="226"/>
        <v>0</v>
      </c>
      <c r="H2903">
        <f t="shared" si="227"/>
        <v>0</v>
      </c>
      <c r="I2903" s="141">
        <f t="shared" si="228"/>
        <v>0</v>
      </c>
      <c r="J2903">
        <f t="shared" si="229"/>
        <v>0</v>
      </c>
      <c r="K2903" s="141">
        <f t="shared" si="230"/>
        <v>0</v>
      </c>
    </row>
    <row r="2904" spans="7:11" hidden="1" x14ac:dyDescent="0.25">
      <c r="G2904">
        <f t="shared" si="226"/>
        <v>0</v>
      </c>
      <c r="H2904">
        <f t="shared" si="227"/>
        <v>0</v>
      </c>
      <c r="I2904" s="141">
        <f t="shared" si="228"/>
        <v>0</v>
      </c>
      <c r="J2904">
        <f t="shared" si="229"/>
        <v>0</v>
      </c>
      <c r="K2904" s="141">
        <f t="shared" si="230"/>
        <v>0</v>
      </c>
    </row>
    <row r="2905" spans="7:11" hidden="1" x14ac:dyDescent="0.25">
      <c r="G2905">
        <f t="shared" si="226"/>
        <v>0</v>
      </c>
      <c r="H2905">
        <f t="shared" si="227"/>
        <v>0</v>
      </c>
      <c r="I2905" s="141">
        <f t="shared" si="228"/>
        <v>0</v>
      </c>
      <c r="J2905">
        <f t="shared" si="229"/>
        <v>0</v>
      </c>
      <c r="K2905" s="141">
        <f t="shared" si="230"/>
        <v>0</v>
      </c>
    </row>
    <row r="2906" spans="7:11" hidden="1" x14ac:dyDescent="0.25">
      <c r="G2906">
        <f t="shared" si="226"/>
        <v>0</v>
      </c>
      <c r="H2906">
        <f t="shared" si="227"/>
        <v>0</v>
      </c>
      <c r="I2906" s="141">
        <f t="shared" si="228"/>
        <v>0</v>
      </c>
      <c r="J2906">
        <f t="shared" si="229"/>
        <v>0</v>
      </c>
      <c r="K2906" s="141">
        <f t="shared" si="230"/>
        <v>0</v>
      </c>
    </row>
    <row r="2907" spans="7:11" hidden="1" x14ac:dyDescent="0.25">
      <c r="G2907">
        <f t="shared" si="226"/>
        <v>0</v>
      </c>
      <c r="H2907">
        <f t="shared" si="227"/>
        <v>0</v>
      </c>
      <c r="I2907" s="141">
        <f t="shared" si="228"/>
        <v>0</v>
      </c>
      <c r="J2907">
        <f t="shared" si="229"/>
        <v>0</v>
      </c>
      <c r="K2907" s="141">
        <f t="shared" si="230"/>
        <v>0</v>
      </c>
    </row>
    <row r="2908" spans="7:11" hidden="1" x14ac:dyDescent="0.25">
      <c r="G2908">
        <f t="shared" si="226"/>
        <v>0</v>
      </c>
      <c r="H2908">
        <f t="shared" si="227"/>
        <v>0</v>
      </c>
      <c r="I2908" s="141">
        <f t="shared" si="228"/>
        <v>0</v>
      </c>
      <c r="J2908">
        <f t="shared" si="229"/>
        <v>0</v>
      </c>
      <c r="K2908" s="141">
        <f t="shared" si="230"/>
        <v>0</v>
      </c>
    </row>
    <row r="2909" spans="7:11" hidden="1" x14ac:dyDescent="0.25">
      <c r="G2909">
        <f t="shared" si="226"/>
        <v>0</v>
      </c>
      <c r="H2909">
        <f t="shared" si="227"/>
        <v>0</v>
      </c>
      <c r="I2909" s="141">
        <f t="shared" si="228"/>
        <v>0</v>
      </c>
      <c r="J2909">
        <f t="shared" si="229"/>
        <v>0</v>
      </c>
      <c r="K2909" s="141">
        <f t="shared" si="230"/>
        <v>0</v>
      </c>
    </row>
    <row r="2910" spans="7:11" hidden="1" x14ac:dyDescent="0.25">
      <c r="G2910">
        <f t="shared" si="226"/>
        <v>0</v>
      </c>
      <c r="H2910">
        <f t="shared" si="227"/>
        <v>0</v>
      </c>
      <c r="I2910" s="141">
        <f t="shared" si="228"/>
        <v>0</v>
      </c>
      <c r="J2910">
        <f t="shared" si="229"/>
        <v>0</v>
      </c>
      <c r="K2910" s="141">
        <f t="shared" si="230"/>
        <v>0</v>
      </c>
    </row>
    <row r="2911" spans="7:11" hidden="1" x14ac:dyDescent="0.25">
      <c r="G2911">
        <f t="shared" si="226"/>
        <v>0</v>
      </c>
      <c r="H2911">
        <f t="shared" si="227"/>
        <v>0</v>
      </c>
      <c r="I2911" s="141">
        <f t="shared" si="228"/>
        <v>0</v>
      </c>
      <c r="J2911">
        <f t="shared" si="229"/>
        <v>0</v>
      </c>
      <c r="K2911" s="141">
        <f t="shared" si="230"/>
        <v>0</v>
      </c>
    </row>
    <row r="2912" spans="7:11" hidden="1" x14ac:dyDescent="0.25">
      <c r="G2912">
        <f t="shared" si="226"/>
        <v>0</v>
      </c>
      <c r="H2912">
        <f t="shared" si="227"/>
        <v>0</v>
      </c>
      <c r="I2912" s="141">
        <f t="shared" si="228"/>
        <v>0</v>
      </c>
      <c r="J2912">
        <f t="shared" si="229"/>
        <v>0</v>
      </c>
      <c r="K2912" s="141">
        <f t="shared" si="230"/>
        <v>0</v>
      </c>
    </row>
    <row r="2913" spans="7:11" hidden="1" x14ac:dyDescent="0.25">
      <c r="G2913">
        <f t="shared" si="226"/>
        <v>0</v>
      </c>
      <c r="H2913">
        <f t="shared" si="227"/>
        <v>0</v>
      </c>
      <c r="I2913" s="141">
        <f t="shared" si="228"/>
        <v>0</v>
      </c>
      <c r="J2913">
        <f t="shared" si="229"/>
        <v>0</v>
      </c>
      <c r="K2913" s="141">
        <f t="shared" si="230"/>
        <v>0</v>
      </c>
    </row>
    <row r="2914" spans="7:11" hidden="1" x14ac:dyDescent="0.25">
      <c r="G2914">
        <f t="shared" si="226"/>
        <v>0</v>
      </c>
      <c r="H2914">
        <f t="shared" si="227"/>
        <v>0</v>
      </c>
      <c r="I2914" s="141">
        <f t="shared" si="228"/>
        <v>0</v>
      </c>
      <c r="J2914">
        <f t="shared" si="229"/>
        <v>0</v>
      </c>
      <c r="K2914" s="141">
        <f t="shared" si="230"/>
        <v>0</v>
      </c>
    </row>
    <row r="2915" spans="7:11" hidden="1" x14ac:dyDescent="0.25">
      <c r="G2915">
        <f t="shared" si="226"/>
        <v>0</v>
      </c>
      <c r="H2915">
        <f t="shared" si="227"/>
        <v>0</v>
      </c>
      <c r="I2915" s="141">
        <f t="shared" si="228"/>
        <v>0</v>
      </c>
      <c r="J2915">
        <f t="shared" si="229"/>
        <v>0</v>
      </c>
      <c r="K2915" s="141">
        <f t="shared" si="230"/>
        <v>0</v>
      </c>
    </row>
    <row r="2916" spans="7:11" hidden="1" x14ac:dyDescent="0.25">
      <c r="G2916">
        <f t="shared" si="226"/>
        <v>0</v>
      </c>
      <c r="H2916">
        <f t="shared" si="227"/>
        <v>0</v>
      </c>
      <c r="I2916" s="141">
        <f t="shared" si="228"/>
        <v>0</v>
      </c>
      <c r="J2916">
        <f t="shared" si="229"/>
        <v>0</v>
      </c>
      <c r="K2916" s="141">
        <f t="shared" si="230"/>
        <v>0</v>
      </c>
    </row>
    <row r="2917" spans="7:11" hidden="1" x14ac:dyDescent="0.25">
      <c r="G2917">
        <f t="shared" si="226"/>
        <v>0</v>
      </c>
      <c r="H2917">
        <f t="shared" si="227"/>
        <v>0</v>
      </c>
      <c r="I2917" s="141">
        <f t="shared" si="228"/>
        <v>0</v>
      </c>
      <c r="J2917">
        <f t="shared" si="229"/>
        <v>0</v>
      </c>
      <c r="K2917" s="141">
        <f t="shared" si="230"/>
        <v>0</v>
      </c>
    </row>
    <row r="2918" spans="7:11" hidden="1" x14ac:dyDescent="0.25">
      <c r="G2918">
        <f t="shared" si="226"/>
        <v>0</v>
      </c>
      <c r="H2918">
        <f t="shared" si="227"/>
        <v>0</v>
      </c>
      <c r="I2918" s="141">
        <f t="shared" si="228"/>
        <v>0</v>
      </c>
      <c r="J2918">
        <f t="shared" si="229"/>
        <v>0</v>
      </c>
      <c r="K2918" s="141">
        <f t="shared" si="230"/>
        <v>0</v>
      </c>
    </row>
    <row r="2919" spans="7:11" hidden="1" x14ac:dyDescent="0.25">
      <c r="G2919">
        <f t="shared" si="226"/>
        <v>0</v>
      </c>
      <c r="H2919">
        <f t="shared" si="227"/>
        <v>0</v>
      </c>
      <c r="I2919" s="141">
        <f t="shared" si="228"/>
        <v>0</v>
      </c>
      <c r="J2919">
        <f t="shared" si="229"/>
        <v>0</v>
      </c>
      <c r="K2919" s="141">
        <f t="shared" si="230"/>
        <v>0</v>
      </c>
    </row>
    <row r="2920" spans="7:11" hidden="1" x14ac:dyDescent="0.25">
      <c r="G2920">
        <f t="shared" si="226"/>
        <v>0</v>
      </c>
      <c r="H2920">
        <f t="shared" si="227"/>
        <v>0</v>
      </c>
      <c r="I2920" s="141">
        <f t="shared" si="228"/>
        <v>0</v>
      </c>
      <c r="J2920">
        <f t="shared" si="229"/>
        <v>0</v>
      </c>
      <c r="K2920" s="141">
        <f t="shared" si="230"/>
        <v>0</v>
      </c>
    </row>
    <row r="2921" spans="7:11" hidden="1" x14ac:dyDescent="0.25">
      <c r="G2921">
        <f t="shared" si="226"/>
        <v>0</v>
      </c>
      <c r="H2921">
        <f t="shared" si="227"/>
        <v>0</v>
      </c>
      <c r="I2921" s="141">
        <f t="shared" si="228"/>
        <v>0</v>
      </c>
      <c r="J2921">
        <f t="shared" si="229"/>
        <v>0</v>
      </c>
      <c r="K2921" s="141">
        <f t="shared" si="230"/>
        <v>0</v>
      </c>
    </row>
    <row r="2922" spans="7:11" hidden="1" x14ac:dyDescent="0.25">
      <c r="G2922">
        <f t="shared" si="226"/>
        <v>0</v>
      </c>
      <c r="H2922">
        <f t="shared" si="227"/>
        <v>0</v>
      </c>
      <c r="I2922" s="141">
        <f t="shared" si="228"/>
        <v>0</v>
      </c>
      <c r="J2922">
        <f t="shared" si="229"/>
        <v>0</v>
      </c>
      <c r="K2922" s="141">
        <f t="shared" si="230"/>
        <v>0</v>
      </c>
    </row>
    <row r="2923" spans="7:11" hidden="1" x14ac:dyDescent="0.25">
      <c r="G2923">
        <f t="shared" si="226"/>
        <v>0</v>
      </c>
      <c r="H2923">
        <f t="shared" si="227"/>
        <v>0</v>
      </c>
      <c r="I2923" s="141">
        <f t="shared" si="228"/>
        <v>0</v>
      </c>
      <c r="J2923">
        <f t="shared" si="229"/>
        <v>0</v>
      </c>
      <c r="K2923" s="141">
        <f t="shared" si="230"/>
        <v>0</v>
      </c>
    </row>
    <row r="2924" spans="7:11" hidden="1" x14ac:dyDescent="0.25">
      <c r="G2924">
        <f t="shared" si="226"/>
        <v>0</v>
      </c>
      <c r="H2924">
        <f t="shared" si="227"/>
        <v>0</v>
      </c>
      <c r="I2924" s="141">
        <f t="shared" si="228"/>
        <v>0</v>
      </c>
      <c r="J2924">
        <f t="shared" si="229"/>
        <v>0</v>
      </c>
      <c r="K2924" s="141">
        <f t="shared" si="230"/>
        <v>0</v>
      </c>
    </row>
    <row r="2925" spans="7:11" hidden="1" x14ac:dyDescent="0.25">
      <c r="G2925">
        <f t="shared" si="226"/>
        <v>0</v>
      </c>
      <c r="H2925">
        <f t="shared" si="227"/>
        <v>0</v>
      </c>
      <c r="I2925" s="141">
        <f t="shared" si="228"/>
        <v>0</v>
      </c>
      <c r="J2925">
        <f t="shared" si="229"/>
        <v>0</v>
      </c>
      <c r="K2925" s="141">
        <f t="shared" si="230"/>
        <v>0</v>
      </c>
    </row>
    <row r="2926" spans="7:11" hidden="1" x14ac:dyDescent="0.25">
      <c r="G2926">
        <f t="shared" si="226"/>
        <v>0</v>
      </c>
      <c r="H2926">
        <f t="shared" si="227"/>
        <v>0</v>
      </c>
      <c r="I2926" s="141">
        <f t="shared" si="228"/>
        <v>0</v>
      </c>
      <c r="J2926">
        <f t="shared" si="229"/>
        <v>0</v>
      </c>
      <c r="K2926" s="141">
        <f t="shared" si="230"/>
        <v>0</v>
      </c>
    </row>
    <row r="2927" spans="7:11" hidden="1" x14ac:dyDescent="0.25">
      <c r="G2927">
        <f t="shared" si="226"/>
        <v>0</v>
      </c>
      <c r="H2927">
        <f t="shared" si="227"/>
        <v>0</v>
      </c>
      <c r="I2927" s="141">
        <f t="shared" si="228"/>
        <v>0</v>
      </c>
      <c r="J2927">
        <f t="shared" si="229"/>
        <v>0</v>
      </c>
      <c r="K2927" s="141">
        <f t="shared" si="230"/>
        <v>0</v>
      </c>
    </row>
    <row r="2928" spans="7:11" hidden="1" x14ac:dyDescent="0.25">
      <c r="G2928">
        <f t="shared" si="226"/>
        <v>0</v>
      </c>
      <c r="H2928">
        <f t="shared" si="227"/>
        <v>0</v>
      </c>
      <c r="I2928" s="141">
        <f t="shared" si="228"/>
        <v>0</v>
      </c>
      <c r="J2928">
        <f t="shared" si="229"/>
        <v>0</v>
      </c>
      <c r="K2928" s="141">
        <f t="shared" si="230"/>
        <v>0</v>
      </c>
    </row>
    <row r="2929" spans="7:11" hidden="1" x14ac:dyDescent="0.25">
      <c r="G2929">
        <f t="shared" si="226"/>
        <v>0</v>
      </c>
      <c r="H2929">
        <f t="shared" si="227"/>
        <v>0</v>
      </c>
      <c r="I2929" s="141">
        <f t="shared" si="228"/>
        <v>0</v>
      </c>
      <c r="J2929">
        <f t="shared" si="229"/>
        <v>0</v>
      </c>
      <c r="K2929" s="141">
        <f t="shared" si="230"/>
        <v>0</v>
      </c>
    </row>
    <row r="2930" spans="7:11" hidden="1" x14ac:dyDescent="0.25">
      <c r="G2930">
        <f t="shared" si="226"/>
        <v>0</v>
      </c>
      <c r="H2930">
        <f t="shared" si="227"/>
        <v>0</v>
      </c>
      <c r="I2930" s="141">
        <f t="shared" si="228"/>
        <v>0</v>
      </c>
      <c r="J2930">
        <f t="shared" si="229"/>
        <v>0</v>
      </c>
      <c r="K2930" s="141">
        <f t="shared" si="230"/>
        <v>0</v>
      </c>
    </row>
    <row r="2931" spans="7:11" hidden="1" x14ac:dyDescent="0.25">
      <c r="G2931">
        <f t="shared" si="226"/>
        <v>0</v>
      </c>
      <c r="H2931">
        <f t="shared" si="227"/>
        <v>0</v>
      </c>
      <c r="I2931" s="141">
        <f t="shared" si="228"/>
        <v>0</v>
      </c>
      <c r="J2931">
        <f t="shared" si="229"/>
        <v>0</v>
      </c>
      <c r="K2931" s="141">
        <f t="shared" si="230"/>
        <v>0</v>
      </c>
    </row>
    <row r="2932" spans="7:11" hidden="1" x14ac:dyDescent="0.25">
      <c r="G2932">
        <f t="shared" si="226"/>
        <v>0</v>
      </c>
      <c r="H2932">
        <f t="shared" si="227"/>
        <v>0</v>
      </c>
      <c r="I2932" s="141">
        <f t="shared" si="228"/>
        <v>0</v>
      </c>
      <c r="J2932">
        <f t="shared" si="229"/>
        <v>0</v>
      </c>
      <c r="K2932" s="141">
        <f t="shared" si="230"/>
        <v>0</v>
      </c>
    </row>
    <row r="2933" spans="7:11" hidden="1" x14ac:dyDescent="0.25">
      <c r="G2933">
        <f t="shared" si="226"/>
        <v>0</v>
      </c>
      <c r="H2933">
        <f t="shared" si="227"/>
        <v>0</v>
      </c>
      <c r="I2933" s="141">
        <f t="shared" si="228"/>
        <v>0</v>
      </c>
      <c r="J2933">
        <f t="shared" si="229"/>
        <v>0</v>
      </c>
      <c r="K2933" s="141">
        <f t="shared" si="230"/>
        <v>0</v>
      </c>
    </row>
    <row r="2934" spans="7:11" hidden="1" x14ac:dyDescent="0.25">
      <c r="G2934">
        <f t="shared" si="226"/>
        <v>0</v>
      </c>
      <c r="H2934">
        <f t="shared" si="227"/>
        <v>0</v>
      </c>
      <c r="I2934" s="141">
        <f t="shared" si="228"/>
        <v>0</v>
      </c>
      <c r="J2934">
        <f t="shared" si="229"/>
        <v>0</v>
      </c>
      <c r="K2934" s="141">
        <f t="shared" si="230"/>
        <v>0</v>
      </c>
    </row>
    <row r="2935" spans="7:11" hidden="1" x14ac:dyDescent="0.25">
      <c r="G2935">
        <f t="shared" si="226"/>
        <v>0</v>
      </c>
      <c r="H2935">
        <f t="shared" si="227"/>
        <v>0</v>
      </c>
      <c r="I2935" s="141">
        <f t="shared" si="228"/>
        <v>0</v>
      </c>
      <c r="J2935">
        <f t="shared" si="229"/>
        <v>0</v>
      </c>
      <c r="K2935" s="141">
        <f t="shared" si="230"/>
        <v>0</v>
      </c>
    </row>
    <row r="2936" spans="7:11" hidden="1" x14ac:dyDescent="0.25">
      <c r="G2936">
        <f t="shared" si="226"/>
        <v>0</v>
      </c>
      <c r="H2936">
        <f t="shared" si="227"/>
        <v>0</v>
      </c>
      <c r="I2936" s="141">
        <f t="shared" si="228"/>
        <v>0</v>
      </c>
      <c r="J2936">
        <f t="shared" si="229"/>
        <v>0</v>
      </c>
      <c r="K2936" s="141">
        <f t="shared" si="230"/>
        <v>0</v>
      </c>
    </row>
    <row r="2937" spans="7:11" hidden="1" x14ac:dyDescent="0.25">
      <c r="G2937">
        <f t="shared" si="226"/>
        <v>0</v>
      </c>
      <c r="H2937">
        <f t="shared" si="227"/>
        <v>0</v>
      </c>
      <c r="I2937" s="141">
        <f t="shared" si="228"/>
        <v>0</v>
      </c>
      <c r="J2937">
        <f t="shared" si="229"/>
        <v>0</v>
      </c>
      <c r="K2937" s="141">
        <f t="shared" si="230"/>
        <v>0</v>
      </c>
    </row>
    <row r="2938" spans="7:11" hidden="1" x14ac:dyDescent="0.25">
      <c r="G2938">
        <f t="shared" si="226"/>
        <v>0</v>
      </c>
      <c r="H2938">
        <f t="shared" si="227"/>
        <v>0</v>
      </c>
      <c r="I2938" s="141">
        <f t="shared" si="228"/>
        <v>0</v>
      </c>
      <c r="J2938">
        <f t="shared" si="229"/>
        <v>0</v>
      </c>
      <c r="K2938" s="141">
        <f t="shared" si="230"/>
        <v>0</v>
      </c>
    </row>
    <row r="2939" spans="7:11" hidden="1" x14ac:dyDescent="0.25">
      <c r="G2939">
        <f t="shared" si="226"/>
        <v>0</v>
      </c>
      <c r="H2939">
        <f t="shared" si="227"/>
        <v>0</v>
      </c>
      <c r="I2939" s="141">
        <f t="shared" si="228"/>
        <v>0</v>
      </c>
      <c r="J2939">
        <f t="shared" si="229"/>
        <v>0</v>
      </c>
      <c r="K2939" s="141">
        <f t="shared" si="230"/>
        <v>0</v>
      </c>
    </row>
    <row r="2940" spans="7:11" hidden="1" x14ac:dyDescent="0.25">
      <c r="G2940">
        <f t="shared" si="226"/>
        <v>0</v>
      </c>
      <c r="H2940">
        <f t="shared" si="227"/>
        <v>0</v>
      </c>
      <c r="I2940" s="141">
        <f t="shared" si="228"/>
        <v>0</v>
      </c>
      <c r="J2940">
        <f t="shared" si="229"/>
        <v>0</v>
      </c>
      <c r="K2940" s="141">
        <f t="shared" si="230"/>
        <v>0</v>
      </c>
    </row>
    <row r="2941" spans="7:11" hidden="1" x14ac:dyDescent="0.25">
      <c r="G2941">
        <f t="shared" si="226"/>
        <v>0</v>
      </c>
      <c r="H2941">
        <f t="shared" si="227"/>
        <v>0</v>
      </c>
      <c r="I2941" s="141">
        <f t="shared" si="228"/>
        <v>0</v>
      </c>
      <c r="J2941">
        <f t="shared" si="229"/>
        <v>0</v>
      </c>
      <c r="K2941" s="141">
        <f t="shared" si="230"/>
        <v>0</v>
      </c>
    </row>
    <row r="2942" spans="7:11" hidden="1" x14ac:dyDescent="0.25">
      <c r="G2942">
        <f t="shared" si="226"/>
        <v>0</v>
      </c>
      <c r="H2942">
        <f t="shared" si="227"/>
        <v>0</v>
      </c>
      <c r="I2942" s="141">
        <f t="shared" si="228"/>
        <v>0</v>
      </c>
      <c r="J2942">
        <f t="shared" si="229"/>
        <v>0</v>
      </c>
      <c r="K2942" s="141">
        <f t="shared" si="230"/>
        <v>0</v>
      </c>
    </row>
    <row r="2943" spans="7:11" hidden="1" x14ac:dyDescent="0.25">
      <c r="G2943">
        <f t="shared" si="226"/>
        <v>0</v>
      </c>
      <c r="H2943">
        <f t="shared" si="227"/>
        <v>0</v>
      </c>
      <c r="I2943" s="141">
        <f t="shared" si="228"/>
        <v>0</v>
      </c>
      <c r="J2943">
        <f t="shared" si="229"/>
        <v>0</v>
      </c>
      <c r="K2943" s="141">
        <f t="shared" si="230"/>
        <v>0</v>
      </c>
    </row>
    <row r="2944" spans="7:11" hidden="1" x14ac:dyDescent="0.25">
      <c r="G2944">
        <f t="shared" si="226"/>
        <v>0</v>
      </c>
      <c r="H2944">
        <f t="shared" si="227"/>
        <v>0</v>
      </c>
      <c r="I2944" s="141">
        <f t="shared" si="228"/>
        <v>0</v>
      </c>
      <c r="J2944">
        <f t="shared" si="229"/>
        <v>0</v>
      </c>
      <c r="K2944" s="141">
        <f t="shared" si="230"/>
        <v>0</v>
      </c>
    </row>
    <row r="2945" spans="7:11" hidden="1" x14ac:dyDescent="0.25">
      <c r="G2945">
        <f t="shared" si="226"/>
        <v>0</v>
      </c>
      <c r="H2945">
        <f t="shared" si="227"/>
        <v>0</v>
      </c>
      <c r="I2945" s="141">
        <f t="shared" si="228"/>
        <v>0</v>
      </c>
      <c r="J2945">
        <f t="shared" si="229"/>
        <v>0</v>
      </c>
      <c r="K2945" s="141">
        <f t="shared" si="230"/>
        <v>0</v>
      </c>
    </row>
    <row r="2946" spans="7:11" hidden="1" x14ac:dyDescent="0.25">
      <c r="G2946">
        <f t="shared" ref="G2946:G3009" si="231">A2946</f>
        <v>0</v>
      </c>
      <c r="H2946">
        <f t="shared" ref="H2946:H3009" si="232">B2946</f>
        <v>0</v>
      </c>
      <c r="I2946" s="141">
        <f t="shared" ref="I2946:I3009" si="233">C2946</f>
        <v>0</v>
      </c>
      <c r="J2946">
        <f t="shared" ref="J2946:J3009" si="234">D2946</f>
        <v>0</v>
      </c>
      <c r="K2946" s="141">
        <f t="shared" ref="K2946:K3009" si="235">E2946</f>
        <v>0</v>
      </c>
    </row>
    <row r="2947" spans="7:11" hidden="1" x14ac:dyDescent="0.25">
      <c r="G2947">
        <f t="shared" si="231"/>
        <v>0</v>
      </c>
      <c r="H2947">
        <f t="shared" si="232"/>
        <v>0</v>
      </c>
      <c r="I2947" s="141">
        <f t="shared" si="233"/>
        <v>0</v>
      </c>
      <c r="J2947">
        <f t="shared" si="234"/>
        <v>0</v>
      </c>
      <c r="K2947" s="141">
        <f t="shared" si="235"/>
        <v>0</v>
      </c>
    </row>
    <row r="2948" spans="7:11" hidden="1" x14ac:dyDescent="0.25">
      <c r="G2948">
        <f t="shared" si="231"/>
        <v>0</v>
      </c>
      <c r="H2948">
        <f t="shared" si="232"/>
        <v>0</v>
      </c>
      <c r="I2948" s="141">
        <f t="shared" si="233"/>
        <v>0</v>
      </c>
      <c r="J2948">
        <f t="shared" si="234"/>
        <v>0</v>
      </c>
      <c r="K2948" s="141">
        <f t="shared" si="235"/>
        <v>0</v>
      </c>
    </row>
    <row r="2949" spans="7:11" hidden="1" x14ac:dyDescent="0.25">
      <c r="G2949">
        <f t="shared" si="231"/>
        <v>0</v>
      </c>
      <c r="H2949">
        <f t="shared" si="232"/>
        <v>0</v>
      </c>
      <c r="I2949" s="141">
        <f t="shared" si="233"/>
        <v>0</v>
      </c>
      <c r="J2949">
        <f t="shared" si="234"/>
        <v>0</v>
      </c>
      <c r="K2949" s="141">
        <f t="shared" si="235"/>
        <v>0</v>
      </c>
    </row>
    <row r="2950" spans="7:11" hidden="1" x14ac:dyDescent="0.25">
      <c r="G2950">
        <f t="shared" si="231"/>
        <v>0</v>
      </c>
      <c r="H2950">
        <f t="shared" si="232"/>
        <v>0</v>
      </c>
      <c r="I2950" s="141">
        <f t="shared" si="233"/>
        <v>0</v>
      </c>
      <c r="J2950">
        <f t="shared" si="234"/>
        <v>0</v>
      </c>
      <c r="K2950" s="141">
        <f t="shared" si="235"/>
        <v>0</v>
      </c>
    </row>
    <row r="2951" spans="7:11" hidden="1" x14ac:dyDescent="0.25">
      <c r="G2951">
        <f t="shared" si="231"/>
        <v>0</v>
      </c>
      <c r="H2951">
        <f t="shared" si="232"/>
        <v>0</v>
      </c>
      <c r="I2951" s="141">
        <f t="shared" si="233"/>
        <v>0</v>
      </c>
      <c r="J2951">
        <f t="shared" si="234"/>
        <v>0</v>
      </c>
      <c r="K2951" s="141">
        <f t="shared" si="235"/>
        <v>0</v>
      </c>
    </row>
    <row r="2952" spans="7:11" hidden="1" x14ac:dyDescent="0.25">
      <c r="G2952">
        <f t="shared" si="231"/>
        <v>0</v>
      </c>
      <c r="H2952">
        <f t="shared" si="232"/>
        <v>0</v>
      </c>
      <c r="I2952" s="141">
        <f t="shared" si="233"/>
        <v>0</v>
      </c>
      <c r="J2952">
        <f t="shared" si="234"/>
        <v>0</v>
      </c>
      <c r="K2952" s="141">
        <f t="shared" si="235"/>
        <v>0</v>
      </c>
    </row>
    <row r="2953" spans="7:11" hidden="1" x14ac:dyDescent="0.25">
      <c r="G2953">
        <f t="shared" si="231"/>
        <v>0</v>
      </c>
      <c r="H2953">
        <f t="shared" si="232"/>
        <v>0</v>
      </c>
      <c r="I2953" s="141">
        <f t="shared" si="233"/>
        <v>0</v>
      </c>
      <c r="J2953">
        <f t="shared" si="234"/>
        <v>0</v>
      </c>
      <c r="K2953" s="141">
        <f t="shared" si="235"/>
        <v>0</v>
      </c>
    </row>
    <row r="2954" spans="7:11" hidden="1" x14ac:dyDescent="0.25">
      <c r="G2954">
        <f t="shared" si="231"/>
        <v>0</v>
      </c>
      <c r="H2954">
        <f t="shared" si="232"/>
        <v>0</v>
      </c>
      <c r="I2954" s="141">
        <f t="shared" si="233"/>
        <v>0</v>
      </c>
      <c r="J2954">
        <f t="shared" si="234"/>
        <v>0</v>
      </c>
      <c r="K2954" s="141">
        <f t="shared" si="235"/>
        <v>0</v>
      </c>
    </row>
    <row r="2955" spans="7:11" hidden="1" x14ac:dyDescent="0.25">
      <c r="G2955">
        <f t="shared" si="231"/>
        <v>0</v>
      </c>
      <c r="H2955">
        <f t="shared" si="232"/>
        <v>0</v>
      </c>
      <c r="I2955" s="141">
        <f t="shared" si="233"/>
        <v>0</v>
      </c>
      <c r="J2955">
        <f t="shared" si="234"/>
        <v>0</v>
      </c>
      <c r="K2955" s="141">
        <f t="shared" si="235"/>
        <v>0</v>
      </c>
    </row>
    <row r="2956" spans="7:11" hidden="1" x14ac:dyDescent="0.25">
      <c r="G2956">
        <f t="shared" si="231"/>
        <v>0</v>
      </c>
      <c r="H2956">
        <f t="shared" si="232"/>
        <v>0</v>
      </c>
      <c r="I2956" s="141">
        <f t="shared" si="233"/>
        <v>0</v>
      </c>
      <c r="J2956">
        <f t="shared" si="234"/>
        <v>0</v>
      </c>
      <c r="K2956" s="141">
        <f t="shared" si="235"/>
        <v>0</v>
      </c>
    </row>
    <row r="2957" spans="7:11" hidden="1" x14ac:dyDescent="0.25">
      <c r="G2957">
        <f t="shared" si="231"/>
        <v>0</v>
      </c>
      <c r="H2957">
        <f t="shared" si="232"/>
        <v>0</v>
      </c>
      <c r="I2957" s="141">
        <f t="shared" si="233"/>
        <v>0</v>
      </c>
      <c r="J2957">
        <f t="shared" si="234"/>
        <v>0</v>
      </c>
      <c r="K2957" s="141">
        <f t="shared" si="235"/>
        <v>0</v>
      </c>
    </row>
    <row r="2958" spans="7:11" hidden="1" x14ac:dyDescent="0.25">
      <c r="G2958">
        <f t="shared" si="231"/>
        <v>0</v>
      </c>
      <c r="H2958">
        <f t="shared" si="232"/>
        <v>0</v>
      </c>
      <c r="I2958" s="141">
        <f t="shared" si="233"/>
        <v>0</v>
      </c>
      <c r="J2958">
        <f t="shared" si="234"/>
        <v>0</v>
      </c>
      <c r="K2958" s="141">
        <f t="shared" si="235"/>
        <v>0</v>
      </c>
    </row>
    <row r="2959" spans="7:11" hidden="1" x14ac:dyDescent="0.25">
      <c r="G2959">
        <f t="shared" si="231"/>
        <v>0</v>
      </c>
      <c r="H2959">
        <f t="shared" si="232"/>
        <v>0</v>
      </c>
      <c r="I2959" s="141">
        <f t="shared" si="233"/>
        <v>0</v>
      </c>
      <c r="J2959">
        <f t="shared" si="234"/>
        <v>0</v>
      </c>
      <c r="K2959" s="141">
        <f t="shared" si="235"/>
        <v>0</v>
      </c>
    </row>
    <row r="2960" spans="7:11" hidden="1" x14ac:dyDescent="0.25">
      <c r="G2960">
        <f t="shared" si="231"/>
        <v>0</v>
      </c>
      <c r="H2960">
        <f t="shared" si="232"/>
        <v>0</v>
      </c>
      <c r="I2960" s="141">
        <f t="shared" si="233"/>
        <v>0</v>
      </c>
      <c r="J2960">
        <f t="shared" si="234"/>
        <v>0</v>
      </c>
      <c r="K2960" s="141">
        <f t="shared" si="235"/>
        <v>0</v>
      </c>
    </row>
    <row r="2961" spans="7:11" hidden="1" x14ac:dyDescent="0.25">
      <c r="G2961">
        <f t="shared" si="231"/>
        <v>0</v>
      </c>
      <c r="H2961">
        <f t="shared" si="232"/>
        <v>0</v>
      </c>
      <c r="I2961" s="141">
        <f t="shared" si="233"/>
        <v>0</v>
      </c>
      <c r="J2961">
        <f t="shared" si="234"/>
        <v>0</v>
      </c>
      <c r="K2961" s="141">
        <f t="shared" si="235"/>
        <v>0</v>
      </c>
    </row>
    <row r="2962" spans="7:11" hidden="1" x14ac:dyDescent="0.25">
      <c r="G2962">
        <f t="shared" si="231"/>
        <v>0</v>
      </c>
      <c r="H2962">
        <f t="shared" si="232"/>
        <v>0</v>
      </c>
      <c r="I2962" s="141">
        <f t="shared" si="233"/>
        <v>0</v>
      </c>
      <c r="J2962">
        <f t="shared" si="234"/>
        <v>0</v>
      </c>
      <c r="K2962" s="141">
        <f t="shared" si="235"/>
        <v>0</v>
      </c>
    </row>
    <row r="2963" spans="7:11" hidden="1" x14ac:dyDescent="0.25">
      <c r="G2963">
        <f t="shared" si="231"/>
        <v>0</v>
      </c>
      <c r="H2963">
        <f t="shared" si="232"/>
        <v>0</v>
      </c>
      <c r="I2963" s="141">
        <f t="shared" si="233"/>
        <v>0</v>
      </c>
      <c r="J2963">
        <f t="shared" si="234"/>
        <v>0</v>
      </c>
      <c r="K2963" s="141">
        <f t="shared" si="235"/>
        <v>0</v>
      </c>
    </row>
    <row r="2964" spans="7:11" hidden="1" x14ac:dyDescent="0.25">
      <c r="G2964">
        <f t="shared" si="231"/>
        <v>0</v>
      </c>
      <c r="H2964">
        <f t="shared" si="232"/>
        <v>0</v>
      </c>
      <c r="I2964" s="141">
        <f t="shared" si="233"/>
        <v>0</v>
      </c>
      <c r="J2964">
        <f t="shared" si="234"/>
        <v>0</v>
      </c>
      <c r="K2964" s="141">
        <f t="shared" si="235"/>
        <v>0</v>
      </c>
    </row>
    <row r="2965" spans="7:11" hidden="1" x14ac:dyDescent="0.25">
      <c r="G2965">
        <f t="shared" si="231"/>
        <v>0</v>
      </c>
      <c r="H2965">
        <f t="shared" si="232"/>
        <v>0</v>
      </c>
      <c r="I2965" s="141">
        <f t="shared" si="233"/>
        <v>0</v>
      </c>
      <c r="J2965">
        <f t="shared" si="234"/>
        <v>0</v>
      </c>
      <c r="K2965" s="141">
        <f t="shared" si="235"/>
        <v>0</v>
      </c>
    </row>
    <row r="2966" spans="7:11" hidden="1" x14ac:dyDescent="0.25">
      <c r="G2966">
        <f t="shared" si="231"/>
        <v>0</v>
      </c>
      <c r="H2966">
        <f t="shared" si="232"/>
        <v>0</v>
      </c>
      <c r="I2966" s="141">
        <f t="shared" si="233"/>
        <v>0</v>
      </c>
      <c r="J2966">
        <f t="shared" si="234"/>
        <v>0</v>
      </c>
      <c r="K2966" s="141">
        <f t="shared" si="235"/>
        <v>0</v>
      </c>
    </row>
    <row r="2967" spans="7:11" hidden="1" x14ac:dyDescent="0.25">
      <c r="G2967">
        <f t="shared" si="231"/>
        <v>0</v>
      </c>
      <c r="H2967">
        <f t="shared" si="232"/>
        <v>0</v>
      </c>
      <c r="I2967" s="141">
        <f t="shared" si="233"/>
        <v>0</v>
      </c>
      <c r="J2967">
        <f t="shared" si="234"/>
        <v>0</v>
      </c>
      <c r="K2967" s="141">
        <f t="shared" si="235"/>
        <v>0</v>
      </c>
    </row>
    <row r="2968" spans="7:11" hidden="1" x14ac:dyDescent="0.25">
      <c r="G2968">
        <f t="shared" si="231"/>
        <v>0</v>
      </c>
      <c r="H2968">
        <f t="shared" si="232"/>
        <v>0</v>
      </c>
      <c r="I2968" s="141">
        <f t="shared" si="233"/>
        <v>0</v>
      </c>
      <c r="J2968">
        <f t="shared" si="234"/>
        <v>0</v>
      </c>
      <c r="K2968" s="141">
        <f t="shared" si="235"/>
        <v>0</v>
      </c>
    </row>
    <row r="2969" spans="7:11" hidden="1" x14ac:dyDescent="0.25">
      <c r="G2969">
        <f t="shared" si="231"/>
        <v>0</v>
      </c>
      <c r="H2969">
        <f t="shared" si="232"/>
        <v>0</v>
      </c>
      <c r="I2969" s="141">
        <f t="shared" si="233"/>
        <v>0</v>
      </c>
      <c r="J2969">
        <f t="shared" si="234"/>
        <v>0</v>
      </c>
      <c r="K2969" s="141">
        <f t="shared" si="235"/>
        <v>0</v>
      </c>
    </row>
    <row r="2970" spans="7:11" hidden="1" x14ac:dyDescent="0.25">
      <c r="G2970">
        <f t="shared" si="231"/>
        <v>0</v>
      </c>
      <c r="H2970">
        <f t="shared" si="232"/>
        <v>0</v>
      </c>
      <c r="I2970" s="141">
        <f t="shared" si="233"/>
        <v>0</v>
      </c>
      <c r="J2970">
        <f t="shared" si="234"/>
        <v>0</v>
      </c>
      <c r="K2970" s="141">
        <f t="shared" si="235"/>
        <v>0</v>
      </c>
    </row>
    <row r="2971" spans="7:11" hidden="1" x14ac:dyDescent="0.25">
      <c r="G2971">
        <f t="shared" si="231"/>
        <v>0</v>
      </c>
      <c r="H2971">
        <f t="shared" si="232"/>
        <v>0</v>
      </c>
      <c r="I2971" s="141">
        <f t="shared" si="233"/>
        <v>0</v>
      </c>
      <c r="J2971">
        <f t="shared" si="234"/>
        <v>0</v>
      </c>
      <c r="K2971" s="141">
        <f t="shared" si="235"/>
        <v>0</v>
      </c>
    </row>
    <row r="2972" spans="7:11" hidden="1" x14ac:dyDescent="0.25">
      <c r="G2972">
        <f t="shared" si="231"/>
        <v>0</v>
      </c>
      <c r="H2972">
        <f t="shared" si="232"/>
        <v>0</v>
      </c>
      <c r="I2972" s="141">
        <f t="shared" si="233"/>
        <v>0</v>
      </c>
      <c r="J2972">
        <f t="shared" si="234"/>
        <v>0</v>
      </c>
      <c r="K2972" s="141">
        <f t="shared" si="235"/>
        <v>0</v>
      </c>
    </row>
    <row r="2973" spans="7:11" hidden="1" x14ac:dyDescent="0.25">
      <c r="G2973">
        <f t="shared" si="231"/>
        <v>0</v>
      </c>
      <c r="H2973">
        <f t="shared" si="232"/>
        <v>0</v>
      </c>
      <c r="I2973" s="141">
        <f t="shared" si="233"/>
        <v>0</v>
      </c>
      <c r="J2973">
        <f t="shared" si="234"/>
        <v>0</v>
      </c>
      <c r="K2973" s="141">
        <f t="shared" si="235"/>
        <v>0</v>
      </c>
    </row>
    <row r="2974" spans="7:11" hidden="1" x14ac:dyDescent="0.25">
      <c r="G2974">
        <f t="shared" si="231"/>
        <v>0</v>
      </c>
      <c r="H2974">
        <f t="shared" si="232"/>
        <v>0</v>
      </c>
      <c r="I2974" s="141">
        <f t="shared" si="233"/>
        <v>0</v>
      </c>
      <c r="J2974">
        <f t="shared" si="234"/>
        <v>0</v>
      </c>
      <c r="K2974" s="141">
        <f t="shared" si="235"/>
        <v>0</v>
      </c>
    </row>
    <row r="2975" spans="7:11" hidden="1" x14ac:dyDescent="0.25">
      <c r="G2975">
        <f t="shared" si="231"/>
        <v>0</v>
      </c>
      <c r="H2975">
        <f t="shared" si="232"/>
        <v>0</v>
      </c>
      <c r="I2975" s="141">
        <f t="shared" si="233"/>
        <v>0</v>
      </c>
      <c r="J2975">
        <f t="shared" si="234"/>
        <v>0</v>
      </c>
      <c r="K2975" s="141">
        <f t="shared" si="235"/>
        <v>0</v>
      </c>
    </row>
    <row r="2976" spans="7:11" hidden="1" x14ac:dyDescent="0.25">
      <c r="G2976">
        <f t="shared" si="231"/>
        <v>0</v>
      </c>
      <c r="H2976">
        <f t="shared" si="232"/>
        <v>0</v>
      </c>
      <c r="I2976" s="141">
        <f t="shared" si="233"/>
        <v>0</v>
      </c>
      <c r="J2976">
        <f t="shared" si="234"/>
        <v>0</v>
      </c>
      <c r="K2976" s="141">
        <f t="shared" si="235"/>
        <v>0</v>
      </c>
    </row>
    <row r="2977" spans="7:11" hidden="1" x14ac:dyDescent="0.25">
      <c r="G2977">
        <f t="shared" si="231"/>
        <v>0</v>
      </c>
      <c r="H2977">
        <f t="shared" si="232"/>
        <v>0</v>
      </c>
      <c r="I2977" s="141">
        <f t="shared" si="233"/>
        <v>0</v>
      </c>
      <c r="J2977">
        <f t="shared" si="234"/>
        <v>0</v>
      </c>
      <c r="K2977" s="141">
        <f t="shared" si="235"/>
        <v>0</v>
      </c>
    </row>
    <row r="2978" spans="7:11" hidden="1" x14ac:dyDescent="0.25">
      <c r="G2978">
        <f t="shared" si="231"/>
        <v>0</v>
      </c>
      <c r="H2978">
        <f t="shared" si="232"/>
        <v>0</v>
      </c>
      <c r="I2978" s="141">
        <f t="shared" si="233"/>
        <v>0</v>
      </c>
      <c r="J2978">
        <f t="shared" si="234"/>
        <v>0</v>
      </c>
      <c r="K2978" s="141">
        <f t="shared" si="235"/>
        <v>0</v>
      </c>
    </row>
    <row r="2979" spans="7:11" hidden="1" x14ac:dyDescent="0.25">
      <c r="G2979">
        <f t="shared" si="231"/>
        <v>0</v>
      </c>
      <c r="H2979">
        <f t="shared" si="232"/>
        <v>0</v>
      </c>
      <c r="I2979" s="141">
        <f t="shared" si="233"/>
        <v>0</v>
      </c>
      <c r="J2979">
        <f t="shared" si="234"/>
        <v>0</v>
      </c>
      <c r="K2979" s="141">
        <f t="shared" si="235"/>
        <v>0</v>
      </c>
    </row>
    <row r="2980" spans="7:11" hidden="1" x14ac:dyDescent="0.25">
      <c r="G2980">
        <f t="shared" si="231"/>
        <v>0</v>
      </c>
      <c r="H2980">
        <f t="shared" si="232"/>
        <v>0</v>
      </c>
      <c r="I2980" s="141">
        <f t="shared" si="233"/>
        <v>0</v>
      </c>
      <c r="J2980">
        <f t="shared" si="234"/>
        <v>0</v>
      </c>
      <c r="K2980" s="141">
        <f t="shared" si="235"/>
        <v>0</v>
      </c>
    </row>
    <row r="2981" spans="7:11" hidden="1" x14ac:dyDescent="0.25">
      <c r="G2981">
        <f t="shared" si="231"/>
        <v>0</v>
      </c>
      <c r="H2981">
        <f t="shared" si="232"/>
        <v>0</v>
      </c>
      <c r="I2981" s="141">
        <f t="shared" si="233"/>
        <v>0</v>
      </c>
      <c r="J2981">
        <f t="shared" si="234"/>
        <v>0</v>
      </c>
      <c r="K2981" s="141">
        <f t="shared" si="235"/>
        <v>0</v>
      </c>
    </row>
    <row r="2982" spans="7:11" hidden="1" x14ac:dyDescent="0.25">
      <c r="G2982">
        <f t="shared" si="231"/>
        <v>0</v>
      </c>
      <c r="H2982">
        <f t="shared" si="232"/>
        <v>0</v>
      </c>
      <c r="I2982" s="141">
        <f t="shared" si="233"/>
        <v>0</v>
      </c>
      <c r="J2982">
        <f t="shared" si="234"/>
        <v>0</v>
      </c>
      <c r="K2982" s="141">
        <f t="shared" si="235"/>
        <v>0</v>
      </c>
    </row>
    <row r="2983" spans="7:11" hidden="1" x14ac:dyDescent="0.25">
      <c r="G2983">
        <f t="shared" si="231"/>
        <v>0</v>
      </c>
      <c r="H2983">
        <f t="shared" si="232"/>
        <v>0</v>
      </c>
      <c r="I2983" s="141">
        <f t="shared" si="233"/>
        <v>0</v>
      </c>
      <c r="J2983">
        <f t="shared" si="234"/>
        <v>0</v>
      </c>
      <c r="K2983" s="141">
        <f t="shared" si="235"/>
        <v>0</v>
      </c>
    </row>
    <row r="2984" spans="7:11" hidden="1" x14ac:dyDescent="0.25">
      <c r="G2984">
        <f t="shared" si="231"/>
        <v>0</v>
      </c>
      <c r="H2984">
        <f t="shared" si="232"/>
        <v>0</v>
      </c>
      <c r="I2984" s="141">
        <f t="shared" si="233"/>
        <v>0</v>
      </c>
      <c r="J2984">
        <f t="shared" si="234"/>
        <v>0</v>
      </c>
      <c r="K2984" s="141">
        <f t="shared" si="235"/>
        <v>0</v>
      </c>
    </row>
    <row r="2985" spans="7:11" hidden="1" x14ac:dyDescent="0.25">
      <c r="G2985">
        <f t="shared" si="231"/>
        <v>0</v>
      </c>
      <c r="H2985">
        <f t="shared" si="232"/>
        <v>0</v>
      </c>
      <c r="I2985" s="141">
        <f t="shared" si="233"/>
        <v>0</v>
      </c>
      <c r="J2985">
        <f t="shared" si="234"/>
        <v>0</v>
      </c>
      <c r="K2985" s="141">
        <f t="shared" si="235"/>
        <v>0</v>
      </c>
    </row>
    <row r="2986" spans="7:11" hidden="1" x14ac:dyDescent="0.25">
      <c r="G2986">
        <f t="shared" si="231"/>
        <v>0</v>
      </c>
      <c r="H2986">
        <f t="shared" si="232"/>
        <v>0</v>
      </c>
      <c r="I2986" s="141">
        <f t="shared" si="233"/>
        <v>0</v>
      </c>
      <c r="J2986">
        <f t="shared" si="234"/>
        <v>0</v>
      </c>
      <c r="K2986" s="141">
        <f t="shared" si="235"/>
        <v>0</v>
      </c>
    </row>
    <row r="2987" spans="7:11" hidden="1" x14ac:dyDescent="0.25">
      <c r="G2987">
        <f t="shared" si="231"/>
        <v>0</v>
      </c>
      <c r="H2987">
        <f t="shared" si="232"/>
        <v>0</v>
      </c>
      <c r="I2987" s="141">
        <f t="shared" si="233"/>
        <v>0</v>
      </c>
      <c r="J2987">
        <f t="shared" si="234"/>
        <v>0</v>
      </c>
      <c r="K2987" s="141">
        <f t="shared" si="235"/>
        <v>0</v>
      </c>
    </row>
    <row r="2988" spans="7:11" hidden="1" x14ac:dyDescent="0.25">
      <c r="G2988">
        <f t="shared" si="231"/>
        <v>0</v>
      </c>
      <c r="H2988">
        <f t="shared" si="232"/>
        <v>0</v>
      </c>
      <c r="I2988" s="141">
        <f t="shared" si="233"/>
        <v>0</v>
      </c>
      <c r="J2988">
        <f t="shared" si="234"/>
        <v>0</v>
      </c>
      <c r="K2988" s="141">
        <f t="shared" si="235"/>
        <v>0</v>
      </c>
    </row>
    <row r="2989" spans="7:11" hidden="1" x14ac:dyDescent="0.25">
      <c r="G2989">
        <f t="shared" si="231"/>
        <v>0</v>
      </c>
      <c r="H2989">
        <f t="shared" si="232"/>
        <v>0</v>
      </c>
      <c r="I2989" s="141">
        <f t="shared" si="233"/>
        <v>0</v>
      </c>
      <c r="J2989">
        <f t="shared" si="234"/>
        <v>0</v>
      </c>
      <c r="K2989" s="141">
        <f t="shared" si="235"/>
        <v>0</v>
      </c>
    </row>
    <row r="2990" spans="7:11" hidden="1" x14ac:dyDescent="0.25">
      <c r="G2990">
        <f t="shared" si="231"/>
        <v>0</v>
      </c>
      <c r="H2990">
        <f t="shared" si="232"/>
        <v>0</v>
      </c>
      <c r="I2990" s="141">
        <f t="shared" si="233"/>
        <v>0</v>
      </c>
      <c r="J2990">
        <f t="shared" si="234"/>
        <v>0</v>
      </c>
      <c r="K2990" s="141">
        <f t="shared" si="235"/>
        <v>0</v>
      </c>
    </row>
    <row r="2991" spans="7:11" hidden="1" x14ac:dyDescent="0.25">
      <c r="G2991">
        <f t="shared" si="231"/>
        <v>0</v>
      </c>
      <c r="H2991">
        <f t="shared" si="232"/>
        <v>0</v>
      </c>
      <c r="I2991" s="141">
        <f t="shared" si="233"/>
        <v>0</v>
      </c>
      <c r="J2991">
        <f t="shared" si="234"/>
        <v>0</v>
      </c>
      <c r="K2991" s="141">
        <f t="shared" si="235"/>
        <v>0</v>
      </c>
    </row>
    <row r="2992" spans="7:11" hidden="1" x14ac:dyDescent="0.25">
      <c r="G2992">
        <f t="shared" si="231"/>
        <v>0</v>
      </c>
      <c r="H2992">
        <f t="shared" si="232"/>
        <v>0</v>
      </c>
      <c r="I2992" s="141">
        <f t="shared" si="233"/>
        <v>0</v>
      </c>
      <c r="J2992">
        <f t="shared" si="234"/>
        <v>0</v>
      </c>
      <c r="K2992" s="141">
        <f t="shared" si="235"/>
        <v>0</v>
      </c>
    </row>
    <row r="2993" spans="7:11" hidden="1" x14ac:dyDescent="0.25">
      <c r="G2993">
        <f t="shared" si="231"/>
        <v>0</v>
      </c>
      <c r="H2993">
        <f t="shared" si="232"/>
        <v>0</v>
      </c>
      <c r="I2993" s="141">
        <f t="shared" si="233"/>
        <v>0</v>
      </c>
      <c r="J2993">
        <f t="shared" si="234"/>
        <v>0</v>
      </c>
      <c r="K2993" s="141">
        <f t="shared" si="235"/>
        <v>0</v>
      </c>
    </row>
    <row r="2994" spans="7:11" hidden="1" x14ac:dyDescent="0.25">
      <c r="G2994">
        <f t="shared" si="231"/>
        <v>0</v>
      </c>
      <c r="H2994">
        <f t="shared" si="232"/>
        <v>0</v>
      </c>
      <c r="I2994" s="141">
        <f t="shared" si="233"/>
        <v>0</v>
      </c>
      <c r="J2994">
        <f t="shared" si="234"/>
        <v>0</v>
      </c>
      <c r="K2994" s="141">
        <f t="shared" si="235"/>
        <v>0</v>
      </c>
    </row>
    <row r="2995" spans="7:11" hidden="1" x14ac:dyDescent="0.25">
      <c r="G2995">
        <f t="shared" si="231"/>
        <v>0</v>
      </c>
      <c r="H2995">
        <f t="shared" si="232"/>
        <v>0</v>
      </c>
      <c r="I2995" s="141">
        <f t="shared" si="233"/>
        <v>0</v>
      </c>
      <c r="J2995">
        <f t="shared" si="234"/>
        <v>0</v>
      </c>
      <c r="K2995" s="141">
        <f t="shared" si="235"/>
        <v>0</v>
      </c>
    </row>
    <row r="2996" spans="7:11" hidden="1" x14ac:dyDescent="0.25">
      <c r="G2996">
        <f t="shared" si="231"/>
        <v>0</v>
      </c>
      <c r="H2996">
        <f t="shared" si="232"/>
        <v>0</v>
      </c>
      <c r="I2996" s="141">
        <f t="shared" si="233"/>
        <v>0</v>
      </c>
      <c r="J2996">
        <f t="shared" si="234"/>
        <v>0</v>
      </c>
      <c r="K2996" s="141">
        <f t="shared" si="235"/>
        <v>0</v>
      </c>
    </row>
    <row r="2997" spans="7:11" hidden="1" x14ac:dyDescent="0.25">
      <c r="G2997">
        <f t="shared" si="231"/>
        <v>0</v>
      </c>
      <c r="H2997">
        <f t="shared" si="232"/>
        <v>0</v>
      </c>
      <c r="I2997" s="141">
        <f t="shared" si="233"/>
        <v>0</v>
      </c>
      <c r="J2997">
        <f t="shared" si="234"/>
        <v>0</v>
      </c>
      <c r="K2997" s="141">
        <f t="shared" si="235"/>
        <v>0</v>
      </c>
    </row>
    <row r="2998" spans="7:11" hidden="1" x14ac:dyDescent="0.25">
      <c r="G2998">
        <f t="shared" si="231"/>
        <v>0</v>
      </c>
      <c r="H2998">
        <f t="shared" si="232"/>
        <v>0</v>
      </c>
      <c r="I2998" s="141">
        <f t="shared" si="233"/>
        <v>0</v>
      </c>
      <c r="J2998">
        <f t="shared" si="234"/>
        <v>0</v>
      </c>
      <c r="K2998" s="141">
        <f t="shared" si="235"/>
        <v>0</v>
      </c>
    </row>
    <row r="2999" spans="7:11" hidden="1" x14ac:dyDescent="0.25">
      <c r="G2999">
        <f t="shared" si="231"/>
        <v>0</v>
      </c>
      <c r="H2999">
        <f t="shared" si="232"/>
        <v>0</v>
      </c>
      <c r="I2999" s="141">
        <f t="shared" si="233"/>
        <v>0</v>
      </c>
      <c r="J2999">
        <f t="shared" si="234"/>
        <v>0</v>
      </c>
      <c r="K2999" s="141">
        <f t="shared" si="235"/>
        <v>0</v>
      </c>
    </row>
    <row r="3000" spans="7:11" hidden="1" x14ac:dyDescent="0.25">
      <c r="G3000">
        <f t="shared" si="231"/>
        <v>0</v>
      </c>
      <c r="H3000">
        <f t="shared" si="232"/>
        <v>0</v>
      </c>
      <c r="I3000" s="141">
        <f t="shared" si="233"/>
        <v>0</v>
      </c>
      <c r="J3000">
        <f t="shared" si="234"/>
        <v>0</v>
      </c>
      <c r="K3000" s="141">
        <f t="shared" si="235"/>
        <v>0</v>
      </c>
    </row>
    <row r="3001" spans="7:11" hidden="1" x14ac:dyDescent="0.25">
      <c r="G3001">
        <f t="shared" si="231"/>
        <v>0</v>
      </c>
      <c r="H3001">
        <f t="shared" si="232"/>
        <v>0</v>
      </c>
      <c r="I3001" s="141">
        <f t="shared" si="233"/>
        <v>0</v>
      </c>
      <c r="J3001">
        <f t="shared" si="234"/>
        <v>0</v>
      </c>
      <c r="K3001" s="141">
        <f t="shared" si="235"/>
        <v>0</v>
      </c>
    </row>
    <row r="3002" spans="7:11" hidden="1" x14ac:dyDescent="0.25">
      <c r="G3002">
        <f t="shared" si="231"/>
        <v>0</v>
      </c>
      <c r="H3002">
        <f t="shared" si="232"/>
        <v>0</v>
      </c>
      <c r="I3002" s="141">
        <f t="shared" si="233"/>
        <v>0</v>
      </c>
      <c r="J3002">
        <f t="shared" si="234"/>
        <v>0</v>
      </c>
      <c r="K3002" s="141">
        <f t="shared" si="235"/>
        <v>0</v>
      </c>
    </row>
    <row r="3003" spans="7:11" hidden="1" x14ac:dyDescent="0.25">
      <c r="G3003">
        <f t="shared" si="231"/>
        <v>0</v>
      </c>
      <c r="H3003">
        <f t="shared" si="232"/>
        <v>0</v>
      </c>
      <c r="I3003" s="141">
        <f t="shared" si="233"/>
        <v>0</v>
      </c>
      <c r="J3003">
        <f t="shared" si="234"/>
        <v>0</v>
      </c>
      <c r="K3003" s="141">
        <f t="shared" si="235"/>
        <v>0</v>
      </c>
    </row>
    <row r="3004" spans="7:11" hidden="1" x14ac:dyDescent="0.25">
      <c r="G3004">
        <f t="shared" si="231"/>
        <v>0</v>
      </c>
      <c r="H3004">
        <f t="shared" si="232"/>
        <v>0</v>
      </c>
      <c r="I3004" s="141">
        <f t="shared" si="233"/>
        <v>0</v>
      </c>
      <c r="J3004">
        <f t="shared" si="234"/>
        <v>0</v>
      </c>
      <c r="K3004" s="141">
        <f t="shared" si="235"/>
        <v>0</v>
      </c>
    </row>
    <row r="3005" spans="7:11" hidden="1" x14ac:dyDescent="0.25">
      <c r="G3005">
        <f t="shared" si="231"/>
        <v>0</v>
      </c>
      <c r="H3005">
        <f t="shared" si="232"/>
        <v>0</v>
      </c>
      <c r="I3005" s="141">
        <f t="shared" si="233"/>
        <v>0</v>
      </c>
      <c r="J3005">
        <f t="shared" si="234"/>
        <v>0</v>
      </c>
      <c r="K3005" s="141">
        <f t="shared" si="235"/>
        <v>0</v>
      </c>
    </row>
    <row r="3006" spans="7:11" hidden="1" x14ac:dyDescent="0.25">
      <c r="G3006">
        <f t="shared" si="231"/>
        <v>0</v>
      </c>
      <c r="H3006">
        <f t="shared" si="232"/>
        <v>0</v>
      </c>
      <c r="I3006" s="141">
        <f t="shared" si="233"/>
        <v>0</v>
      </c>
      <c r="J3006">
        <f t="shared" si="234"/>
        <v>0</v>
      </c>
      <c r="K3006" s="141">
        <f t="shared" si="235"/>
        <v>0</v>
      </c>
    </row>
    <row r="3007" spans="7:11" hidden="1" x14ac:dyDescent="0.25">
      <c r="G3007">
        <f t="shared" si="231"/>
        <v>0</v>
      </c>
      <c r="H3007">
        <f t="shared" si="232"/>
        <v>0</v>
      </c>
      <c r="I3007" s="141">
        <f t="shared" si="233"/>
        <v>0</v>
      </c>
      <c r="J3007">
        <f t="shared" si="234"/>
        <v>0</v>
      </c>
      <c r="K3007" s="141">
        <f t="shared" si="235"/>
        <v>0</v>
      </c>
    </row>
    <row r="3008" spans="7:11" hidden="1" x14ac:dyDescent="0.25">
      <c r="G3008">
        <f t="shared" si="231"/>
        <v>0</v>
      </c>
      <c r="H3008">
        <f t="shared" si="232"/>
        <v>0</v>
      </c>
      <c r="I3008" s="141">
        <f t="shared" si="233"/>
        <v>0</v>
      </c>
      <c r="J3008">
        <f t="shared" si="234"/>
        <v>0</v>
      </c>
      <c r="K3008" s="141">
        <f t="shared" si="235"/>
        <v>0</v>
      </c>
    </row>
    <row r="3009" spans="7:11" hidden="1" x14ac:dyDescent="0.25">
      <c r="G3009">
        <f t="shared" si="231"/>
        <v>0</v>
      </c>
      <c r="H3009">
        <f t="shared" si="232"/>
        <v>0</v>
      </c>
      <c r="I3009" s="141">
        <f t="shared" si="233"/>
        <v>0</v>
      </c>
      <c r="J3009">
        <f t="shared" si="234"/>
        <v>0</v>
      </c>
      <c r="K3009" s="141">
        <f t="shared" si="235"/>
        <v>0</v>
      </c>
    </row>
    <row r="3010" spans="7:11" hidden="1" x14ac:dyDescent="0.25">
      <c r="G3010">
        <f t="shared" ref="G3010:G3073" si="236">A3010</f>
        <v>0</v>
      </c>
      <c r="H3010">
        <f t="shared" ref="H3010:H3073" si="237">B3010</f>
        <v>0</v>
      </c>
      <c r="I3010" s="141">
        <f t="shared" ref="I3010:I3073" si="238">C3010</f>
        <v>0</v>
      </c>
      <c r="J3010">
        <f t="shared" ref="J3010:J3073" si="239">D3010</f>
        <v>0</v>
      </c>
      <c r="K3010" s="141">
        <f t="shared" ref="K3010:K3073" si="240">E3010</f>
        <v>0</v>
      </c>
    </row>
    <row r="3011" spans="7:11" hidden="1" x14ac:dyDescent="0.25">
      <c r="G3011">
        <f t="shared" si="236"/>
        <v>0</v>
      </c>
      <c r="H3011">
        <f t="shared" si="237"/>
        <v>0</v>
      </c>
      <c r="I3011" s="141">
        <f t="shared" si="238"/>
        <v>0</v>
      </c>
      <c r="J3011">
        <f t="shared" si="239"/>
        <v>0</v>
      </c>
      <c r="K3011" s="141">
        <f t="shared" si="240"/>
        <v>0</v>
      </c>
    </row>
    <row r="3012" spans="7:11" hidden="1" x14ac:dyDescent="0.25">
      <c r="G3012">
        <f t="shared" si="236"/>
        <v>0</v>
      </c>
      <c r="H3012">
        <f t="shared" si="237"/>
        <v>0</v>
      </c>
      <c r="I3012" s="141">
        <f t="shared" si="238"/>
        <v>0</v>
      </c>
      <c r="J3012">
        <f t="shared" si="239"/>
        <v>0</v>
      </c>
      <c r="K3012" s="141">
        <f t="shared" si="240"/>
        <v>0</v>
      </c>
    </row>
    <row r="3013" spans="7:11" hidden="1" x14ac:dyDescent="0.25">
      <c r="G3013">
        <f t="shared" si="236"/>
        <v>0</v>
      </c>
      <c r="H3013">
        <f t="shared" si="237"/>
        <v>0</v>
      </c>
      <c r="I3013" s="141">
        <f t="shared" si="238"/>
        <v>0</v>
      </c>
      <c r="J3013">
        <f t="shared" si="239"/>
        <v>0</v>
      </c>
      <c r="K3013" s="141">
        <f t="shared" si="240"/>
        <v>0</v>
      </c>
    </row>
    <row r="3014" spans="7:11" hidden="1" x14ac:dyDescent="0.25">
      <c r="G3014">
        <f t="shared" si="236"/>
        <v>0</v>
      </c>
      <c r="H3014">
        <f t="shared" si="237"/>
        <v>0</v>
      </c>
      <c r="I3014" s="141">
        <f t="shared" si="238"/>
        <v>0</v>
      </c>
      <c r="J3014">
        <f t="shared" si="239"/>
        <v>0</v>
      </c>
      <c r="K3014" s="141">
        <f t="shared" si="240"/>
        <v>0</v>
      </c>
    </row>
    <row r="3015" spans="7:11" hidden="1" x14ac:dyDescent="0.25">
      <c r="G3015">
        <f t="shared" si="236"/>
        <v>0</v>
      </c>
      <c r="H3015">
        <f t="shared" si="237"/>
        <v>0</v>
      </c>
      <c r="I3015" s="141">
        <f t="shared" si="238"/>
        <v>0</v>
      </c>
      <c r="J3015">
        <f t="shared" si="239"/>
        <v>0</v>
      </c>
      <c r="K3015" s="141">
        <f t="shared" si="240"/>
        <v>0</v>
      </c>
    </row>
    <row r="3016" spans="7:11" hidden="1" x14ac:dyDescent="0.25">
      <c r="G3016">
        <f t="shared" si="236"/>
        <v>0</v>
      </c>
      <c r="H3016">
        <f t="shared" si="237"/>
        <v>0</v>
      </c>
      <c r="I3016" s="141">
        <f t="shared" si="238"/>
        <v>0</v>
      </c>
      <c r="J3016">
        <f t="shared" si="239"/>
        <v>0</v>
      </c>
      <c r="K3016" s="141">
        <f t="shared" si="240"/>
        <v>0</v>
      </c>
    </row>
    <row r="3017" spans="7:11" hidden="1" x14ac:dyDescent="0.25">
      <c r="G3017">
        <f t="shared" si="236"/>
        <v>0</v>
      </c>
      <c r="H3017">
        <f t="shared" si="237"/>
        <v>0</v>
      </c>
      <c r="I3017" s="141">
        <f t="shared" si="238"/>
        <v>0</v>
      </c>
      <c r="J3017">
        <f t="shared" si="239"/>
        <v>0</v>
      </c>
      <c r="K3017" s="141">
        <f t="shared" si="240"/>
        <v>0</v>
      </c>
    </row>
    <row r="3018" spans="7:11" hidden="1" x14ac:dyDescent="0.25">
      <c r="G3018">
        <f t="shared" si="236"/>
        <v>0</v>
      </c>
      <c r="H3018">
        <f t="shared" si="237"/>
        <v>0</v>
      </c>
      <c r="I3018" s="141">
        <f t="shared" si="238"/>
        <v>0</v>
      </c>
      <c r="J3018">
        <f t="shared" si="239"/>
        <v>0</v>
      </c>
      <c r="K3018" s="141">
        <f t="shared" si="240"/>
        <v>0</v>
      </c>
    </row>
    <row r="3019" spans="7:11" hidden="1" x14ac:dyDescent="0.25">
      <c r="G3019">
        <f t="shared" si="236"/>
        <v>0</v>
      </c>
      <c r="H3019">
        <f t="shared" si="237"/>
        <v>0</v>
      </c>
      <c r="I3019" s="141">
        <f t="shared" si="238"/>
        <v>0</v>
      </c>
      <c r="J3019">
        <f t="shared" si="239"/>
        <v>0</v>
      </c>
      <c r="K3019" s="141">
        <f t="shared" si="240"/>
        <v>0</v>
      </c>
    </row>
    <row r="3020" spans="7:11" hidden="1" x14ac:dyDescent="0.25">
      <c r="G3020">
        <f t="shared" si="236"/>
        <v>0</v>
      </c>
      <c r="H3020">
        <f t="shared" si="237"/>
        <v>0</v>
      </c>
      <c r="I3020" s="141">
        <f t="shared" si="238"/>
        <v>0</v>
      </c>
      <c r="J3020">
        <f t="shared" si="239"/>
        <v>0</v>
      </c>
      <c r="K3020" s="141">
        <f t="shared" si="240"/>
        <v>0</v>
      </c>
    </row>
    <row r="3021" spans="7:11" hidden="1" x14ac:dyDescent="0.25">
      <c r="G3021">
        <f t="shared" si="236"/>
        <v>0</v>
      </c>
      <c r="H3021">
        <f t="shared" si="237"/>
        <v>0</v>
      </c>
      <c r="I3021" s="141">
        <f t="shared" si="238"/>
        <v>0</v>
      </c>
      <c r="J3021">
        <f t="shared" si="239"/>
        <v>0</v>
      </c>
      <c r="K3021" s="141">
        <f t="shared" si="240"/>
        <v>0</v>
      </c>
    </row>
    <row r="3022" spans="7:11" hidden="1" x14ac:dyDescent="0.25">
      <c r="G3022">
        <f t="shared" si="236"/>
        <v>0</v>
      </c>
      <c r="H3022">
        <f t="shared" si="237"/>
        <v>0</v>
      </c>
      <c r="I3022" s="141">
        <f t="shared" si="238"/>
        <v>0</v>
      </c>
      <c r="J3022">
        <f t="shared" si="239"/>
        <v>0</v>
      </c>
      <c r="K3022" s="141">
        <f t="shared" si="240"/>
        <v>0</v>
      </c>
    </row>
    <row r="3023" spans="7:11" hidden="1" x14ac:dyDescent="0.25">
      <c r="G3023">
        <f t="shared" si="236"/>
        <v>0</v>
      </c>
      <c r="H3023">
        <f t="shared" si="237"/>
        <v>0</v>
      </c>
      <c r="I3023" s="141">
        <f t="shared" si="238"/>
        <v>0</v>
      </c>
      <c r="J3023">
        <f t="shared" si="239"/>
        <v>0</v>
      </c>
      <c r="K3023" s="141">
        <f t="shared" si="240"/>
        <v>0</v>
      </c>
    </row>
    <row r="3024" spans="7:11" hidden="1" x14ac:dyDescent="0.25">
      <c r="G3024">
        <f t="shared" si="236"/>
        <v>0</v>
      </c>
      <c r="H3024">
        <f t="shared" si="237"/>
        <v>0</v>
      </c>
      <c r="I3024" s="141">
        <f t="shared" si="238"/>
        <v>0</v>
      </c>
      <c r="J3024">
        <f t="shared" si="239"/>
        <v>0</v>
      </c>
      <c r="K3024" s="141">
        <f t="shared" si="240"/>
        <v>0</v>
      </c>
    </row>
    <row r="3025" spans="7:11" hidden="1" x14ac:dyDescent="0.25">
      <c r="G3025">
        <f t="shared" si="236"/>
        <v>0</v>
      </c>
      <c r="H3025">
        <f t="shared" si="237"/>
        <v>0</v>
      </c>
      <c r="I3025" s="141">
        <f t="shared" si="238"/>
        <v>0</v>
      </c>
      <c r="J3025">
        <f t="shared" si="239"/>
        <v>0</v>
      </c>
      <c r="K3025" s="141">
        <f t="shared" si="240"/>
        <v>0</v>
      </c>
    </row>
    <row r="3026" spans="7:11" hidden="1" x14ac:dyDescent="0.25">
      <c r="G3026">
        <f t="shared" si="236"/>
        <v>0</v>
      </c>
      <c r="H3026">
        <f t="shared" si="237"/>
        <v>0</v>
      </c>
      <c r="I3026" s="141">
        <f t="shared" si="238"/>
        <v>0</v>
      </c>
      <c r="J3026">
        <f t="shared" si="239"/>
        <v>0</v>
      </c>
      <c r="K3026" s="141">
        <f t="shared" si="240"/>
        <v>0</v>
      </c>
    </row>
    <row r="3027" spans="7:11" hidden="1" x14ac:dyDescent="0.25">
      <c r="G3027">
        <f t="shared" si="236"/>
        <v>0</v>
      </c>
      <c r="H3027">
        <f t="shared" si="237"/>
        <v>0</v>
      </c>
      <c r="I3027" s="141">
        <f t="shared" si="238"/>
        <v>0</v>
      </c>
      <c r="J3027">
        <f t="shared" si="239"/>
        <v>0</v>
      </c>
      <c r="K3027" s="141">
        <f t="shared" si="240"/>
        <v>0</v>
      </c>
    </row>
    <row r="3028" spans="7:11" hidden="1" x14ac:dyDescent="0.25">
      <c r="G3028">
        <f t="shared" si="236"/>
        <v>0</v>
      </c>
      <c r="H3028">
        <f t="shared" si="237"/>
        <v>0</v>
      </c>
      <c r="I3028" s="141">
        <f t="shared" si="238"/>
        <v>0</v>
      </c>
      <c r="J3028">
        <f t="shared" si="239"/>
        <v>0</v>
      </c>
      <c r="K3028" s="141">
        <f t="shared" si="240"/>
        <v>0</v>
      </c>
    </row>
    <row r="3029" spans="7:11" hidden="1" x14ac:dyDescent="0.25">
      <c r="G3029">
        <f t="shared" si="236"/>
        <v>0</v>
      </c>
      <c r="H3029">
        <f t="shared" si="237"/>
        <v>0</v>
      </c>
      <c r="I3029" s="141">
        <f t="shared" si="238"/>
        <v>0</v>
      </c>
      <c r="J3029">
        <f t="shared" si="239"/>
        <v>0</v>
      </c>
      <c r="K3029" s="141">
        <f t="shared" si="240"/>
        <v>0</v>
      </c>
    </row>
    <row r="3030" spans="7:11" hidden="1" x14ac:dyDescent="0.25">
      <c r="G3030">
        <f t="shared" si="236"/>
        <v>0</v>
      </c>
      <c r="H3030">
        <f t="shared" si="237"/>
        <v>0</v>
      </c>
      <c r="I3030" s="141">
        <f t="shared" si="238"/>
        <v>0</v>
      </c>
      <c r="J3030">
        <f t="shared" si="239"/>
        <v>0</v>
      </c>
      <c r="K3030" s="141">
        <f t="shared" si="240"/>
        <v>0</v>
      </c>
    </row>
    <row r="3031" spans="7:11" hidden="1" x14ac:dyDescent="0.25">
      <c r="G3031">
        <f t="shared" si="236"/>
        <v>0</v>
      </c>
      <c r="H3031">
        <f t="shared" si="237"/>
        <v>0</v>
      </c>
      <c r="I3031" s="141">
        <f t="shared" si="238"/>
        <v>0</v>
      </c>
      <c r="J3031">
        <f t="shared" si="239"/>
        <v>0</v>
      </c>
      <c r="K3031" s="141">
        <f t="shared" si="240"/>
        <v>0</v>
      </c>
    </row>
    <row r="3032" spans="7:11" hidden="1" x14ac:dyDescent="0.25">
      <c r="G3032">
        <f t="shared" si="236"/>
        <v>0</v>
      </c>
      <c r="H3032">
        <f t="shared" si="237"/>
        <v>0</v>
      </c>
      <c r="I3032" s="141">
        <f t="shared" si="238"/>
        <v>0</v>
      </c>
      <c r="J3032">
        <f t="shared" si="239"/>
        <v>0</v>
      </c>
      <c r="K3032" s="141">
        <f t="shared" si="240"/>
        <v>0</v>
      </c>
    </row>
    <row r="3033" spans="7:11" hidden="1" x14ac:dyDescent="0.25">
      <c r="G3033">
        <f t="shared" si="236"/>
        <v>0</v>
      </c>
      <c r="H3033">
        <f t="shared" si="237"/>
        <v>0</v>
      </c>
      <c r="I3033" s="141">
        <f t="shared" si="238"/>
        <v>0</v>
      </c>
      <c r="J3033">
        <f t="shared" si="239"/>
        <v>0</v>
      </c>
      <c r="K3033" s="141">
        <f t="shared" si="240"/>
        <v>0</v>
      </c>
    </row>
    <row r="3034" spans="7:11" hidden="1" x14ac:dyDescent="0.25">
      <c r="G3034">
        <f t="shared" si="236"/>
        <v>0</v>
      </c>
      <c r="H3034">
        <f t="shared" si="237"/>
        <v>0</v>
      </c>
      <c r="I3034" s="141">
        <f t="shared" si="238"/>
        <v>0</v>
      </c>
      <c r="J3034">
        <f t="shared" si="239"/>
        <v>0</v>
      </c>
      <c r="K3034" s="141">
        <f t="shared" si="240"/>
        <v>0</v>
      </c>
    </row>
    <row r="3035" spans="7:11" hidden="1" x14ac:dyDescent="0.25">
      <c r="G3035">
        <f t="shared" si="236"/>
        <v>0</v>
      </c>
      <c r="H3035">
        <f t="shared" si="237"/>
        <v>0</v>
      </c>
      <c r="I3035" s="141">
        <f t="shared" si="238"/>
        <v>0</v>
      </c>
      <c r="J3035">
        <f t="shared" si="239"/>
        <v>0</v>
      </c>
      <c r="K3035" s="141">
        <f t="shared" si="240"/>
        <v>0</v>
      </c>
    </row>
    <row r="3036" spans="7:11" hidden="1" x14ac:dyDescent="0.25">
      <c r="G3036">
        <f t="shared" si="236"/>
        <v>0</v>
      </c>
      <c r="H3036">
        <f t="shared" si="237"/>
        <v>0</v>
      </c>
      <c r="I3036" s="141">
        <f t="shared" si="238"/>
        <v>0</v>
      </c>
      <c r="J3036">
        <f t="shared" si="239"/>
        <v>0</v>
      </c>
      <c r="K3036" s="141">
        <f t="shared" si="240"/>
        <v>0</v>
      </c>
    </row>
    <row r="3037" spans="7:11" hidden="1" x14ac:dyDescent="0.25">
      <c r="G3037">
        <f t="shared" si="236"/>
        <v>0</v>
      </c>
      <c r="H3037">
        <f t="shared" si="237"/>
        <v>0</v>
      </c>
      <c r="I3037" s="141">
        <f t="shared" si="238"/>
        <v>0</v>
      </c>
      <c r="J3037">
        <f t="shared" si="239"/>
        <v>0</v>
      </c>
      <c r="K3037" s="141">
        <f t="shared" si="240"/>
        <v>0</v>
      </c>
    </row>
    <row r="3038" spans="7:11" hidden="1" x14ac:dyDescent="0.25">
      <c r="G3038">
        <f t="shared" si="236"/>
        <v>0</v>
      </c>
      <c r="H3038">
        <f t="shared" si="237"/>
        <v>0</v>
      </c>
      <c r="I3038" s="141">
        <f t="shared" si="238"/>
        <v>0</v>
      </c>
      <c r="J3038">
        <f t="shared" si="239"/>
        <v>0</v>
      </c>
      <c r="K3038" s="141">
        <f t="shared" si="240"/>
        <v>0</v>
      </c>
    </row>
    <row r="3039" spans="7:11" hidden="1" x14ac:dyDescent="0.25">
      <c r="G3039">
        <f t="shared" si="236"/>
        <v>0</v>
      </c>
      <c r="H3039">
        <f t="shared" si="237"/>
        <v>0</v>
      </c>
      <c r="I3039" s="141">
        <f t="shared" si="238"/>
        <v>0</v>
      </c>
      <c r="J3039">
        <f t="shared" si="239"/>
        <v>0</v>
      </c>
      <c r="K3039" s="141">
        <f t="shared" si="240"/>
        <v>0</v>
      </c>
    </row>
    <row r="3040" spans="7:11" hidden="1" x14ac:dyDescent="0.25">
      <c r="G3040">
        <f t="shared" si="236"/>
        <v>0</v>
      </c>
      <c r="H3040">
        <f t="shared" si="237"/>
        <v>0</v>
      </c>
      <c r="I3040" s="141">
        <f t="shared" si="238"/>
        <v>0</v>
      </c>
      <c r="J3040">
        <f t="shared" si="239"/>
        <v>0</v>
      </c>
      <c r="K3040" s="141">
        <f t="shared" si="240"/>
        <v>0</v>
      </c>
    </row>
    <row r="3041" spans="7:11" hidden="1" x14ac:dyDescent="0.25">
      <c r="G3041">
        <f t="shared" si="236"/>
        <v>0</v>
      </c>
      <c r="H3041">
        <f t="shared" si="237"/>
        <v>0</v>
      </c>
      <c r="I3041" s="141">
        <f t="shared" si="238"/>
        <v>0</v>
      </c>
      <c r="J3041">
        <f t="shared" si="239"/>
        <v>0</v>
      </c>
      <c r="K3041" s="141">
        <f t="shared" si="240"/>
        <v>0</v>
      </c>
    </row>
    <row r="3042" spans="7:11" hidden="1" x14ac:dyDescent="0.25">
      <c r="G3042">
        <f t="shared" si="236"/>
        <v>0</v>
      </c>
      <c r="H3042">
        <f t="shared" si="237"/>
        <v>0</v>
      </c>
      <c r="I3042" s="141">
        <f t="shared" si="238"/>
        <v>0</v>
      </c>
      <c r="J3042">
        <f t="shared" si="239"/>
        <v>0</v>
      </c>
      <c r="K3042" s="141">
        <f t="shared" si="240"/>
        <v>0</v>
      </c>
    </row>
    <row r="3043" spans="7:11" hidden="1" x14ac:dyDescent="0.25">
      <c r="G3043">
        <f t="shared" si="236"/>
        <v>0</v>
      </c>
      <c r="H3043">
        <f t="shared" si="237"/>
        <v>0</v>
      </c>
      <c r="I3043" s="141">
        <f t="shared" si="238"/>
        <v>0</v>
      </c>
      <c r="J3043">
        <f t="shared" si="239"/>
        <v>0</v>
      </c>
      <c r="K3043" s="141">
        <f t="shared" si="240"/>
        <v>0</v>
      </c>
    </row>
    <row r="3044" spans="7:11" hidden="1" x14ac:dyDescent="0.25">
      <c r="G3044">
        <f t="shared" si="236"/>
        <v>0</v>
      </c>
      <c r="H3044">
        <f t="shared" si="237"/>
        <v>0</v>
      </c>
      <c r="I3044" s="141">
        <f t="shared" si="238"/>
        <v>0</v>
      </c>
      <c r="J3044">
        <f t="shared" si="239"/>
        <v>0</v>
      </c>
      <c r="K3044" s="141">
        <f t="shared" si="240"/>
        <v>0</v>
      </c>
    </row>
    <row r="3045" spans="7:11" hidden="1" x14ac:dyDescent="0.25">
      <c r="G3045">
        <f t="shared" si="236"/>
        <v>0</v>
      </c>
      <c r="H3045">
        <f t="shared" si="237"/>
        <v>0</v>
      </c>
      <c r="I3045" s="141">
        <f t="shared" si="238"/>
        <v>0</v>
      </c>
      <c r="J3045">
        <f t="shared" si="239"/>
        <v>0</v>
      </c>
      <c r="K3045" s="141">
        <f t="shared" si="240"/>
        <v>0</v>
      </c>
    </row>
    <row r="3046" spans="7:11" hidden="1" x14ac:dyDescent="0.25">
      <c r="G3046">
        <f t="shared" si="236"/>
        <v>0</v>
      </c>
      <c r="H3046">
        <f t="shared" si="237"/>
        <v>0</v>
      </c>
      <c r="I3046" s="141">
        <f t="shared" si="238"/>
        <v>0</v>
      </c>
      <c r="J3046">
        <f t="shared" si="239"/>
        <v>0</v>
      </c>
      <c r="K3046" s="141">
        <f t="shared" si="240"/>
        <v>0</v>
      </c>
    </row>
    <row r="3047" spans="7:11" hidden="1" x14ac:dyDescent="0.25">
      <c r="G3047">
        <f t="shared" si="236"/>
        <v>0</v>
      </c>
      <c r="H3047">
        <f t="shared" si="237"/>
        <v>0</v>
      </c>
      <c r="I3047" s="141">
        <f t="shared" si="238"/>
        <v>0</v>
      </c>
      <c r="J3047">
        <f t="shared" si="239"/>
        <v>0</v>
      </c>
      <c r="K3047" s="141">
        <f t="shared" si="240"/>
        <v>0</v>
      </c>
    </row>
    <row r="3048" spans="7:11" hidden="1" x14ac:dyDescent="0.25">
      <c r="G3048">
        <f t="shared" si="236"/>
        <v>0</v>
      </c>
      <c r="H3048">
        <f t="shared" si="237"/>
        <v>0</v>
      </c>
      <c r="I3048" s="141">
        <f t="shared" si="238"/>
        <v>0</v>
      </c>
      <c r="J3048">
        <f t="shared" si="239"/>
        <v>0</v>
      </c>
      <c r="K3048" s="141">
        <f t="shared" si="240"/>
        <v>0</v>
      </c>
    </row>
    <row r="3049" spans="7:11" hidden="1" x14ac:dyDescent="0.25">
      <c r="G3049">
        <f t="shared" si="236"/>
        <v>0</v>
      </c>
      <c r="H3049">
        <f t="shared" si="237"/>
        <v>0</v>
      </c>
      <c r="I3049" s="141">
        <f t="shared" si="238"/>
        <v>0</v>
      </c>
      <c r="J3049">
        <f t="shared" si="239"/>
        <v>0</v>
      </c>
      <c r="K3049" s="141">
        <f t="shared" si="240"/>
        <v>0</v>
      </c>
    </row>
    <row r="3050" spans="7:11" hidden="1" x14ac:dyDescent="0.25">
      <c r="G3050">
        <f t="shared" si="236"/>
        <v>0</v>
      </c>
      <c r="H3050">
        <f t="shared" si="237"/>
        <v>0</v>
      </c>
      <c r="I3050" s="141">
        <f t="shared" si="238"/>
        <v>0</v>
      </c>
      <c r="J3050">
        <f t="shared" si="239"/>
        <v>0</v>
      </c>
      <c r="K3050" s="141">
        <f t="shared" si="240"/>
        <v>0</v>
      </c>
    </row>
    <row r="3051" spans="7:11" hidden="1" x14ac:dyDescent="0.25">
      <c r="G3051">
        <f t="shared" si="236"/>
        <v>0</v>
      </c>
      <c r="H3051">
        <f t="shared" si="237"/>
        <v>0</v>
      </c>
      <c r="I3051" s="141">
        <f t="shared" si="238"/>
        <v>0</v>
      </c>
      <c r="J3051">
        <f t="shared" si="239"/>
        <v>0</v>
      </c>
      <c r="K3051" s="141">
        <f t="shared" si="240"/>
        <v>0</v>
      </c>
    </row>
    <row r="3052" spans="7:11" hidden="1" x14ac:dyDescent="0.25">
      <c r="G3052">
        <f t="shared" si="236"/>
        <v>0</v>
      </c>
      <c r="H3052">
        <f t="shared" si="237"/>
        <v>0</v>
      </c>
      <c r="I3052" s="141">
        <f t="shared" si="238"/>
        <v>0</v>
      </c>
      <c r="J3052">
        <f t="shared" si="239"/>
        <v>0</v>
      </c>
      <c r="K3052" s="141">
        <f t="shared" si="240"/>
        <v>0</v>
      </c>
    </row>
    <row r="3053" spans="7:11" hidden="1" x14ac:dyDescent="0.25">
      <c r="G3053">
        <f t="shared" si="236"/>
        <v>0</v>
      </c>
      <c r="H3053">
        <f t="shared" si="237"/>
        <v>0</v>
      </c>
      <c r="I3053" s="141">
        <f t="shared" si="238"/>
        <v>0</v>
      </c>
      <c r="J3053">
        <f t="shared" si="239"/>
        <v>0</v>
      </c>
      <c r="K3053" s="141">
        <f t="shared" si="240"/>
        <v>0</v>
      </c>
    </row>
    <row r="3054" spans="7:11" hidden="1" x14ac:dyDescent="0.25">
      <c r="G3054">
        <f t="shared" si="236"/>
        <v>0</v>
      </c>
      <c r="H3054">
        <f t="shared" si="237"/>
        <v>0</v>
      </c>
      <c r="I3054" s="141">
        <f t="shared" si="238"/>
        <v>0</v>
      </c>
      <c r="J3054">
        <f t="shared" si="239"/>
        <v>0</v>
      </c>
      <c r="K3054" s="141">
        <f t="shared" si="240"/>
        <v>0</v>
      </c>
    </row>
    <row r="3055" spans="7:11" hidden="1" x14ac:dyDescent="0.25">
      <c r="G3055">
        <f t="shared" si="236"/>
        <v>0</v>
      </c>
      <c r="H3055">
        <f t="shared" si="237"/>
        <v>0</v>
      </c>
      <c r="I3055" s="141">
        <f t="shared" si="238"/>
        <v>0</v>
      </c>
      <c r="J3055">
        <f t="shared" si="239"/>
        <v>0</v>
      </c>
      <c r="K3055" s="141">
        <f t="shared" si="240"/>
        <v>0</v>
      </c>
    </row>
    <row r="3056" spans="7:11" hidden="1" x14ac:dyDescent="0.25">
      <c r="G3056">
        <f t="shared" si="236"/>
        <v>0</v>
      </c>
      <c r="H3056">
        <f t="shared" si="237"/>
        <v>0</v>
      </c>
      <c r="I3056" s="141">
        <f t="shared" si="238"/>
        <v>0</v>
      </c>
      <c r="J3056">
        <f t="shared" si="239"/>
        <v>0</v>
      </c>
      <c r="K3056" s="141">
        <f t="shared" si="240"/>
        <v>0</v>
      </c>
    </row>
    <row r="3057" spans="7:11" hidden="1" x14ac:dyDescent="0.25">
      <c r="G3057">
        <f t="shared" si="236"/>
        <v>0</v>
      </c>
      <c r="H3057">
        <f t="shared" si="237"/>
        <v>0</v>
      </c>
      <c r="I3057" s="141">
        <f t="shared" si="238"/>
        <v>0</v>
      </c>
      <c r="J3057">
        <f t="shared" si="239"/>
        <v>0</v>
      </c>
      <c r="K3057" s="141">
        <f t="shared" si="240"/>
        <v>0</v>
      </c>
    </row>
    <row r="3058" spans="7:11" hidden="1" x14ac:dyDescent="0.25">
      <c r="G3058">
        <f t="shared" si="236"/>
        <v>0</v>
      </c>
      <c r="H3058">
        <f t="shared" si="237"/>
        <v>0</v>
      </c>
      <c r="I3058" s="141">
        <f t="shared" si="238"/>
        <v>0</v>
      </c>
      <c r="J3058">
        <f t="shared" si="239"/>
        <v>0</v>
      </c>
      <c r="K3058" s="141">
        <f t="shared" si="240"/>
        <v>0</v>
      </c>
    </row>
    <row r="3059" spans="7:11" hidden="1" x14ac:dyDescent="0.25">
      <c r="G3059">
        <f t="shared" si="236"/>
        <v>0</v>
      </c>
      <c r="H3059">
        <f t="shared" si="237"/>
        <v>0</v>
      </c>
      <c r="I3059" s="141">
        <f t="shared" si="238"/>
        <v>0</v>
      </c>
      <c r="J3059">
        <f t="shared" si="239"/>
        <v>0</v>
      </c>
      <c r="K3059" s="141">
        <f t="shared" si="240"/>
        <v>0</v>
      </c>
    </row>
    <row r="3060" spans="7:11" hidden="1" x14ac:dyDescent="0.25">
      <c r="G3060">
        <f t="shared" si="236"/>
        <v>0</v>
      </c>
      <c r="H3060">
        <f t="shared" si="237"/>
        <v>0</v>
      </c>
      <c r="I3060" s="141">
        <f t="shared" si="238"/>
        <v>0</v>
      </c>
      <c r="J3060">
        <f t="shared" si="239"/>
        <v>0</v>
      </c>
      <c r="K3060" s="141">
        <f t="shared" si="240"/>
        <v>0</v>
      </c>
    </row>
    <row r="3061" spans="7:11" hidden="1" x14ac:dyDescent="0.25">
      <c r="G3061">
        <f t="shared" si="236"/>
        <v>0</v>
      </c>
      <c r="H3061">
        <f t="shared" si="237"/>
        <v>0</v>
      </c>
      <c r="I3061" s="141">
        <f t="shared" si="238"/>
        <v>0</v>
      </c>
      <c r="J3061">
        <f t="shared" si="239"/>
        <v>0</v>
      </c>
      <c r="K3061" s="141">
        <f t="shared" si="240"/>
        <v>0</v>
      </c>
    </row>
    <row r="3062" spans="7:11" hidden="1" x14ac:dyDescent="0.25">
      <c r="G3062">
        <f t="shared" si="236"/>
        <v>0</v>
      </c>
      <c r="H3062">
        <f t="shared" si="237"/>
        <v>0</v>
      </c>
      <c r="I3062" s="141">
        <f t="shared" si="238"/>
        <v>0</v>
      </c>
      <c r="J3062">
        <f t="shared" si="239"/>
        <v>0</v>
      </c>
      <c r="K3062" s="141">
        <f t="shared" si="240"/>
        <v>0</v>
      </c>
    </row>
    <row r="3063" spans="7:11" hidden="1" x14ac:dyDescent="0.25">
      <c r="G3063">
        <f t="shared" si="236"/>
        <v>0</v>
      </c>
      <c r="H3063">
        <f t="shared" si="237"/>
        <v>0</v>
      </c>
      <c r="I3063" s="141">
        <f t="shared" si="238"/>
        <v>0</v>
      </c>
      <c r="J3063">
        <f t="shared" si="239"/>
        <v>0</v>
      </c>
      <c r="K3063" s="141">
        <f t="shared" si="240"/>
        <v>0</v>
      </c>
    </row>
    <row r="3064" spans="7:11" hidden="1" x14ac:dyDescent="0.25">
      <c r="G3064">
        <f t="shared" si="236"/>
        <v>0</v>
      </c>
      <c r="H3064">
        <f t="shared" si="237"/>
        <v>0</v>
      </c>
      <c r="I3064" s="141">
        <f t="shared" si="238"/>
        <v>0</v>
      </c>
      <c r="J3064">
        <f t="shared" si="239"/>
        <v>0</v>
      </c>
      <c r="K3064" s="141">
        <f t="shared" si="240"/>
        <v>0</v>
      </c>
    </row>
    <row r="3065" spans="7:11" hidden="1" x14ac:dyDescent="0.25">
      <c r="G3065">
        <f t="shared" si="236"/>
        <v>0</v>
      </c>
      <c r="H3065">
        <f t="shared" si="237"/>
        <v>0</v>
      </c>
      <c r="I3065" s="141">
        <f t="shared" si="238"/>
        <v>0</v>
      </c>
      <c r="J3065">
        <f t="shared" si="239"/>
        <v>0</v>
      </c>
      <c r="K3065" s="141">
        <f t="shared" si="240"/>
        <v>0</v>
      </c>
    </row>
    <row r="3066" spans="7:11" hidden="1" x14ac:dyDescent="0.25">
      <c r="G3066">
        <f t="shared" si="236"/>
        <v>0</v>
      </c>
      <c r="H3066">
        <f t="shared" si="237"/>
        <v>0</v>
      </c>
      <c r="I3066" s="141">
        <f t="shared" si="238"/>
        <v>0</v>
      </c>
      <c r="J3066">
        <f t="shared" si="239"/>
        <v>0</v>
      </c>
      <c r="K3066" s="141">
        <f t="shared" si="240"/>
        <v>0</v>
      </c>
    </row>
    <row r="3067" spans="7:11" hidden="1" x14ac:dyDescent="0.25">
      <c r="G3067">
        <f t="shared" si="236"/>
        <v>0</v>
      </c>
      <c r="H3067">
        <f t="shared" si="237"/>
        <v>0</v>
      </c>
      <c r="I3067" s="141">
        <f t="shared" si="238"/>
        <v>0</v>
      </c>
      <c r="J3067">
        <f t="shared" si="239"/>
        <v>0</v>
      </c>
      <c r="K3067" s="141">
        <f t="shared" si="240"/>
        <v>0</v>
      </c>
    </row>
    <row r="3068" spans="7:11" hidden="1" x14ac:dyDescent="0.25">
      <c r="G3068">
        <f t="shared" si="236"/>
        <v>0</v>
      </c>
      <c r="H3068">
        <f t="shared" si="237"/>
        <v>0</v>
      </c>
      <c r="I3068" s="141">
        <f t="shared" si="238"/>
        <v>0</v>
      </c>
      <c r="J3068">
        <f t="shared" si="239"/>
        <v>0</v>
      </c>
      <c r="K3068" s="141">
        <f t="shared" si="240"/>
        <v>0</v>
      </c>
    </row>
    <row r="3069" spans="7:11" hidden="1" x14ac:dyDescent="0.25">
      <c r="G3069">
        <f t="shared" si="236"/>
        <v>0</v>
      </c>
      <c r="H3069">
        <f t="shared" si="237"/>
        <v>0</v>
      </c>
      <c r="I3069" s="141">
        <f t="shared" si="238"/>
        <v>0</v>
      </c>
      <c r="J3069">
        <f t="shared" si="239"/>
        <v>0</v>
      </c>
      <c r="K3069" s="141">
        <f t="shared" si="240"/>
        <v>0</v>
      </c>
    </row>
    <row r="3070" spans="7:11" hidden="1" x14ac:dyDescent="0.25">
      <c r="G3070">
        <f t="shared" si="236"/>
        <v>0</v>
      </c>
      <c r="H3070">
        <f t="shared" si="237"/>
        <v>0</v>
      </c>
      <c r="I3070" s="141">
        <f t="shared" si="238"/>
        <v>0</v>
      </c>
      <c r="J3070">
        <f t="shared" si="239"/>
        <v>0</v>
      </c>
      <c r="K3070" s="141">
        <f t="shared" si="240"/>
        <v>0</v>
      </c>
    </row>
    <row r="3071" spans="7:11" hidden="1" x14ac:dyDescent="0.25">
      <c r="G3071">
        <f t="shared" si="236"/>
        <v>0</v>
      </c>
      <c r="H3071">
        <f t="shared" si="237"/>
        <v>0</v>
      </c>
      <c r="I3071" s="141">
        <f t="shared" si="238"/>
        <v>0</v>
      </c>
      <c r="J3071">
        <f t="shared" si="239"/>
        <v>0</v>
      </c>
      <c r="K3071" s="141">
        <f t="shared" si="240"/>
        <v>0</v>
      </c>
    </row>
    <row r="3072" spans="7:11" hidden="1" x14ac:dyDescent="0.25">
      <c r="G3072">
        <f t="shared" si="236"/>
        <v>0</v>
      </c>
      <c r="H3072">
        <f t="shared" si="237"/>
        <v>0</v>
      </c>
      <c r="I3072" s="141">
        <f t="shared" si="238"/>
        <v>0</v>
      </c>
      <c r="J3072">
        <f t="shared" si="239"/>
        <v>0</v>
      </c>
      <c r="K3072" s="141">
        <f t="shared" si="240"/>
        <v>0</v>
      </c>
    </row>
    <row r="3073" spans="7:11" hidden="1" x14ac:dyDescent="0.25">
      <c r="G3073">
        <f t="shared" si="236"/>
        <v>0</v>
      </c>
      <c r="H3073">
        <f t="shared" si="237"/>
        <v>0</v>
      </c>
      <c r="I3073" s="141">
        <f t="shared" si="238"/>
        <v>0</v>
      </c>
      <c r="J3073">
        <f t="shared" si="239"/>
        <v>0</v>
      </c>
      <c r="K3073" s="141">
        <f t="shared" si="240"/>
        <v>0</v>
      </c>
    </row>
    <row r="3074" spans="7:11" hidden="1" x14ac:dyDescent="0.25">
      <c r="G3074">
        <f t="shared" ref="G3074:G3137" si="241">A3074</f>
        <v>0</v>
      </c>
      <c r="H3074">
        <f t="shared" ref="H3074:H3137" si="242">B3074</f>
        <v>0</v>
      </c>
      <c r="I3074" s="141">
        <f t="shared" ref="I3074:I3137" si="243">C3074</f>
        <v>0</v>
      </c>
      <c r="J3074">
        <f t="shared" ref="J3074:J3137" si="244">D3074</f>
        <v>0</v>
      </c>
      <c r="K3074" s="141">
        <f t="shared" ref="K3074:K3137" si="245">E3074</f>
        <v>0</v>
      </c>
    </row>
    <row r="3075" spans="7:11" hidden="1" x14ac:dyDescent="0.25">
      <c r="G3075">
        <f t="shared" si="241"/>
        <v>0</v>
      </c>
      <c r="H3075">
        <f t="shared" si="242"/>
        <v>0</v>
      </c>
      <c r="I3075" s="141">
        <f t="shared" si="243"/>
        <v>0</v>
      </c>
      <c r="J3075">
        <f t="shared" si="244"/>
        <v>0</v>
      </c>
      <c r="K3075" s="141">
        <f t="shared" si="245"/>
        <v>0</v>
      </c>
    </row>
    <row r="3076" spans="7:11" hidden="1" x14ac:dyDescent="0.25">
      <c r="G3076">
        <f t="shared" si="241"/>
        <v>0</v>
      </c>
      <c r="H3076">
        <f t="shared" si="242"/>
        <v>0</v>
      </c>
      <c r="I3076" s="141">
        <f t="shared" si="243"/>
        <v>0</v>
      </c>
      <c r="J3076">
        <f t="shared" si="244"/>
        <v>0</v>
      </c>
      <c r="K3076" s="141">
        <f t="shared" si="245"/>
        <v>0</v>
      </c>
    </row>
    <row r="3077" spans="7:11" hidden="1" x14ac:dyDescent="0.25">
      <c r="G3077">
        <f t="shared" si="241"/>
        <v>0</v>
      </c>
      <c r="H3077">
        <f t="shared" si="242"/>
        <v>0</v>
      </c>
      <c r="I3077" s="141">
        <f t="shared" si="243"/>
        <v>0</v>
      </c>
      <c r="J3077">
        <f t="shared" si="244"/>
        <v>0</v>
      </c>
      <c r="K3077" s="141">
        <f t="shared" si="245"/>
        <v>0</v>
      </c>
    </row>
    <row r="3078" spans="7:11" hidden="1" x14ac:dyDescent="0.25">
      <c r="G3078">
        <f t="shared" si="241"/>
        <v>0</v>
      </c>
      <c r="H3078">
        <f t="shared" si="242"/>
        <v>0</v>
      </c>
      <c r="I3078" s="141">
        <f t="shared" si="243"/>
        <v>0</v>
      </c>
      <c r="J3078">
        <f t="shared" si="244"/>
        <v>0</v>
      </c>
      <c r="K3078" s="141">
        <f t="shared" si="245"/>
        <v>0</v>
      </c>
    </row>
    <row r="3079" spans="7:11" hidden="1" x14ac:dyDescent="0.25">
      <c r="G3079">
        <f t="shared" si="241"/>
        <v>0</v>
      </c>
      <c r="H3079">
        <f t="shared" si="242"/>
        <v>0</v>
      </c>
      <c r="I3079" s="141">
        <f t="shared" si="243"/>
        <v>0</v>
      </c>
      <c r="J3079">
        <f t="shared" si="244"/>
        <v>0</v>
      </c>
      <c r="K3079" s="141">
        <f t="shared" si="245"/>
        <v>0</v>
      </c>
    </row>
    <row r="3080" spans="7:11" hidden="1" x14ac:dyDescent="0.25">
      <c r="G3080">
        <f t="shared" si="241"/>
        <v>0</v>
      </c>
      <c r="H3080">
        <f t="shared" si="242"/>
        <v>0</v>
      </c>
      <c r="I3080" s="141">
        <f t="shared" si="243"/>
        <v>0</v>
      </c>
      <c r="J3080">
        <f t="shared" si="244"/>
        <v>0</v>
      </c>
      <c r="K3080" s="141">
        <f t="shared" si="245"/>
        <v>0</v>
      </c>
    </row>
    <row r="3081" spans="7:11" hidden="1" x14ac:dyDescent="0.25">
      <c r="G3081">
        <f t="shared" si="241"/>
        <v>0</v>
      </c>
      <c r="H3081">
        <f t="shared" si="242"/>
        <v>0</v>
      </c>
      <c r="I3081" s="141">
        <f t="shared" si="243"/>
        <v>0</v>
      </c>
      <c r="J3081">
        <f t="shared" si="244"/>
        <v>0</v>
      </c>
      <c r="K3081" s="141">
        <f t="shared" si="245"/>
        <v>0</v>
      </c>
    </row>
    <row r="3082" spans="7:11" hidden="1" x14ac:dyDescent="0.25">
      <c r="G3082">
        <f t="shared" si="241"/>
        <v>0</v>
      </c>
      <c r="H3082">
        <f t="shared" si="242"/>
        <v>0</v>
      </c>
      <c r="I3082" s="141">
        <f t="shared" si="243"/>
        <v>0</v>
      </c>
      <c r="J3082">
        <f t="shared" si="244"/>
        <v>0</v>
      </c>
      <c r="K3082" s="141">
        <f t="shared" si="245"/>
        <v>0</v>
      </c>
    </row>
    <row r="3083" spans="7:11" hidden="1" x14ac:dyDescent="0.25">
      <c r="G3083">
        <f t="shared" si="241"/>
        <v>0</v>
      </c>
      <c r="H3083">
        <f t="shared" si="242"/>
        <v>0</v>
      </c>
      <c r="I3083" s="141">
        <f t="shared" si="243"/>
        <v>0</v>
      </c>
      <c r="J3083">
        <f t="shared" si="244"/>
        <v>0</v>
      </c>
      <c r="K3083" s="141">
        <f t="shared" si="245"/>
        <v>0</v>
      </c>
    </row>
    <row r="3084" spans="7:11" hidden="1" x14ac:dyDescent="0.25">
      <c r="G3084">
        <f t="shared" si="241"/>
        <v>0</v>
      </c>
      <c r="H3084">
        <f t="shared" si="242"/>
        <v>0</v>
      </c>
      <c r="I3084" s="141">
        <f t="shared" si="243"/>
        <v>0</v>
      </c>
      <c r="J3084">
        <f t="shared" si="244"/>
        <v>0</v>
      </c>
      <c r="K3084" s="141">
        <f t="shared" si="245"/>
        <v>0</v>
      </c>
    </row>
    <row r="3085" spans="7:11" hidden="1" x14ac:dyDescent="0.25">
      <c r="G3085">
        <f t="shared" si="241"/>
        <v>0</v>
      </c>
      <c r="H3085">
        <f t="shared" si="242"/>
        <v>0</v>
      </c>
      <c r="I3085" s="141">
        <f t="shared" si="243"/>
        <v>0</v>
      </c>
      <c r="J3085">
        <f t="shared" si="244"/>
        <v>0</v>
      </c>
      <c r="K3085" s="141">
        <f t="shared" si="245"/>
        <v>0</v>
      </c>
    </row>
    <row r="3086" spans="7:11" hidden="1" x14ac:dyDescent="0.25">
      <c r="G3086">
        <f t="shared" si="241"/>
        <v>0</v>
      </c>
      <c r="H3086">
        <f t="shared" si="242"/>
        <v>0</v>
      </c>
      <c r="I3086" s="141">
        <f t="shared" si="243"/>
        <v>0</v>
      </c>
      <c r="J3086">
        <f t="shared" si="244"/>
        <v>0</v>
      </c>
      <c r="K3086" s="141">
        <f t="shared" si="245"/>
        <v>0</v>
      </c>
    </row>
    <row r="3087" spans="7:11" hidden="1" x14ac:dyDescent="0.25">
      <c r="G3087">
        <f t="shared" si="241"/>
        <v>0</v>
      </c>
      <c r="H3087">
        <f t="shared" si="242"/>
        <v>0</v>
      </c>
      <c r="I3087" s="141">
        <f t="shared" si="243"/>
        <v>0</v>
      </c>
      <c r="J3087">
        <f t="shared" si="244"/>
        <v>0</v>
      </c>
      <c r="K3087" s="141">
        <f t="shared" si="245"/>
        <v>0</v>
      </c>
    </row>
    <row r="3088" spans="7:11" hidden="1" x14ac:dyDescent="0.25">
      <c r="G3088">
        <f t="shared" si="241"/>
        <v>0</v>
      </c>
      <c r="H3088">
        <f t="shared" si="242"/>
        <v>0</v>
      </c>
      <c r="I3088" s="141">
        <f t="shared" si="243"/>
        <v>0</v>
      </c>
      <c r="J3088">
        <f t="shared" si="244"/>
        <v>0</v>
      </c>
      <c r="K3088" s="141">
        <f t="shared" si="245"/>
        <v>0</v>
      </c>
    </row>
    <row r="3089" spans="7:11" hidden="1" x14ac:dyDescent="0.25">
      <c r="G3089">
        <f t="shared" si="241"/>
        <v>0</v>
      </c>
      <c r="H3089">
        <f t="shared" si="242"/>
        <v>0</v>
      </c>
      <c r="I3089" s="141">
        <f t="shared" si="243"/>
        <v>0</v>
      </c>
      <c r="J3089">
        <f t="shared" si="244"/>
        <v>0</v>
      </c>
      <c r="K3089" s="141">
        <f t="shared" si="245"/>
        <v>0</v>
      </c>
    </row>
    <row r="3090" spans="7:11" hidden="1" x14ac:dyDescent="0.25">
      <c r="G3090">
        <f t="shared" si="241"/>
        <v>0</v>
      </c>
      <c r="H3090">
        <f t="shared" si="242"/>
        <v>0</v>
      </c>
      <c r="I3090" s="141">
        <f t="shared" si="243"/>
        <v>0</v>
      </c>
      <c r="J3090">
        <f t="shared" si="244"/>
        <v>0</v>
      </c>
      <c r="K3090" s="141">
        <f t="shared" si="245"/>
        <v>0</v>
      </c>
    </row>
    <row r="3091" spans="7:11" hidden="1" x14ac:dyDescent="0.25">
      <c r="G3091">
        <f t="shared" si="241"/>
        <v>0</v>
      </c>
      <c r="H3091">
        <f t="shared" si="242"/>
        <v>0</v>
      </c>
      <c r="I3091" s="141">
        <f t="shared" si="243"/>
        <v>0</v>
      </c>
      <c r="J3091">
        <f t="shared" si="244"/>
        <v>0</v>
      </c>
      <c r="K3091" s="141">
        <f t="shared" si="245"/>
        <v>0</v>
      </c>
    </row>
    <row r="3092" spans="7:11" hidden="1" x14ac:dyDescent="0.25">
      <c r="G3092">
        <f t="shared" si="241"/>
        <v>0</v>
      </c>
      <c r="H3092">
        <f t="shared" si="242"/>
        <v>0</v>
      </c>
      <c r="I3092" s="141">
        <f t="shared" si="243"/>
        <v>0</v>
      </c>
      <c r="J3092">
        <f t="shared" si="244"/>
        <v>0</v>
      </c>
      <c r="K3092" s="141">
        <f t="shared" si="245"/>
        <v>0</v>
      </c>
    </row>
    <row r="3093" spans="7:11" hidden="1" x14ac:dyDescent="0.25">
      <c r="G3093">
        <f t="shared" si="241"/>
        <v>0</v>
      </c>
      <c r="H3093">
        <f t="shared" si="242"/>
        <v>0</v>
      </c>
      <c r="I3093" s="141">
        <f t="shared" si="243"/>
        <v>0</v>
      </c>
      <c r="J3093">
        <f t="shared" si="244"/>
        <v>0</v>
      </c>
      <c r="K3093" s="141">
        <f t="shared" si="245"/>
        <v>0</v>
      </c>
    </row>
    <row r="3094" spans="7:11" hidden="1" x14ac:dyDescent="0.25">
      <c r="G3094">
        <f t="shared" si="241"/>
        <v>0</v>
      </c>
      <c r="H3094">
        <f t="shared" si="242"/>
        <v>0</v>
      </c>
      <c r="I3094" s="141">
        <f t="shared" si="243"/>
        <v>0</v>
      </c>
      <c r="J3094">
        <f t="shared" si="244"/>
        <v>0</v>
      </c>
      <c r="K3094" s="141">
        <f t="shared" si="245"/>
        <v>0</v>
      </c>
    </row>
    <row r="3095" spans="7:11" hidden="1" x14ac:dyDescent="0.25">
      <c r="G3095">
        <f t="shared" si="241"/>
        <v>0</v>
      </c>
      <c r="H3095">
        <f t="shared" si="242"/>
        <v>0</v>
      </c>
      <c r="I3095" s="141">
        <f t="shared" si="243"/>
        <v>0</v>
      </c>
      <c r="J3095">
        <f t="shared" si="244"/>
        <v>0</v>
      </c>
      <c r="K3095" s="141">
        <f t="shared" si="245"/>
        <v>0</v>
      </c>
    </row>
    <row r="3096" spans="7:11" hidden="1" x14ac:dyDescent="0.25">
      <c r="G3096">
        <f t="shared" si="241"/>
        <v>0</v>
      </c>
      <c r="H3096">
        <f t="shared" si="242"/>
        <v>0</v>
      </c>
      <c r="I3096" s="141">
        <f t="shared" si="243"/>
        <v>0</v>
      </c>
      <c r="J3096">
        <f t="shared" si="244"/>
        <v>0</v>
      </c>
      <c r="K3096" s="141">
        <f t="shared" si="245"/>
        <v>0</v>
      </c>
    </row>
    <row r="3097" spans="7:11" hidden="1" x14ac:dyDescent="0.25">
      <c r="G3097">
        <f t="shared" si="241"/>
        <v>0</v>
      </c>
      <c r="H3097">
        <f t="shared" si="242"/>
        <v>0</v>
      </c>
      <c r="I3097" s="141">
        <f t="shared" si="243"/>
        <v>0</v>
      </c>
      <c r="J3097">
        <f t="shared" si="244"/>
        <v>0</v>
      </c>
      <c r="K3097" s="141">
        <f t="shared" si="245"/>
        <v>0</v>
      </c>
    </row>
    <row r="3098" spans="7:11" hidden="1" x14ac:dyDescent="0.25">
      <c r="G3098">
        <f t="shared" si="241"/>
        <v>0</v>
      </c>
      <c r="H3098">
        <f t="shared" si="242"/>
        <v>0</v>
      </c>
      <c r="I3098" s="141">
        <f t="shared" si="243"/>
        <v>0</v>
      </c>
      <c r="J3098">
        <f t="shared" si="244"/>
        <v>0</v>
      </c>
      <c r="K3098" s="141">
        <f t="shared" si="245"/>
        <v>0</v>
      </c>
    </row>
    <row r="3099" spans="7:11" hidden="1" x14ac:dyDescent="0.25">
      <c r="G3099">
        <f t="shared" si="241"/>
        <v>0</v>
      </c>
      <c r="H3099">
        <f t="shared" si="242"/>
        <v>0</v>
      </c>
      <c r="I3099" s="141">
        <f t="shared" si="243"/>
        <v>0</v>
      </c>
      <c r="J3099">
        <f t="shared" si="244"/>
        <v>0</v>
      </c>
      <c r="K3099" s="141">
        <f t="shared" si="245"/>
        <v>0</v>
      </c>
    </row>
    <row r="3100" spans="7:11" hidden="1" x14ac:dyDescent="0.25">
      <c r="G3100">
        <f t="shared" si="241"/>
        <v>0</v>
      </c>
      <c r="H3100">
        <f t="shared" si="242"/>
        <v>0</v>
      </c>
      <c r="I3100" s="141">
        <f t="shared" si="243"/>
        <v>0</v>
      </c>
      <c r="J3100">
        <f t="shared" si="244"/>
        <v>0</v>
      </c>
      <c r="K3100" s="141">
        <f t="shared" si="245"/>
        <v>0</v>
      </c>
    </row>
    <row r="3101" spans="7:11" hidden="1" x14ac:dyDescent="0.25">
      <c r="G3101">
        <f t="shared" si="241"/>
        <v>0</v>
      </c>
      <c r="H3101">
        <f t="shared" si="242"/>
        <v>0</v>
      </c>
      <c r="I3101" s="141">
        <f t="shared" si="243"/>
        <v>0</v>
      </c>
      <c r="J3101">
        <f t="shared" si="244"/>
        <v>0</v>
      </c>
      <c r="K3101" s="141">
        <f t="shared" si="245"/>
        <v>0</v>
      </c>
    </row>
    <row r="3102" spans="7:11" hidden="1" x14ac:dyDescent="0.25">
      <c r="G3102">
        <f t="shared" si="241"/>
        <v>0</v>
      </c>
      <c r="H3102">
        <f t="shared" si="242"/>
        <v>0</v>
      </c>
      <c r="I3102" s="141">
        <f t="shared" si="243"/>
        <v>0</v>
      </c>
      <c r="J3102">
        <f t="shared" si="244"/>
        <v>0</v>
      </c>
      <c r="K3102" s="141">
        <f t="shared" si="245"/>
        <v>0</v>
      </c>
    </row>
    <row r="3103" spans="7:11" hidden="1" x14ac:dyDescent="0.25">
      <c r="G3103">
        <f t="shared" si="241"/>
        <v>0</v>
      </c>
      <c r="H3103">
        <f t="shared" si="242"/>
        <v>0</v>
      </c>
      <c r="I3103" s="141">
        <f t="shared" si="243"/>
        <v>0</v>
      </c>
      <c r="J3103">
        <f t="shared" si="244"/>
        <v>0</v>
      </c>
      <c r="K3103" s="141">
        <f t="shared" si="245"/>
        <v>0</v>
      </c>
    </row>
    <row r="3104" spans="7:11" hidden="1" x14ac:dyDescent="0.25">
      <c r="G3104">
        <f t="shared" si="241"/>
        <v>0</v>
      </c>
      <c r="H3104">
        <f t="shared" si="242"/>
        <v>0</v>
      </c>
      <c r="I3104" s="141">
        <f t="shared" si="243"/>
        <v>0</v>
      </c>
      <c r="J3104">
        <f t="shared" si="244"/>
        <v>0</v>
      </c>
      <c r="K3104" s="141">
        <f t="shared" si="245"/>
        <v>0</v>
      </c>
    </row>
    <row r="3105" spans="7:11" hidden="1" x14ac:dyDescent="0.25">
      <c r="G3105">
        <f t="shared" si="241"/>
        <v>0</v>
      </c>
      <c r="H3105">
        <f t="shared" si="242"/>
        <v>0</v>
      </c>
      <c r="I3105" s="141">
        <f t="shared" si="243"/>
        <v>0</v>
      </c>
      <c r="J3105">
        <f t="shared" si="244"/>
        <v>0</v>
      </c>
      <c r="K3105" s="141">
        <f t="shared" si="245"/>
        <v>0</v>
      </c>
    </row>
    <row r="3106" spans="7:11" hidden="1" x14ac:dyDescent="0.25">
      <c r="G3106">
        <f t="shared" si="241"/>
        <v>0</v>
      </c>
      <c r="H3106">
        <f t="shared" si="242"/>
        <v>0</v>
      </c>
      <c r="I3106" s="141">
        <f t="shared" si="243"/>
        <v>0</v>
      </c>
      <c r="J3106">
        <f t="shared" si="244"/>
        <v>0</v>
      </c>
      <c r="K3106" s="141">
        <f t="shared" si="245"/>
        <v>0</v>
      </c>
    </row>
    <row r="3107" spans="7:11" hidden="1" x14ac:dyDescent="0.25">
      <c r="G3107">
        <f t="shared" si="241"/>
        <v>0</v>
      </c>
      <c r="H3107">
        <f t="shared" si="242"/>
        <v>0</v>
      </c>
      <c r="I3107" s="141">
        <f t="shared" si="243"/>
        <v>0</v>
      </c>
      <c r="J3107">
        <f t="shared" si="244"/>
        <v>0</v>
      </c>
      <c r="K3107" s="141">
        <f t="shared" si="245"/>
        <v>0</v>
      </c>
    </row>
    <row r="3108" spans="7:11" hidden="1" x14ac:dyDescent="0.25">
      <c r="G3108">
        <f t="shared" si="241"/>
        <v>0</v>
      </c>
      <c r="H3108">
        <f t="shared" si="242"/>
        <v>0</v>
      </c>
      <c r="I3108" s="141">
        <f t="shared" si="243"/>
        <v>0</v>
      </c>
      <c r="J3108">
        <f t="shared" si="244"/>
        <v>0</v>
      </c>
      <c r="K3108" s="141">
        <f t="shared" si="245"/>
        <v>0</v>
      </c>
    </row>
    <row r="3109" spans="7:11" hidden="1" x14ac:dyDescent="0.25">
      <c r="G3109">
        <f t="shared" si="241"/>
        <v>0</v>
      </c>
      <c r="H3109">
        <f t="shared" si="242"/>
        <v>0</v>
      </c>
      <c r="I3109" s="141">
        <f t="shared" si="243"/>
        <v>0</v>
      </c>
      <c r="J3109">
        <f t="shared" si="244"/>
        <v>0</v>
      </c>
      <c r="K3109" s="141">
        <f t="shared" si="245"/>
        <v>0</v>
      </c>
    </row>
    <row r="3110" spans="7:11" hidden="1" x14ac:dyDescent="0.25">
      <c r="G3110">
        <f t="shared" si="241"/>
        <v>0</v>
      </c>
      <c r="H3110">
        <f t="shared" si="242"/>
        <v>0</v>
      </c>
      <c r="I3110" s="141">
        <f t="shared" si="243"/>
        <v>0</v>
      </c>
      <c r="J3110">
        <f t="shared" si="244"/>
        <v>0</v>
      </c>
      <c r="K3110" s="141">
        <f t="shared" si="245"/>
        <v>0</v>
      </c>
    </row>
    <row r="3111" spans="7:11" hidden="1" x14ac:dyDescent="0.25">
      <c r="G3111">
        <f t="shared" si="241"/>
        <v>0</v>
      </c>
      <c r="H3111">
        <f t="shared" si="242"/>
        <v>0</v>
      </c>
      <c r="I3111" s="141">
        <f t="shared" si="243"/>
        <v>0</v>
      </c>
      <c r="J3111">
        <f t="shared" si="244"/>
        <v>0</v>
      </c>
      <c r="K3111" s="141">
        <f t="shared" si="245"/>
        <v>0</v>
      </c>
    </row>
    <row r="3112" spans="7:11" hidden="1" x14ac:dyDescent="0.25">
      <c r="G3112">
        <f t="shared" si="241"/>
        <v>0</v>
      </c>
      <c r="H3112">
        <f t="shared" si="242"/>
        <v>0</v>
      </c>
      <c r="I3112" s="141">
        <f t="shared" si="243"/>
        <v>0</v>
      </c>
      <c r="J3112">
        <f t="shared" si="244"/>
        <v>0</v>
      </c>
      <c r="K3112" s="141">
        <f t="shared" si="245"/>
        <v>0</v>
      </c>
    </row>
    <row r="3113" spans="7:11" hidden="1" x14ac:dyDescent="0.25">
      <c r="G3113">
        <f t="shared" si="241"/>
        <v>0</v>
      </c>
      <c r="H3113">
        <f t="shared" si="242"/>
        <v>0</v>
      </c>
      <c r="I3113" s="141">
        <f t="shared" si="243"/>
        <v>0</v>
      </c>
      <c r="J3113">
        <f t="shared" si="244"/>
        <v>0</v>
      </c>
      <c r="K3113" s="141">
        <f t="shared" si="245"/>
        <v>0</v>
      </c>
    </row>
    <row r="3114" spans="7:11" hidden="1" x14ac:dyDescent="0.25">
      <c r="G3114">
        <f t="shared" si="241"/>
        <v>0</v>
      </c>
      <c r="H3114">
        <f t="shared" si="242"/>
        <v>0</v>
      </c>
      <c r="I3114" s="141">
        <f t="shared" si="243"/>
        <v>0</v>
      </c>
      <c r="J3114">
        <f t="shared" si="244"/>
        <v>0</v>
      </c>
      <c r="K3114" s="141">
        <f t="shared" si="245"/>
        <v>0</v>
      </c>
    </row>
    <row r="3115" spans="7:11" hidden="1" x14ac:dyDescent="0.25">
      <c r="G3115">
        <f t="shared" si="241"/>
        <v>0</v>
      </c>
      <c r="H3115">
        <f t="shared" si="242"/>
        <v>0</v>
      </c>
      <c r="I3115" s="141">
        <f t="shared" si="243"/>
        <v>0</v>
      </c>
      <c r="J3115">
        <f t="shared" si="244"/>
        <v>0</v>
      </c>
      <c r="K3115" s="141">
        <f t="shared" si="245"/>
        <v>0</v>
      </c>
    </row>
    <row r="3116" spans="7:11" hidden="1" x14ac:dyDescent="0.25">
      <c r="G3116">
        <f t="shared" si="241"/>
        <v>0</v>
      </c>
      <c r="H3116">
        <f t="shared" si="242"/>
        <v>0</v>
      </c>
      <c r="I3116" s="141">
        <f t="shared" si="243"/>
        <v>0</v>
      </c>
      <c r="J3116">
        <f t="shared" si="244"/>
        <v>0</v>
      </c>
      <c r="K3116" s="141">
        <f t="shared" si="245"/>
        <v>0</v>
      </c>
    </row>
    <row r="3117" spans="7:11" hidden="1" x14ac:dyDescent="0.25">
      <c r="G3117">
        <f t="shared" si="241"/>
        <v>0</v>
      </c>
      <c r="H3117">
        <f t="shared" si="242"/>
        <v>0</v>
      </c>
      <c r="I3117" s="141">
        <f t="shared" si="243"/>
        <v>0</v>
      </c>
      <c r="J3117">
        <f t="shared" si="244"/>
        <v>0</v>
      </c>
      <c r="K3117" s="141">
        <f t="shared" si="245"/>
        <v>0</v>
      </c>
    </row>
    <row r="3118" spans="7:11" hidden="1" x14ac:dyDescent="0.25">
      <c r="G3118">
        <f t="shared" si="241"/>
        <v>0</v>
      </c>
      <c r="H3118">
        <f t="shared" si="242"/>
        <v>0</v>
      </c>
      <c r="I3118" s="141">
        <f t="shared" si="243"/>
        <v>0</v>
      </c>
      <c r="J3118">
        <f t="shared" si="244"/>
        <v>0</v>
      </c>
      <c r="K3118" s="141">
        <f t="shared" si="245"/>
        <v>0</v>
      </c>
    </row>
    <row r="3119" spans="7:11" hidden="1" x14ac:dyDescent="0.25">
      <c r="G3119">
        <f t="shared" si="241"/>
        <v>0</v>
      </c>
      <c r="H3119">
        <f t="shared" si="242"/>
        <v>0</v>
      </c>
      <c r="I3119" s="141">
        <f t="shared" si="243"/>
        <v>0</v>
      </c>
      <c r="J3119">
        <f t="shared" si="244"/>
        <v>0</v>
      </c>
      <c r="K3119" s="141">
        <f t="shared" si="245"/>
        <v>0</v>
      </c>
    </row>
    <row r="3120" spans="7:11" hidden="1" x14ac:dyDescent="0.25">
      <c r="G3120">
        <f t="shared" si="241"/>
        <v>0</v>
      </c>
      <c r="H3120">
        <f t="shared" si="242"/>
        <v>0</v>
      </c>
      <c r="I3120" s="141">
        <f t="shared" si="243"/>
        <v>0</v>
      </c>
      <c r="J3120">
        <f t="shared" si="244"/>
        <v>0</v>
      </c>
      <c r="K3120" s="141">
        <f t="shared" si="245"/>
        <v>0</v>
      </c>
    </row>
    <row r="3121" spans="7:11" hidden="1" x14ac:dyDescent="0.25">
      <c r="G3121">
        <f t="shared" si="241"/>
        <v>0</v>
      </c>
      <c r="H3121">
        <f t="shared" si="242"/>
        <v>0</v>
      </c>
      <c r="I3121" s="141">
        <f t="shared" si="243"/>
        <v>0</v>
      </c>
      <c r="J3121">
        <f t="shared" si="244"/>
        <v>0</v>
      </c>
      <c r="K3121" s="141">
        <f t="shared" si="245"/>
        <v>0</v>
      </c>
    </row>
    <row r="3122" spans="7:11" hidden="1" x14ac:dyDescent="0.25">
      <c r="G3122">
        <f t="shared" si="241"/>
        <v>0</v>
      </c>
      <c r="H3122">
        <f t="shared" si="242"/>
        <v>0</v>
      </c>
      <c r="I3122" s="141">
        <f t="shared" si="243"/>
        <v>0</v>
      </c>
      <c r="J3122">
        <f t="shared" si="244"/>
        <v>0</v>
      </c>
      <c r="K3122" s="141">
        <f t="shared" si="245"/>
        <v>0</v>
      </c>
    </row>
    <row r="3123" spans="7:11" hidden="1" x14ac:dyDescent="0.25">
      <c r="G3123">
        <f t="shared" si="241"/>
        <v>0</v>
      </c>
      <c r="H3123">
        <f t="shared" si="242"/>
        <v>0</v>
      </c>
      <c r="I3123" s="141">
        <f t="shared" si="243"/>
        <v>0</v>
      </c>
      <c r="J3123">
        <f t="shared" si="244"/>
        <v>0</v>
      </c>
      <c r="K3123" s="141">
        <f t="shared" si="245"/>
        <v>0</v>
      </c>
    </row>
    <row r="3124" spans="7:11" hidden="1" x14ac:dyDescent="0.25">
      <c r="G3124">
        <f t="shared" si="241"/>
        <v>0</v>
      </c>
      <c r="H3124">
        <f t="shared" si="242"/>
        <v>0</v>
      </c>
      <c r="I3124" s="141">
        <f t="shared" si="243"/>
        <v>0</v>
      </c>
      <c r="J3124">
        <f t="shared" si="244"/>
        <v>0</v>
      </c>
      <c r="K3124" s="141">
        <f t="shared" si="245"/>
        <v>0</v>
      </c>
    </row>
    <row r="3125" spans="7:11" hidden="1" x14ac:dyDescent="0.25">
      <c r="G3125">
        <f t="shared" si="241"/>
        <v>0</v>
      </c>
      <c r="H3125">
        <f t="shared" si="242"/>
        <v>0</v>
      </c>
      <c r="I3125" s="141">
        <f t="shared" si="243"/>
        <v>0</v>
      </c>
      <c r="J3125">
        <f t="shared" si="244"/>
        <v>0</v>
      </c>
      <c r="K3125" s="141">
        <f t="shared" si="245"/>
        <v>0</v>
      </c>
    </row>
    <row r="3126" spans="7:11" hidden="1" x14ac:dyDescent="0.25">
      <c r="G3126">
        <f t="shared" si="241"/>
        <v>0</v>
      </c>
      <c r="H3126">
        <f t="shared" si="242"/>
        <v>0</v>
      </c>
      <c r="I3126" s="141">
        <f t="shared" si="243"/>
        <v>0</v>
      </c>
      <c r="J3126">
        <f t="shared" si="244"/>
        <v>0</v>
      </c>
      <c r="K3126" s="141">
        <f t="shared" si="245"/>
        <v>0</v>
      </c>
    </row>
    <row r="3127" spans="7:11" hidden="1" x14ac:dyDescent="0.25">
      <c r="G3127">
        <f t="shared" si="241"/>
        <v>0</v>
      </c>
      <c r="H3127">
        <f t="shared" si="242"/>
        <v>0</v>
      </c>
      <c r="I3127" s="141">
        <f t="shared" si="243"/>
        <v>0</v>
      </c>
      <c r="J3127">
        <f t="shared" si="244"/>
        <v>0</v>
      </c>
      <c r="K3127" s="141">
        <f t="shared" si="245"/>
        <v>0</v>
      </c>
    </row>
    <row r="3128" spans="7:11" hidden="1" x14ac:dyDescent="0.25">
      <c r="G3128">
        <f t="shared" si="241"/>
        <v>0</v>
      </c>
      <c r="H3128">
        <f t="shared" si="242"/>
        <v>0</v>
      </c>
      <c r="I3128" s="141">
        <f t="shared" si="243"/>
        <v>0</v>
      </c>
      <c r="J3128">
        <f t="shared" si="244"/>
        <v>0</v>
      </c>
      <c r="K3128" s="141">
        <f t="shared" si="245"/>
        <v>0</v>
      </c>
    </row>
    <row r="3129" spans="7:11" hidden="1" x14ac:dyDescent="0.25">
      <c r="G3129">
        <f t="shared" si="241"/>
        <v>0</v>
      </c>
      <c r="H3129">
        <f t="shared" si="242"/>
        <v>0</v>
      </c>
      <c r="I3129" s="141">
        <f t="shared" si="243"/>
        <v>0</v>
      </c>
      <c r="J3129">
        <f t="shared" si="244"/>
        <v>0</v>
      </c>
      <c r="K3129" s="141">
        <f t="shared" si="245"/>
        <v>0</v>
      </c>
    </row>
    <row r="3130" spans="7:11" hidden="1" x14ac:dyDescent="0.25">
      <c r="G3130">
        <f t="shared" si="241"/>
        <v>0</v>
      </c>
      <c r="H3130">
        <f t="shared" si="242"/>
        <v>0</v>
      </c>
      <c r="I3130" s="141">
        <f t="shared" si="243"/>
        <v>0</v>
      </c>
      <c r="J3130">
        <f t="shared" si="244"/>
        <v>0</v>
      </c>
      <c r="K3130" s="141">
        <f t="shared" si="245"/>
        <v>0</v>
      </c>
    </row>
    <row r="3131" spans="7:11" hidden="1" x14ac:dyDescent="0.25">
      <c r="G3131">
        <f t="shared" si="241"/>
        <v>0</v>
      </c>
      <c r="H3131">
        <f t="shared" si="242"/>
        <v>0</v>
      </c>
      <c r="I3131" s="141">
        <f t="shared" si="243"/>
        <v>0</v>
      </c>
      <c r="J3131">
        <f t="shared" si="244"/>
        <v>0</v>
      </c>
      <c r="K3131" s="141">
        <f t="shared" si="245"/>
        <v>0</v>
      </c>
    </row>
    <row r="3132" spans="7:11" hidden="1" x14ac:dyDescent="0.25">
      <c r="G3132">
        <f t="shared" si="241"/>
        <v>0</v>
      </c>
      <c r="H3132">
        <f t="shared" si="242"/>
        <v>0</v>
      </c>
      <c r="I3132" s="141">
        <f t="shared" si="243"/>
        <v>0</v>
      </c>
      <c r="J3132">
        <f t="shared" si="244"/>
        <v>0</v>
      </c>
      <c r="K3132" s="141">
        <f t="shared" si="245"/>
        <v>0</v>
      </c>
    </row>
    <row r="3133" spans="7:11" hidden="1" x14ac:dyDescent="0.25">
      <c r="G3133">
        <f t="shared" si="241"/>
        <v>0</v>
      </c>
      <c r="H3133">
        <f t="shared" si="242"/>
        <v>0</v>
      </c>
      <c r="I3133" s="141">
        <f t="shared" si="243"/>
        <v>0</v>
      </c>
      <c r="J3133">
        <f t="shared" si="244"/>
        <v>0</v>
      </c>
      <c r="K3133" s="141">
        <f t="shared" si="245"/>
        <v>0</v>
      </c>
    </row>
    <row r="3134" spans="7:11" hidden="1" x14ac:dyDescent="0.25">
      <c r="G3134">
        <f t="shared" si="241"/>
        <v>0</v>
      </c>
      <c r="H3134">
        <f t="shared" si="242"/>
        <v>0</v>
      </c>
      <c r="I3134" s="141">
        <f t="shared" si="243"/>
        <v>0</v>
      </c>
      <c r="J3134">
        <f t="shared" si="244"/>
        <v>0</v>
      </c>
      <c r="K3134" s="141">
        <f t="shared" si="245"/>
        <v>0</v>
      </c>
    </row>
    <row r="3135" spans="7:11" hidden="1" x14ac:dyDescent="0.25">
      <c r="G3135">
        <f t="shared" si="241"/>
        <v>0</v>
      </c>
      <c r="H3135">
        <f t="shared" si="242"/>
        <v>0</v>
      </c>
      <c r="I3135" s="141">
        <f t="shared" si="243"/>
        <v>0</v>
      </c>
      <c r="J3135">
        <f t="shared" si="244"/>
        <v>0</v>
      </c>
      <c r="K3135" s="141">
        <f t="shared" si="245"/>
        <v>0</v>
      </c>
    </row>
    <row r="3136" spans="7:11" hidden="1" x14ac:dyDescent="0.25">
      <c r="G3136">
        <f t="shared" si="241"/>
        <v>0</v>
      </c>
      <c r="H3136">
        <f t="shared" si="242"/>
        <v>0</v>
      </c>
      <c r="I3136" s="141">
        <f t="shared" si="243"/>
        <v>0</v>
      </c>
      <c r="J3136">
        <f t="shared" si="244"/>
        <v>0</v>
      </c>
      <c r="K3136" s="141">
        <f t="shared" si="245"/>
        <v>0</v>
      </c>
    </row>
    <row r="3137" spans="7:11" hidden="1" x14ac:dyDescent="0.25">
      <c r="G3137">
        <f t="shared" si="241"/>
        <v>0</v>
      </c>
      <c r="H3137">
        <f t="shared" si="242"/>
        <v>0</v>
      </c>
      <c r="I3137" s="141">
        <f t="shared" si="243"/>
        <v>0</v>
      </c>
      <c r="J3137">
        <f t="shared" si="244"/>
        <v>0</v>
      </c>
      <c r="K3137" s="141">
        <f t="shared" si="245"/>
        <v>0</v>
      </c>
    </row>
    <row r="3138" spans="7:11" hidden="1" x14ac:dyDescent="0.25">
      <c r="G3138">
        <f t="shared" ref="G3138:G3201" si="246">A3138</f>
        <v>0</v>
      </c>
      <c r="H3138">
        <f t="shared" ref="H3138:H3201" si="247">B3138</f>
        <v>0</v>
      </c>
      <c r="I3138" s="141">
        <f t="shared" ref="I3138:I3201" si="248">C3138</f>
        <v>0</v>
      </c>
      <c r="J3138">
        <f t="shared" ref="J3138:J3201" si="249">D3138</f>
        <v>0</v>
      </c>
      <c r="K3138" s="141">
        <f t="shared" ref="K3138:K3201" si="250">E3138</f>
        <v>0</v>
      </c>
    </row>
    <row r="3139" spans="7:11" hidden="1" x14ac:dyDescent="0.25">
      <c r="G3139">
        <f t="shared" si="246"/>
        <v>0</v>
      </c>
      <c r="H3139">
        <f t="shared" si="247"/>
        <v>0</v>
      </c>
      <c r="I3139" s="141">
        <f t="shared" si="248"/>
        <v>0</v>
      </c>
      <c r="J3139">
        <f t="shared" si="249"/>
        <v>0</v>
      </c>
      <c r="K3139" s="141">
        <f t="shared" si="250"/>
        <v>0</v>
      </c>
    </row>
    <row r="3140" spans="7:11" hidden="1" x14ac:dyDescent="0.25">
      <c r="G3140">
        <f t="shared" si="246"/>
        <v>0</v>
      </c>
      <c r="H3140">
        <f t="shared" si="247"/>
        <v>0</v>
      </c>
      <c r="I3140" s="141">
        <f t="shared" si="248"/>
        <v>0</v>
      </c>
      <c r="J3140">
        <f t="shared" si="249"/>
        <v>0</v>
      </c>
      <c r="K3140" s="141">
        <f t="shared" si="250"/>
        <v>0</v>
      </c>
    </row>
    <row r="3141" spans="7:11" hidden="1" x14ac:dyDescent="0.25">
      <c r="G3141">
        <f t="shared" si="246"/>
        <v>0</v>
      </c>
      <c r="H3141">
        <f t="shared" si="247"/>
        <v>0</v>
      </c>
      <c r="I3141" s="141">
        <f t="shared" si="248"/>
        <v>0</v>
      </c>
      <c r="J3141">
        <f t="shared" si="249"/>
        <v>0</v>
      </c>
      <c r="K3141" s="141">
        <f t="shared" si="250"/>
        <v>0</v>
      </c>
    </row>
    <row r="3142" spans="7:11" hidden="1" x14ac:dyDescent="0.25">
      <c r="G3142">
        <f t="shared" si="246"/>
        <v>0</v>
      </c>
      <c r="H3142">
        <f t="shared" si="247"/>
        <v>0</v>
      </c>
      <c r="I3142" s="141">
        <f t="shared" si="248"/>
        <v>0</v>
      </c>
      <c r="J3142">
        <f t="shared" si="249"/>
        <v>0</v>
      </c>
      <c r="K3142" s="141">
        <f t="shared" si="250"/>
        <v>0</v>
      </c>
    </row>
    <row r="3143" spans="7:11" hidden="1" x14ac:dyDescent="0.25">
      <c r="G3143">
        <f t="shared" si="246"/>
        <v>0</v>
      </c>
      <c r="H3143">
        <f t="shared" si="247"/>
        <v>0</v>
      </c>
      <c r="I3143" s="141">
        <f t="shared" si="248"/>
        <v>0</v>
      </c>
      <c r="J3143">
        <f t="shared" si="249"/>
        <v>0</v>
      </c>
      <c r="K3143" s="141">
        <f t="shared" si="250"/>
        <v>0</v>
      </c>
    </row>
    <row r="3144" spans="7:11" hidden="1" x14ac:dyDescent="0.25">
      <c r="G3144">
        <f t="shared" si="246"/>
        <v>0</v>
      </c>
      <c r="H3144">
        <f t="shared" si="247"/>
        <v>0</v>
      </c>
      <c r="I3144" s="141">
        <f t="shared" si="248"/>
        <v>0</v>
      </c>
      <c r="J3144">
        <f t="shared" si="249"/>
        <v>0</v>
      </c>
      <c r="K3144" s="141">
        <f t="shared" si="250"/>
        <v>0</v>
      </c>
    </row>
    <row r="3145" spans="7:11" hidden="1" x14ac:dyDescent="0.25">
      <c r="G3145">
        <f t="shared" si="246"/>
        <v>0</v>
      </c>
      <c r="H3145">
        <f t="shared" si="247"/>
        <v>0</v>
      </c>
      <c r="I3145" s="141">
        <f t="shared" si="248"/>
        <v>0</v>
      </c>
      <c r="J3145">
        <f t="shared" si="249"/>
        <v>0</v>
      </c>
      <c r="K3145" s="141">
        <f t="shared" si="250"/>
        <v>0</v>
      </c>
    </row>
    <row r="3146" spans="7:11" hidden="1" x14ac:dyDescent="0.25">
      <c r="G3146">
        <f t="shared" si="246"/>
        <v>0</v>
      </c>
      <c r="H3146">
        <f t="shared" si="247"/>
        <v>0</v>
      </c>
      <c r="I3146" s="141">
        <f t="shared" si="248"/>
        <v>0</v>
      </c>
      <c r="J3146">
        <f t="shared" si="249"/>
        <v>0</v>
      </c>
      <c r="K3146" s="141">
        <f t="shared" si="250"/>
        <v>0</v>
      </c>
    </row>
    <row r="3147" spans="7:11" hidden="1" x14ac:dyDescent="0.25">
      <c r="G3147">
        <f t="shared" si="246"/>
        <v>0</v>
      </c>
      <c r="H3147">
        <f t="shared" si="247"/>
        <v>0</v>
      </c>
      <c r="I3147" s="141">
        <f t="shared" si="248"/>
        <v>0</v>
      </c>
      <c r="J3147">
        <f t="shared" si="249"/>
        <v>0</v>
      </c>
      <c r="K3147" s="141">
        <f t="shared" si="250"/>
        <v>0</v>
      </c>
    </row>
    <row r="3148" spans="7:11" hidden="1" x14ac:dyDescent="0.25">
      <c r="G3148">
        <f t="shared" si="246"/>
        <v>0</v>
      </c>
      <c r="H3148">
        <f t="shared" si="247"/>
        <v>0</v>
      </c>
      <c r="I3148" s="141">
        <f t="shared" si="248"/>
        <v>0</v>
      </c>
      <c r="J3148">
        <f t="shared" si="249"/>
        <v>0</v>
      </c>
      <c r="K3148" s="141">
        <f t="shared" si="250"/>
        <v>0</v>
      </c>
    </row>
    <row r="3149" spans="7:11" hidden="1" x14ac:dyDescent="0.25">
      <c r="G3149">
        <f t="shared" si="246"/>
        <v>0</v>
      </c>
      <c r="H3149">
        <f t="shared" si="247"/>
        <v>0</v>
      </c>
      <c r="I3149" s="141">
        <f t="shared" si="248"/>
        <v>0</v>
      </c>
      <c r="J3149">
        <f t="shared" si="249"/>
        <v>0</v>
      </c>
      <c r="K3149" s="141">
        <f t="shared" si="250"/>
        <v>0</v>
      </c>
    </row>
    <row r="3150" spans="7:11" hidden="1" x14ac:dyDescent="0.25">
      <c r="G3150">
        <f t="shared" si="246"/>
        <v>0</v>
      </c>
      <c r="H3150">
        <f t="shared" si="247"/>
        <v>0</v>
      </c>
      <c r="I3150" s="141">
        <f t="shared" si="248"/>
        <v>0</v>
      </c>
      <c r="J3150">
        <f t="shared" si="249"/>
        <v>0</v>
      </c>
      <c r="K3150" s="141">
        <f t="shared" si="250"/>
        <v>0</v>
      </c>
    </row>
    <row r="3151" spans="7:11" hidden="1" x14ac:dyDescent="0.25">
      <c r="G3151">
        <f t="shared" si="246"/>
        <v>0</v>
      </c>
      <c r="H3151">
        <f t="shared" si="247"/>
        <v>0</v>
      </c>
      <c r="I3151" s="141">
        <f t="shared" si="248"/>
        <v>0</v>
      </c>
      <c r="J3151">
        <f t="shared" si="249"/>
        <v>0</v>
      </c>
      <c r="K3151" s="141">
        <f t="shared" si="250"/>
        <v>0</v>
      </c>
    </row>
    <row r="3152" spans="7:11" hidden="1" x14ac:dyDescent="0.25">
      <c r="G3152">
        <f t="shared" si="246"/>
        <v>0</v>
      </c>
      <c r="H3152">
        <f t="shared" si="247"/>
        <v>0</v>
      </c>
      <c r="I3152" s="141">
        <f t="shared" si="248"/>
        <v>0</v>
      </c>
      <c r="J3152">
        <f t="shared" si="249"/>
        <v>0</v>
      </c>
      <c r="K3152" s="141">
        <f t="shared" si="250"/>
        <v>0</v>
      </c>
    </row>
    <row r="3153" spans="7:11" hidden="1" x14ac:dyDescent="0.25">
      <c r="G3153">
        <f t="shared" si="246"/>
        <v>0</v>
      </c>
      <c r="H3153">
        <f t="shared" si="247"/>
        <v>0</v>
      </c>
      <c r="I3153" s="141">
        <f t="shared" si="248"/>
        <v>0</v>
      </c>
      <c r="J3153">
        <f t="shared" si="249"/>
        <v>0</v>
      </c>
      <c r="K3153" s="141">
        <f t="shared" si="250"/>
        <v>0</v>
      </c>
    </row>
    <row r="3154" spans="7:11" hidden="1" x14ac:dyDescent="0.25">
      <c r="G3154">
        <f t="shared" si="246"/>
        <v>0</v>
      </c>
      <c r="H3154">
        <f t="shared" si="247"/>
        <v>0</v>
      </c>
      <c r="I3154" s="141">
        <f t="shared" si="248"/>
        <v>0</v>
      </c>
      <c r="J3154">
        <f t="shared" si="249"/>
        <v>0</v>
      </c>
      <c r="K3154" s="141">
        <f t="shared" si="250"/>
        <v>0</v>
      </c>
    </row>
    <row r="3155" spans="7:11" hidden="1" x14ac:dyDescent="0.25">
      <c r="G3155">
        <f t="shared" si="246"/>
        <v>0</v>
      </c>
      <c r="H3155">
        <f t="shared" si="247"/>
        <v>0</v>
      </c>
      <c r="I3155" s="141">
        <f t="shared" si="248"/>
        <v>0</v>
      </c>
      <c r="J3155">
        <f t="shared" si="249"/>
        <v>0</v>
      </c>
      <c r="K3155" s="141">
        <f t="shared" si="250"/>
        <v>0</v>
      </c>
    </row>
    <row r="3156" spans="7:11" hidden="1" x14ac:dyDescent="0.25">
      <c r="G3156">
        <f t="shared" si="246"/>
        <v>0</v>
      </c>
      <c r="H3156">
        <f t="shared" si="247"/>
        <v>0</v>
      </c>
      <c r="I3156" s="141">
        <f t="shared" si="248"/>
        <v>0</v>
      </c>
      <c r="J3156">
        <f t="shared" si="249"/>
        <v>0</v>
      </c>
      <c r="K3156" s="141">
        <f t="shared" si="250"/>
        <v>0</v>
      </c>
    </row>
    <row r="3157" spans="7:11" hidden="1" x14ac:dyDescent="0.25">
      <c r="G3157">
        <f t="shared" si="246"/>
        <v>0</v>
      </c>
      <c r="H3157">
        <f t="shared" si="247"/>
        <v>0</v>
      </c>
      <c r="I3157" s="141">
        <f t="shared" si="248"/>
        <v>0</v>
      </c>
      <c r="J3157">
        <f t="shared" si="249"/>
        <v>0</v>
      </c>
      <c r="K3157" s="141">
        <f t="shared" si="250"/>
        <v>0</v>
      </c>
    </row>
    <row r="3158" spans="7:11" hidden="1" x14ac:dyDescent="0.25">
      <c r="G3158">
        <f t="shared" si="246"/>
        <v>0</v>
      </c>
      <c r="H3158">
        <f t="shared" si="247"/>
        <v>0</v>
      </c>
      <c r="I3158" s="141">
        <f t="shared" si="248"/>
        <v>0</v>
      </c>
      <c r="J3158">
        <f t="shared" si="249"/>
        <v>0</v>
      </c>
      <c r="K3158" s="141">
        <f t="shared" si="250"/>
        <v>0</v>
      </c>
    </row>
    <row r="3159" spans="7:11" hidden="1" x14ac:dyDescent="0.25">
      <c r="G3159">
        <f t="shared" si="246"/>
        <v>0</v>
      </c>
      <c r="H3159">
        <f t="shared" si="247"/>
        <v>0</v>
      </c>
      <c r="I3159" s="141">
        <f t="shared" si="248"/>
        <v>0</v>
      </c>
      <c r="J3159">
        <f t="shared" si="249"/>
        <v>0</v>
      </c>
      <c r="K3159" s="141">
        <f t="shared" si="250"/>
        <v>0</v>
      </c>
    </row>
    <row r="3160" spans="7:11" hidden="1" x14ac:dyDescent="0.25">
      <c r="G3160">
        <f t="shared" si="246"/>
        <v>0</v>
      </c>
      <c r="H3160">
        <f t="shared" si="247"/>
        <v>0</v>
      </c>
      <c r="I3160" s="141">
        <f t="shared" si="248"/>
        <v>0</v>
      </c>
      <c r="J3160">
        <f t="shared" si="249"/>
        <v>0</v>
      </c>
      <c r="K3160" s="141">
        <f t="shared" si="250"/>
        <v>0</v>
      </c>
    </row>
    <row r="3161" spans="7:11" hidden="1" x14ac:dyDescent="0.25">
      <c r="G3161">
        <f t="shared" si="246"/>
        <v>0</v>
      </c>
      <c r="H3161">
        <f t="shared" si="247"/>
        <v>0</v>
      </c>
      <c r="I3161" s="141">
        <f t="shared" si="248"/>
        <v>0</v>
      </c>
      <c r="J3161">
        <f t="shared" si="249"/>
        <v>0</v>
      </c>
      <c r="K3161" s="141">
        <f t="shared" si="250"/>
        <v>0</v>
      </c>
    </row>
    <row r="3162" spans="7:11" hidden="1" x14ac:dyDescent="0.25">
      <c r="G3162">
        <f t="shared" si="246"/>
        <v>0</v>
      </c>
      <c r="H3162">
        <f t="shared" si="247"/>
        <v>0</v>
      </c>
      <c r="I3162" s="141">
        <f t="shared" si="248"/>
        <v>0</v>
      </c>
      <c r="J3162">
        <f t="shared" si="249"/>
        <v>0</v>
      </c>
      <c r="K3162" s="141">
        <f t="shared" si="250"/>
        <v>0</v>
      </c>
    </row>
    <row r="3163" spans="7:11" hidden="1" x14ac:dyDescent="0.25">
      <c r="G3163">
        <f t="shared" si="246"/>
        <v>0</v>
      </c>
      <c r="H3163">
        <f t="shared" si="247"/>
        <v>0</v>
      </c>
      <c r="I3163" s="141">
        <f t="shared" si="248"/>
        <v>0</v>
      </c>
      <c r="J3163">
        <f t="shared" si="249"/>
        <v>0</v>
      </c>
      <c r="K3163" s="141">
        <f t="shared" si="250"/>
        <v>0</v>
      </c>
    </row>
    <row r="3164" spans="7:11" hidden="1" x14ac:dyDescent="0.25">
      <c r="G3164">
        <f t="shared" si="246"/>
        <v>0</v>
      </c>
      <c r="H3164">
        <f t="shared" si="247"/>
        <v>0</v>
      </c>
      <c r="I3164" s="141">
        <f t="shared" si="248"/>
        <v>0</v>
      </c>
      <c r="J3164">
        <f t="shared" si="249"/>
        <v>0</v>
      </c>
      <c r="K3164" s="141">
        <f t="shared" si="250"/>
        <v>0</v>
      </c>
    </row>
    <row r="3165" spans="7:11" hidden="1" x14ac:dyDescent="0.25">
      <c r="G3165">
        <f t="shared" si="246"/>
        <v>0</v>
      </c>
      <c r="H3165">
        <f t="shared" si="247"/>
        <v>0</v>
      </c>
      <c r="I3165" s="141">
        <f t="shared" si="248"/>
        <v>0</v>
      </c>
      <c r="J3165">
        <f t="shared" si="249"/>
        <v>0</v>
      </c>
      <c r="K3165" s="141">
        <f t="shared" si="250"/>
        <v>0</v>
      </c>
    </row>
    <row r="3166" spans="7:11" hidden="1" x14ac:dyDescent="0.25">
      <c r="G3166">
        <f t="shared" si="246"/>
        <v>0</v>
      </c>
      <c r="H3166">
        <f t="shared" si="247"/>
        <v>0</v>
      </c>
      <c r="I3166" s="141">
        <f t="shared" si="248"/>
        <v>0</v>
      </c>
      <c r="J3166">
        <f t="shared" si="249"/>
        <v>0</v>
      </c>
      <c r="K3166" s="141">
        <f t="shared" si="250"/>
        <v>0</v>
      </c>
    </row>
    <row r="3167" spans="7:11" hidden="1" x14ac:dyDescent="0.25">
      <c r="G3167">
        <f t="shared" si="246"/>
        <v>0</v>
      </c>
      <c r="H3167">
        <f t="shared" si="247"/>
        <v>0</v>
      </c>
      <c r="I3167" s="141">
        <f t="shared" si="248"/>
        <v>0</v>
      </c>
      <c r="J3167">
        <f t="shared" si="249"/>
        <v>0</v>
      </c>
      <c r="K3167" s="141">
        <f t="shared" si="250"/>
        <v>0</v>
      </c>
    </row>
    <row r="3168" spans="7:11" hidden="1" x14ac:dyDescent="0.25">
      <c r="G3168">
        <f t="shared" si="246"/>
        <v>0</v>
      </c>
      <c r="H3168">
        <f t="shared" si="247"/>
        <v>0</v>
      </c>
      <c r="I3168" s="141">
        <f t="shared" si="248"/>
        <v>0</v>
      </c>
      <c r="J3168">
        <f t="shared" si="249"/>
        <v>0</v>
      </c>
      <c r="K3168" s="141">
        <f t="shared" si="250"/>
        <v>0</v>
      </c>
    </row>
    <row r="3169" spans="7:11" hidden="1" x14ac:dyDescent="0.25">
      <c r="G3169">
        <f t="shared" si="246"/>
        <v>0</v>
      </c>
      <c r="H3169">
        <f t="shared" si="247"/>
        <v>0</v>
      </c>
      <c r="I3169" s="141">
        <f t="shared" si="248"/>
        <v>0</v>
      </c>
      <c r="J3169">
        <f t="shared" si="249"/>
        <v>0</v>
      </c>
      <c r="K3169" s="141">
        <f t="shared" si="250"/>
        <v>0</v>
      </c>
    </row>
    <row r="3170" spans="7:11" hidden="1" x14ac:dyDescent="0.25">
      <c r="G3170">
        <f t="shared" si="246"/>
        <v>0</v>
      </c>
      <c r="H3170">
        <f t="shared" si="247"/>
        <v>0</v>
      </c>
      <c r="I3170" s="141">
        <f t="shared" si="248"/>
        <v>0</v>
      </c>
      <c r="J3170">
        <f t="shared" si="249"/>
        <v>0</v>
      </c>
      <c r="K3170" s="141">
        <f t="shared" si="250"/>
        <v>0</v>
      </c>
    </row>
    <row r="3171" spans="7:11" hidden="1" x14ac:dyDescent="0.25">
      <c r="G3171">
        <f t="shared" si="246"/>
        <v>0</v>
      </c>
      <c r="H3171">
        <f t="shared" si="247"/>
        <v>0</v>
      </c>
      <c r="I3171" s="141">
        <f t="shared" si="248"/>
        <v>0</v>
      </c>
      <c r="J3171">
        <f t="shared" si="249"/>
        <v>0</v>
      </c>
      <c r="K3171" s="141">
        <f t="shared" si="250"/>
        <v>0</v>
      </c>
    </row>
    <row r="3172" spans="7:11" hidden="1" x14ac:dyDescent="0.25">
      <c r="G3172">
        <f t="shared" si="246"/>
        <v>0</v>
      </c>
      <c r="H3172">
        <f t="shared" si="247"/>
        <v>0</v>
      </c>
      <c r="I3172" s="141">
        <f t="shared" si="248"/>
        <v>0</v>
      </c>
      <c r="J3172">
        <f t="shared" si="249"/>
        <v>0</v>
      </c>
      <c r="K3172" s="141">
        <f t="shared" si="250"/>
        <v>0</v>
      </c>
    </row>
    <row r="3173" spans="7:11" hidden="1" x14ac:dyDescent="0.25">
      <c r="G3173">
        <f t="shared" si="246"/>
        <v>0</v>
      </c>
      <c r="H3173">
        <f t="shared" si="247"/>
        <v>0</v>
      </c>
      <c r="I3173" s="141">
        <f t="shared" si="248"/>
        <v>0</v>
      </c>
      <c r="J3173">
        <f t="shared" si="249"/>
        <v>0</v>
      </c>
      <c r="K3173" s="141">
        <f t="shared" si="250"/>
        <v>0</v>
      </c>
    </row>
    <row r="3174" spans="7:11" hidden="1" x14ac:dyDescent="0.25">
      <c r="G3174">
        <f t="shared" si="246"/>
        <v>0</v>
      </c>
      <c r="H3174">
        <f t="shared" si="247"/>
        <v>0</v>
      </c>
      <c r="I3174" s="141">
        <f t="shared" si="248"/>
        <v>0</v>
      </c>
      <c r="J3174">
        <f t="shared" si="249"/>
        <v>0</v>
      </c>
      <c r="K3174" s="141">
        <f t="shared" si="250"/>
        <v>0</v>
      </c>
    </row>
    <row r="3175" spans="7:11" hidden="1" x14ac:dyDescent="0.25">
      <c r="G3175">
        <f t="shared" si="246"/>
        <v>0</v>
      </c>
      <c r="H3175">
        <f t="shared" si="247"/>
        <v>0</v>
      </c>
      <c r="I3175" s="141">
        <f t="shared" si="248"/>
        <v>0</v>
      </c>
      <c r="J3175">
        <f t="shared" si="249"/>
        <v>0</v>
      </c>
      <c r="K3175" s="141">
        <f t="shared" si="250"/>
        <v>0</v>
      </c>
    </row>
    <row r="3176" spans="7:11" hidden="1" x14ac:dyDescent="0.25">
      <c r="G3176">
        <f t="shared" si="246"/>
        <v>0</v>
      </c>
      <c r="H3176">
        <f t="shared" si="247"/>
        <v>0</v>
      </c>
      <c r="I3176" s="141">
        <f t="shared" si="248"/>
        <v>0</v>
      </c>
      <c r="J3176">
        <f t="shared" si="249"/>
        <v>0</v>
      </c>
      <c r="K3176" s="141">
        <f t="shared" si="250"/>
        <v>0</v>
      </c>
    </row>
    <row r="3177" spans="7:11" hidden="1" x14ac:dyDescent="0.25">
      <c r="G3177">
        <f t="shared" si="246"/>
        <v>0</v>
      </c>
      <c r="H3177">
        <f t="shared" si="247"/>
        <v>0</v>
      </c>
      <c r="I3177" s="141">
        <f t="shared" si="248"/>
        <v>0</v>
      </c>
      <c r="J3177">
        <f t="shared" si="249"/>
        <v>0</v>
      </c>
      <c r="K3177" s="141">
        <f t="shared" si="250"/>
        <v>0</v>
      </c>
    </row>
    <row r="3178" spans="7:11" hidden="1" x14ac:dyDescent="0.25">
      <c r="G3178">
        <f t="shared" si="246"/>
        <v>0</v>
      </c>
      <c r="H3178">
        <f t="shared" si="247"/>
        <v>0</v>
      </c>
      <c r="I3178" s="141">
        <f t="shared" si="248"/>
        <v>0</v>
      </c>
      <c r="J3178">
        <f t="shared" si="249"/>
        <v>0</v>
      </c>
      <c r="K3178" s="141">
        <f t="shared" si="250"/>
        <v>0</v>
      </c>
    </row>
    <row r="3179" spans="7:11" hidden="1" x14ac:dyDescent="0.25">
      <c r="G3179">
        <f t="shared" si="246"/>
        <v>0</v>
      </c>
      <c r="H3179">
        <f t="shared" si="247"/>
        <v>0</v>
      </c>
      <c r="I3179" s="141">
        <f t="shared" si="248"/>
        <v>0</v>
      </c>
      <c r="J3179">
        <f t="shared" si="249"/>
        <v>0</v>
      </c>
      <c r="K3179" s="141">
        <f t="shared" si="250"/>
        <v>0</v>
      </c>
    </row>
    <row r="3180" spans="7:11" hidden="1" x14ac:dyDescent="0.25">
      <c r="G3180">
        <f t="shared" si="246"/>
        <v>0</v>
      </c>
      <c r="H3180">
        <f t="shared" si="247"/>
        <v>0</v>
      </c>
      <c r="I3180" s="141">
        <f t="shared" si="248"/>
        <v>0</v>
      </c>
      <c r="J3180">
        <f t="shared" si="249"/>
        <v>0</v>
      </c>
      <c r="K3180" s="141">
        <f t="shared" si="250"/>
        <v>0</v>
      </c>
    </row>
    <row r="3181" spans="7:11" hidden="1" x14ac:dyDescent="0.25">
      <c r="G3181">
        <f t="shared" si="246"/>
        <v>0</v>
      </c>
      <c r="H3181">
        <f t="shared" si="247"/>
        <v>0</v>
      </c>
      <c r="I3181" s="141">
        <f t="shared" si="248"/>
        <v>0</v>
      </c>
      <c r="J3181">
        <f t="shared" si="249"/>
        <v>0</v>
      </c>
      <c r="K3181" s="141">
        <f t="shared" si="250"/>
        <v>0</v>
      </c>
    </row>
    <row r="3182" spans="7:11" hidden="1" x14ac:dyDescent="0.25">
      <c r="G3182">
        <f t="shared" si="246"/>
        <v>0</v>
      </c>
      <c r="H3182">
        <f t="shared" si="247"/>
        <v>0</v>
      </c>
      <c r="I3182" s="141">
        <f t="shared" si="248"/>
        <v>0</v>
      </c>
      <c r="J3182">
        <f t="shared" si="249"/>
        <v>0</v>
      </c>
      <c r="K3182" s="141">
        <f t="shared" si="250"/>
        <v>0</v>
      </c>
    </row>
    <row r="3183" spans="7:11" hidden="1" x14ac:dyDescent="0.25">
      <c r="G3183">
        <f t="shared" si="246"/>
        <v>0</v>
      </c>
      <c r="H3183">
        <f t="shared" si="247"/>
        <v>0</v>
      </c>
      <c r="I3183" s="141">
        <f t="shared" si="248"/>
        <v>0</v>
      </c>
      <c r="J3183">
        <f t="shared" si="249"/>
        <v>0</v>
      </c>
      <c r="K3183" s="141">
        <f t="shared" si="250"/>
        <v>0</v>
      </c>
    </row>
    <row r="3184" spans="7:11" hidden="1" x14ac:dyDescent="0.25">
      <c r="G3184">
        <f t="shared" si="246"/>
        <v>0</v>
      </c>
      <c r="H3184">
        <f t="shared" si="247"/>
        <v>0</v>
      </c>
      <c r="I3184" s="141">
        <f t="shared" si="248"/>
        <v>0</v>
      </c>
      <c r="J3184">
        <f t="shared" si="249"/>
        <v>0</v>
      </c>
      <c r="K3184" s="141">
        <f t="shared" si="250"/>
        <v>0</v>
      </c>
    </row>
    <row r="3185" spans="7:11" hidden="1" x14ac:dyDescent="0.25">
      <c r="G3185">
        <f t="shared" si="246"/>
        <v>0</v>
      </c>
      <c r="H3185">
        <f t="shared" si="247"/>
        <v>0</v>
      </c>
      <c r="I3185" s="141">
        <f t="shared" si="248"/>
        <v>0</v>
      </c>
      <c r="J3185">
        <f t="shared" si="249"/>
        <v>0</v>
      </c>
      <c r="K3185" s="141">
        <f t="shared" si="250"/>
        <v>0</v>
      </c>
    </row>
    <row r="3186" spans="7:11" hidden="1" x14ac:dyDescent="0.25">
      <c r="G3186">
        <f t="shared" si="246"/>
        <v>0</v>
      </c>
      <c r="H3186">
        <f t="shared" si="247"/>
        <v>0</v>
      </c>
      <c r="I3186" s="141">
        <f t="shared" si="248"/>
        <v>0</v>
      </c>
      <c r="J3186">
        <f t="shared" si="249"/>
        <v>0</v>
      </c>
      <c r="K3186" s="141">
        <f t="shared" si="250"/>
        <v>0</v>
      </c>
    </row>
    <row r="3187" spans="7:11" hidden="1" x14ac:dyDescent="0.25">
      <c r="G3187">
        <f t="shared" si="246"/>
        <v>0</v>
      </c>
      <c r="H3187">
        <f t="shared" si="247"/>
        <v>0</v>
      </c>
      <c r="I3187" s="141">
        <f t="shared" si="248"/>
        <v>0</v>
      </c>
      <c r="J3187">
        <f t="shared" si="249"/>
        <v>0</v>
      </c>
      <c r="K3187" s="141">
        <f t="shared" si="250"/>
        <v>0</v>
      </c>
    </row>
    <row r="3188" spans="7:11" hidden="1" x14ac:dyDescent="0.25">
      <c r="G3188">
        <f t="shared" si="246"/>
        <v>0</v>
      </c>
      <c r="H3188">
        <f t="shared" si="247"/>
        <v>0</v>
      </c>
      <c r="I3188" s="141">
        <f t="shared" si="248"/>
        <v>0</v>
      </c>
      <c r="J3188">
        <f t="shared" si="249"/>
        <v>0</v>
      </c>
      <c r="K3188" s="141">
        <f t="shared" si="250"/>
        <v>0</v>
      </c>
    </row>
    <row r="3189" spans="7:11" hidden="1" x14ac:dyDescent="0.25">
      <c r="G3189">
        <f t="shared" si="246"/>
        <v>0</v>
      </c>
      <c r="H3189">
        <f t="shared" si="247"/>
        <v>0</v>
      </c>
      <c r="I3189" s="141">
        <f t="shared" si="248"/>
        <v>0</v>
      </c>
      <c r="J3189">
        <f t="shared" si="249"/>
        <v>0</v>
      </c>
      <c r="K3189" s="141">
        <f t="shared" si="250"/>
        <v>0</v>
      </c>
    </row>
    <row r="3190" spans="7:11" hidden="1" x14ac:dyDescent="0.25">
      <c r="G3190">
        <f t="shared" si="246"/>
        <v>0</v>
      </c>
      <c r="H3190">
        <f t="shared" si="247"/>
        <v>0</v>
      </c>
      <c r="I3190" s="141">
        <f t="shared" si="248"/>
        <v>0</v>
      </c>
      <c r="J3190">
        <f t="shared" si="249"/>
        <v>0</v>
      </c>
      <c r="K3190" s="141">
        <f t="shared" si="250"/>
        <v>0</v>
      </c>
    </row>
    <row r="3191" spans="7:11" hidden="1" x14ac:dyDescent="0.25">
      <c r="G3191">
        <f t="shared" si="246"/>
        <v>0</v>
      </c>
      <c r="H3191">
        <f t="shared" si="247"/>
        <v>0</v>
      </c>
      <c r="I3191" s="141">
        <f t="shared" si="248"/>
        <v>0</v>
      </c>
      <c r="J3191">
        <f t="shared" si="249"/>
        <v>0</v>
      </c>
      <c r="K3191" s="141">
        <f t="shared" si="250"/>
        <v>0</v>
      </c>
    </row>
    <row r="3192" spans="7:11" hidden="1" x14ac:dyDescent="0.25">
      <c r="G3192">
        <f t="shared" si="246"/>
        <v>0</v>
      </c>
      <c r="H3192">
        <f t="shared" si="247"/>
        <v>0</v>
      </c>
      <c r="I3192" s="141">
        <f t="shared" si="248"/>
        <v>0</v>
      </c>
      <c r="J3192">
        <f t="shared" si="249"/>
        <v>0</v>
      </c>
      <c r="K3192" s="141">
        <f t="shared" si="250"/>
        <v>0</v>
      </c>
    </row>
    <row r="3193" spans="7:11" hidden="1" x14ac:dyDescent="0.25">
      <c r="G3193">
        <f t="shared" si="246"/>
        <v>0</v>
      </c>
      <c r="H3193">
        <f t="shared" si="247"/>
        <v>0</v>
      </c>
      <c r="I3193" s="141">
        <f t="shared" si="248"/>
        <v>0</v>
      </c>
      <c r="J3193">
        <f t="shared" si="249"/>
        <v>0</v>
      </c>
      <c r="K3193" s="141">
        <f t="shared" si="250"/>
        <v>0</v>
      </c>
    </row>
    <row r="3194" spans="7:11" hidden="1" x14ac:dyDescent="0.25">
      <c r="G3194">
        <f t="shared" si="246"/>
        <v>0</v>
      </c>
      <c r="H3194">
        <f t="shared" si="247"/>
        <v>0</v>
      </c>
      <c r="I3194" s="141">
        <f t="shared" si="248"/>
        <v>0</v>
      </c>
      <c r="J3194">
        <f t="shared" si="249"/>
        <v>0</v>
      </c>
      <c r="K3194" s="141">
        <f t="shared" si="250"/>
        <v>0</v>
      </c>
    </row>
    <row r="3195" spans="7:11" hidden="1" x14ac:dyDescent="0.25">
      <c r="G3195">
        <f t="shared" si="246"/>
        <v>0</v>
      </c>
      <c r="H3195">
        <f t="shared" si="247"/>
        <v>0</v>
      </c>
      <c r="I3195" s="141">
        <f t="shared" si="248"/>
        <v>0</v>
      </c>
      <c r="J3195">
        <f t="shared" si="249"/>
        <v>0</v>
      </c>
      <c r="K3195" s="141">
        <f t="shared" si="250"/>
        <v>0</v>
      </c>
    </row>
    <row r="3196" spans="7:11" hidden="1" x14ac:dyDescent="0.25">
      <c r="G3196">
        <f t="shared" si="246"/>
        <v>0</v>
      </c>
      <c r="H3196">
        <f t="shared" si="247"/>
        <v>0</v>
      </c>
      <c r="I3196" s="141">
        <f t="shared" si="248"/>
        <v>0</v>
      </c>
      <c r="J3196">
        <f t="shared" si="249"/>
        <v>0</v>
      </c>
      <c r="K3196" s="141">
        <f t="shared" si="250"/>
        <v>0</v>
      </c>
    </row>
    <row r="3197" spans="7:11" hidden="1" x14ac:dyDescent="0.25">
      <c r="G3197">
        <f t="shared" si="246"/>
        <v>0</v>
      </c>
      <c r="H3197">
        <f t="shared" si="247"/>
        <v>0</v>
      </c>
      <c r="I3197" s="141">
        <f t="shared" si="248"/>
        <v>0</v>
      </c>
      <c r="J3197">
        <f t="shared" si="249"/>
        <v>0</v>
      </c>
      <c r="K3197" s="141">
        <f t="shared" si="250"/>
        <v>0</v>
      </c>
    </row>
    <row r="3198" spans="7:11" hidden="1" x14ac:dyDescent="0.25">
      <c r="G3198">
        <f t="shared" si="246"/>
        <v>0</v>
      </c>
      <c r="H3198">
        <f t="shared" si="247"/>
        <v>0</v>
      </c>
      <c r="I3198" s="141">
        <f t="shared" si="248"/>
        <v>0</v>
      </c>
      <c r="J3198">
        <f t="shared" si="249"/>
        <v>0</v>
      </c>
      <c r="K3198" s="141">
        <f t="shared" si="250"/>
        <v>0</v>
      </c>
    </row>
    <row r="3199" spans="7:11" hidden="1" x14ac:dyDescent="0.25">
      <c r="G3199">
        <f t="shared" si="246"/>
        <v>0</v>
      </c>
      <c r="H3199">
        <f t="shared" si="247"/>
        <v>0</v>
      </c>
      <c r="I3199" s="141">
        <f t="shared" si="248"/>
        <v>0</v>
      </c>
      <c r="J3199">
        <f t="shared" si="249"/>
        <v>0</v>
      </c>
      <c r="K3199" s="141">
        <f t="shared" si="250"/>
        <v>0</v>
      </c>
    </row>
    <row r="3200" spans="7:11" hidden="1" x14ac:dyDescent="0.25">
      <c r="G3200">
        <f t="shared" si="246"/>
        <v>0</v>
      </c>
      <c r="H3200">
        <f t="shared" si="247"/>
        <v>0</v>
      </c>
      <c r="I3200" s="141">
        <f t="shared" si="248"/>
        <v>0</v>
      </c>
      <c r="J3200">
        <f t="shared" si="249"/>
        <v>0</v>
      </c>
      <c r="K3200" s="141">
        <f t="shared" si="250"/>
        <v>0</v>
      </c>
    </row>
    <row r="3201" spans="7:11" hidden="1" x14ac:dyDescent="0.25">
      <c r="G3201">
        <f t="shared" si="246"/>
        <v>0</v>
      </c>
      <c r="H3201">
        <f t="shared" si="247"/>
        <v>0</v>
      </c>
      <c r="I3201" s="141">
        <f t="shared" si="248"/>
        <v>0</v>
      </c>
      <c r="J3201">
        <f t="shared" si="249"/>
        <v>0</v>
      </c>
      <c r="K3201" s="141">
        <f t="shared" si="250"/>
        <v>0</v>
      </c>
    </row>
    <row r="3202" spans="7:11" hidden="1" x14ac:dyDescent="0.25">
      <c r="G3202">
        <f t="shared" ref="G3202:G3265" si="251">A3202</f>
        <v>0</v>
      </c>
      <c r="H3202">
        <f t="shared" ref="H3202:H3265" si="252">B3202</f>
        <v>0</v>
      </c>
      <c r="I3202" s="141">
        <f t="shared" ref="I3202:I3265" si="253">C3202</f>
        <v>0</v>
      </c>
      <c r="J3202">
        <f t="shared" ref="J3202:J3265" si="254">D3202</f>
        <v>0</v>
      </c>
      <c r="K3202" s="141">
        <f t="shared" ref="K3202:K3265" si="255">E3202</f>
        <v>0</v>
      </c>
    </row>
    <row r="3203" spans="7:11" hidden="1" x14ac:dyDescent="0.25">
      <c r="G3203">
        <f t="shared" si="251"/>
        <v>0</v>
      </c>
      <c r="H3203">
        <f t="shared" si="252"/>
        <v>0</v>
      </c>
      <c r="I3203" s="141">
        <f t="shared" si="253"/>
        <v>0</v>
      </c>
      <c r="J3203">
        <f t="shared" si="254"/>
        <v>0</v>
      </c>
      <c r="K3203" s="141">
        <f t="shared" si="255"/>
        <v>0</v>
      </c>
    </row>
    <row r="3204" spans="7:11" hidden="1" x14ac:dyDescent="0.25">
      <c r="G3204">
        <f t="shared" si="251"/>
        <v>0</v>
      </c>
      <c r="H3204">
        <f t="shared" si="252"/>
        <v>0</v>
      </c>
      <c r="I3204" s="141">
        <f t="shared" si="253"/>
        <v>0</v>
      </c>
      <c r="J3204">
        <f t="shared" si="254"/>
        <v>0</v>
      </c>
      <c r="K3204" s="141">
        <f t="shared" si="255"/>
        <v>0</v>
      </c>
    </row>
    <row r="3205" spans="7:11" hidden="1" x14ac:dyDescent="0.25">
      <c r="G3205">
        <f t="shared" si="251"/>
        <v>0</v>
      </c>
      <c r="H3205">
        <f t="shared" si="252"/>
        <v>0</v>
      </c>
      <c r="I3205" s="141">
        <f t="shared" si="253"/>
        <v>0</v>
      </c>
      <c r="J3205">
        <f t="shared" si="254"/>
        <v>0</v>
      </c>
      <c r="K3205" s="141">
        <f t="shared" si="255"/>
        <v>0</v>
      </c>
    </row>
    <row r="3206" spans="7:11" hidden="1" x14ac:dyDescent="0.25">
      <c r="G3206">
        <f t="shared" si="251"/>
        <v>0</v>
      </c>
      <c r="H3206">
        <f t="shared" si="252"/>
        <v>0</v>
      </c>
      <c r="I3206" s="141">
        <f t="shared" si="253"/>
        <v>0</v>
      </c>
      <c r="J3206">
        <f t="shared" si="254"/>
        <v>0</v>
      </c>
      <c r="K3206" s="141">
        <f t="shared" si="255"/>
        <v>0</v>
      </c>
    </row>
    <row r="3207" spans="7:11" hidden="1" x14ac:dyDescent="0.25">
      <c r="G3207">
        <f t="shared" si="251"/>
        <v>0</v>
      </c>
      <c r="H3207">
        <f t="shared" si="252"/>
        <v>0</v>
      </c>
      <c r="I3207" s="141">
        <f t="shared" si="253"/>
        <v>0</v>
      </c>
      <c r="J3207">
        <f t="shared" si="254"/>
        <v>0</v>
      </c>
      <c r="K3207" s="141">
        <f t="shared" si="255"/>
        <v>0</v>
      </c>
    </row>
    <row r="3208" spans="7:11" hidden="1" x14ac:dyDescent="0.25">
      <c r="G3208">
        <f t="shared" si="251"/>
        <v>0</v>
      </c>
      <c r="H3208">
        <f t="shared" si="252"/>
        <v>0</v>
      </c>
      <c r="I3208" s="141">
        <f t="shared" si="253"/>
        <v>0</v>
      </c>
      <c r="J3208">
        <f t="shared" si="254"/>
        <v>0</v>
      </c>
      <c r="K3208" s="141">
        <f t="shared" si="255"/>
        <v>0</v>
      </c>
    </row>
    <row r="3209" spans="7:11" hidden="1" x14ac:dyDescent="0.25">
      <c r="G3209">
        <f t="shared" si="251"/>
        <v>0</v>
      </c>
      <c r="H3209">
        <f t="shared" si="252"/>
        <v>0</v>
      </c>
      <c r="I3209" s="141">
        <f t="shared" si="253"/>
        <v>0</v>
      </c>
      <c r="J3209">
        <f t="shared" si="254"/>
        <v>0</v>
      </c>
      <c r="K3209" s="141">
        <f t="shared" si="255"/>
        <v>0</v>
      </c>
    </row>
    <row r="3210" spans="7:11" hidden="1" x14ac:dyDescent="0.25">
      <c r="G3210">
        <f t="shared" si="251"/>
        <v>0</v>
      </c>
      <c r="H3210">
        <f t="shared" si="252"/>
        <v>0</v>
      </c>
      <c r="I3210" s="141">
        <f t="shared" si="253"/>
        <v>0</v>
      </c>
      <c r="J3210">
        <f t="shared" si="254"/>
        <v>0</v>
      </c>
      <c r="K3210" s="141">
        <f t="shared" si="255"/>
        <v>0</v>
      </c>
    </row>
    <row r="3211" spans="7:11" hidden="1" x14ac:dyDescent="0.25">
      <c r="G3211">
        <f t="shared" si="251"/>
        <v>0</v>
      </c>
      <c r="H3211">
        <f t="shared" si="252"/>
        <v>0</v>
      </c>
      <c r="I3211" s="141">
        <f t="shared" si="253"/>
        <v>0</v>
      </c>
      <c r="J3211">
        <f t="shared" si="254"/>
        <v>0</v>
      </c>
      <c r="K3211" s="141">
        <f t="shared" si="255"/>
        <v>0</v>
      </c>
    </row>
    <row r="3212" spans="7:11" hidden="1" x14ac:dyDescent="0.25">
      <c r="G3212">
        <f t="shared" si="251"/>
        <v>0</v>
      </c>
      <c r="H3212">
        <f t="shared" si="252"/>
        <v>0</v>
      </c>
      <c r="I3212" s="141">
        <f t="shared" si="253"/>
        <v>0</v>
      </c>
      <c r="J3212">
        <f t="shared" si="254"/>
        <v>0</v>
      </c>
      <c r="K3212" s="141">
        <f t="shared" si="255"/>
        <v>0</v>
      </c>
    </row>
    <row r="3213" spans="7:11" hidden="1" x14ac:dyDescent="0.25">
      <c r="G3213">
        <f t="shared" si="251"/>
        <v>0</v>
      </c>
      <c r="H3213">
        <f t="shared" si="252"/>
        <v>0</v>
      </c>
      <c r="I3213" s="141">
        <f t="shared" si="253"/>
        <v>0</v>
      </c>
      <c r="J3213">
        <f t="shared" si="254"/>
        <v>0</v>
      </c>
      <c r="K3213" s="141">
        <f t="shared" si="255"/>
        <v>0</v>
      </c>
    </row>
    <row r="3214" spans="7:11" hidden="1" x14ac:dyDescent="0.25">
      <c r="G3214">
        <f t="shared" si="251"/>
        <v>0</v>
      </c>
      <c r="H3214">
        <f t="shared" si="252"/>
        <v>0</v>
      </c>
      <c r="I3214" s="141">
        <f t="shared" si="253"/>
        <v>0</v>
      </c>
      <c r="J3214">
        <f t="shared" si="254"/>
        <v>0</v>
      </c>
      <c r="K3214" s="141">
        <f t="shared" si="255"/>
        <v>0</v>
      </c>
    </row>
    <row r="3215" spans="7:11" hidden="1" x14ac:dyDescent="0.25">
      <c r="G3215">
        <f t="shared" si="251"/>
        <v>0</v>
      </c>
      <c r="H3215">
        <f t="shared" si="252"/>
        <v>0</v>
      </c>
      <c r="I3215" s="141">
        <f t="shared" si="253"/>
        <v>0</v>
      </c>
      <c r="J3215">
        <f t="shared" si="254"/>
        <v>0</v>
      </c>
      <c r="K3215" s="141">
        <f t="shared" si="255"/>
        <v>0</v>
      </c>
    </row>
    <row r="3216" spans="7:11" hidden="1" x14ac:dyDescent="0.25">
      <c r="G3216">
        <f t="shared" si="251"/>
        <v>0</v>
      </c>
      <c r="H3216">
        <f t="shared" si="252"/>
        <v>0</v>
      </c>
      <c r="I3216" s="141">
        <f t="shared" si="253"/>
        <v>0</v>
      </c>
      <c r="J3216">
        <f t="shared" si="254"/>
        <v>0</v>
      </c>
      <c r="K3216" s="141">
        <f t="shared" si="255"/>
        <v>0</v>
      </c>
    </row>
    <row r="3217" spans="7:11" hidden="1" x14ac:dyDescent="0.25">
      <c r="G3217">
        <f t="shared" si="251"/>
        <v>0</v>
      </c>
      <c r="H3217">
        <f t="shared" si="252"/>
        <v>0</v>
      </c>
      <c r="I3217" s="141">
        <f t="shared" si="253"/>
        <v>0</v>
      </c>
      <c r="J3217">
        <f t="shared" si="254"/>
        <v>0</v>
      </c>
      <c r="K3217" s="141">
        <f t="shared" si="255"/>
        <v>0</v>
      </c>
    </row>
    <row r="3218" spans="7:11" hidden="1" x14ac:dyDescent="0.25">
      <c r="G3218">
        <f t="shared" si="251"/>
        <v>0</v>
      </c>
      <c r="H3218">
        <f t="shared" si="252"/>
        <v>0</v>
      </c>
      <c r="I3218" s="141">
        <f t="shared" si="253"/>
        <v>0</v>
      </c>
      <c r="J3218">
        <f t="shared" si="254"/>
        <v>0</v>
      </c>
      <c r="K3218" s="141">
        <f t="shared" si="255"/>
        <v>0</v>
      </c>
    </row>
    <row r="3219" spans="7:11" hidden="1" x14ac:dyDescent="0.25">
      <c r="G3219">
        <f t="shared" si="251"/>
        <v>0</v>
      </c>
      <c r="H3219">
        <f t="shared" si="252"/>
        <v>0</v>
      </c>
      <c r="I3219" s="141">
        <f t="shared" si="253"/>
        <v>0</v>
      </c>
      <c r="J3219">
        <f t="shared" si="254"/>
        <v>0</v>
      </c>
      <c r="K3219" s="141">
        <f t="shared" si="255"/>
        <v>0</v>
      </c>
    </row>
    <row r="3220" spans="7:11" hidden="1" x14ac:dyDescent="0.25">
      <c r="G3220">
        <f t="shared" si="251"/>
        <v>0</v>
      </c>
      <c r="H3220">
        <f t="shared" si="252"/>
        <v>0</v>
      </c>
      <c r="I3220" s="141">
        <f t="shared" si="253"/>
        <v>0</v>
      </c>
      <c r="J3220">
        <f t="shared" si="254"/>
        <v>0</v>
      </c>
      <c r="K3220" s="141">
        <f t="shared" si="255"/>
        <v>0</v>
      </c>
    </row>
    <row r="3221" spans="7:11" hidden="1" x14ac:dyDescent="0.25">
      <c r="G3221">
        <f t="shared" si="251"/>
        <v>0</v>
      </c>
      <c r="H3221">
        <f t="shared" si="252"/>
        <v>0</v>
      </c>
      <c r="I3221" s="141">
        <f t="shared" si="253"/>
        <v>0</v>
      </c>
      <c r="J3221">
        <f t="shared" si="254"/>
        <v>0</v>
      </c>
      <c r="K3221" s="141">
        <f t="shared" si="255"/>
        <v>0</v>
      </c>
    </row>
    <row r="3222" spans="7:11" hidden="1" x14ac:dyDescent="0.25">
      <c r="G3222">
        <f t="shared" si="251"/>
        <v>0</v>
      </c>
      <c r="H3222">
        <f t="shared" si="252"/>
        <v>0</v>
      </c>
      <c r="I3222" s="141">
        <f t="shared" si="253"/>
        <v>0</v>
      </c>
      <c r="J3222">
        <f t="shared" si="254"/>
        <v>0</v>
      </c>
      <c r="K3222" s="141">
        <f t="shared" si="255"/>
        <v>0</v>
      </c>
    </row>
    <row r="3223" spans="7:11" hidden="1" x14ac:dyDescent="0.25">
      <c r="G3223">
        <f t="shared" si="251"/>
        <v>0</v>
      </c>
      <c r="H3223">
        <f t="shared" si="252"/>
        <v>0</v>
      </c>
      <c r="I3223" s="141">
        <f t="shared" si="253"/>
        <v>0</v>
      </c>
      <c r="J3223">
        <f t="shared" si="254"/>
        <v>0</v>
      </c>
      <c r="K3223" s="141">
        <f t="shared" si="255"/>
        <v>0</v>
      </c>
    </row>
    <row r="3224" spans="7:11" hidden="1" x14ac:dyDescent="0.25">
      <c r="G3224">
        <f t="shared" si="251"/>
        <v>0</v>
      </c>
      <c r="H3224">
        <f t="shared" si="252"/>
        <v>0</v>
      </c>
      <c r="I3224" s="141">
        <f t="shared" si="253"/>
        <v>0</v>
      </c>
      <c r="J3224">
        <f t="shared" si="254"/>
        <v>0</v>
      </c>
      <c r="K3224" s="141">
        <f t="shared" si="255"/>
        <v>0</v>
      </c>
    </row>
    <row r="3225" spans="7:11" hidden="1" x14ac:dyDescent="0.25">
      <c r="G3225">
        <f t="shared" si="251"/>
        <v>0</v>
      </c>
      <c r="H3225">
        <f t="shared" si="252"/>
        <v>0</v>
      </c>
      <c r="I3225" s="141">
        <f t="shared" si="253"/>
        <v>0</v>
      </c>
      <c r="J3225">
        <f t="shared" si="254"/>
        <v>0</v>
      </c>
      <c r="K3225" s="141">
        <f t="shared" si="255"/>
        <v>0</v>
      </c>
    </row>
    <row r="3226" spans="7:11" hidden="1" x14ac:dyDescent="0.25">
      <c r="G3226">
        <f t="shared" si="251"/>
        <v>0</v>
      </c>
      <c r="H3226">
        <f t="shared" si="252"/>
        <v>0</v>
      </c>
      <c r="I3226" s="141">
        <f t="shared" si="253"/>
        <v>0</v>
      </c>
      <c r="J3226">
        <f t="shared" si="254"/>
        <v>0</v>
      </c>
      <c r="K3226" s="141">
        <f t="shared" si="255"/>
        <v>0</v>
      </c>
    </row>
    <row r="3227" spans="7:11" hidden="1" x14ac:dyDescent="0.25">
      <c r="G3227">
        <f t="shared" si="251"/>
        <v>0</v>
      </c>
      <c r="H3227">
        <f t="shared" si="252"/>
        <v>0</v>
      </c>
      <c r="I3227" s="141">
        <f t="shared" si="253"/>
        <v>0</v>
      </c>
      <c r="J3227">
        <f t="shared" si="254"/>
        <v>0</v>
      </c>
      <c r="K3227" s="141">
        <f t="shared" si="255"/>
        <v>0</v>
      </c>
    </row>
    <row r="3228" spans="7:11" hidden="1" x14ac:dyDescent="0.25">
      <c r="G3228">
        <f t="shared" si="251"/>
        <v>0</v>
      </c>
      <c r="H3228">
        <f t="shared" si="252"/>
        <v>0</v>
      </c>
      <c r="I3228" s="141">
        <f t="shared" si="253"/>
        <v>0</v>
      </c>
      <c r="J3228">
        <f t="shared" si="254"/>
        <v>0</v>
      </c>
      <c r="K3228" s="141">
        <f t="shared" si="255"/>
        <v>0</v>
      </c>
    </row>
    <row r="3229" spans="7:11" hidden="1" x14ac:dyDescent="0.25">
      <c r="G3229">
        <f t="shared" si="251"/>
        <v>0</v>
      </c>
      <c r="H3229">
        <f t="shared" si="252"/>
        <v>0</v>
      </c>
      <c r="I3229" s="141">
        <f t="shared" si="253"/>
        <v>0</v>
      </c>
      <c r="J3229">
        <f t="shared" si="254"/>
        <v>0</v>
      </c>
      <c r="K3229" s="141">
        <f t="shared" si="255"/>
        <v>0</v>
      </c>
    </row>
    <row r="3230" spans="7:11" hidden="1" x14ac:dyDescent="0.25">
      <c r="G3230">
        <f t="shared" si="251"/>
        <v>0</v>
      </c>
      <c r="H3230">
        <f t="shared" si="252"/>
        <v>0</v>
      </c>
      <c r="I3230" s="141">
        <f t="shared" si="253"/>
        <v>0</v>
      </c>
      <c r="J3230">
        <f t="shared" si="254"/>
        <v>0</v>
      </c>
      <c r="K3230" s="141">
        <f t="shared" si="255"/>
        <v>0</v>
      </c>
    </row>
    <row r="3231" spans="7:11" hidden="1" x14ac:dyDescent="0.25">
      <c r="G3231">
        <f t="shared" si="251"/>
        <v>0</v>
      </c>
      <c r="H3231">
        <f t="shared" si="252"/>
        <v>0</v>
      </c>
      <c r="I3231" s="141">
        <f t="shared" si="253"/>
        <v>0</v>
      </c>
      <c r="J3231">
        <f t="shared" si="254"/>
        <v>0</v>
      </c>
      <c r="K3231" s="141">
        <f t="shared" si="255"/>
        <v>0</v>
      </c>
    </row>
    <row r="3232" spans="7:11" hidden="1" x14ac:dyDescent="0.25">
      <c r="G3232">
        <f t="shared" si="251"/>
        <v>0</v>
      </c>
      <c r="H3232">
        <f t="shared" si="252"/>
        <v>0</v>
      </c>
      <c r="I3232" s="141">
        <f t="shared" si="253"/>
        <v>0</v>
      </c>
      <c r="J3232">
        <f t="shared" si="254"/>
        <v>0</v>
      </c>
      <c r="K3232" s="141">
        <f t="shared" si="255"/>
        <v>0</v>
      </c>
    </row>
    <row r="3233" spans="7:11" hidden="1" x14ac:dyDescent="0.25">
      <c r="G3233">
        <f t="shared" si="251"/>
        <v>0</v>
      </c>
      <c r="H3233">
        <f t="shared" si="252"/>
        <v>0</v>
      </c>
      <c r="I3233" s="141">
        <f t="shared" si="253"/>
        <v>0</v>
      </c>
      <c r="J3233">
        <f t="shared" si="254"/>
        <v>0</v>
      </c>
      <c r="K3233" s="141">
        <f t="shared" si="255"/>
        <v>0</v>
      </c>
    </row>
    <row r="3234" spans="7:11" hidden="1" x14ac:dyDescent="0.25">
      <c r="G3234">
        <f t="shared" si="251"/>
        <v>0</v>
      </c>
      <c r="H3234">
        <f t="shared" si="252"/>
        <v>0</v>
      </c>
      <c r="I3234" s="141">
        <f t="shared" si="253"/>
        <v>0</v>
      </c>
      <c r="J3234">
        <f t="shared" si="254"/>
        <v>0</v>
      </c>
      <c r="K3234" s="141">
        <f t="shared" si="255"/>
        <v>0</v>
      </c>
    </row>
    <row r="3235" spans="7:11" hidden="1" x14ac:dyDescent="0.25">
      <c r="G3235">
        <f t="shared" si="251"/>
        <v>0</v>
      </c>
      <c r="H3235">
        <f t="shared" si="252"/>
        <v>0</v>
      </c>
      <c r="I3235" s="141">
        <f t="shared" si="253"/>
        <v>0</v>
      </c>
      <c r="J3235">
        <f t="shared" si="254"/>
        <v>0</v>
      </c>
      <c r="K3235" s="141">
        <f t="shared" si="255"/>
        <v>0</v>
      </c>
    </row>
    <row r="3236" spans="7:11" hidden="1" x14ac:dyDescent="0.25">
      <c r="G3236">
        <f t="shared" si="251"/>
        <v>0</v>
      </c>
      <c r="H3236">
        <f t="shared" si="252"/>
        <v>0</v>
      </c>
      <c r="I3236" s="141">
        <f t="shared" si="253"/>
        <v>0</v>
      </c>
      <c r="J3236">
        <f t="shared" si="254"/>
        <v>0</v>
      </c>
      <c r="K3236" s="141">
        <f t="shared" si="255"/>
        <v>0</v>
      </c>
    </row>
    <row r="3237" spans="7:11" hidden="1" x14ac:dyDescent="0.25">
      <c r="G3237">
        <f t="shared" si="251"/>
        <v>0</v>
      </c>
      <c r="H3237">
        <f t="shared" si="252"/>
        <v>0</v>
      </c>
      <c r="I3237" s="141">
        <f t="shared" si="253"/>
        <v>0</v>
      </c>
      <c r="J3237">
        <f t="shared" si="254"/>
        <v>0</v>
      </c>
      <c r="K3237" s="141">
        <f t="shared" si="255"/>
        <v>0</v>
      </c>
    </row>
    <row r="3238" spans="7:11" hidden="1" x14ac:dyDescent="0.25">
      <c r="G3238">
        <f t="shared" si="251"/>
        <v>0</v>
      </c>
      <c r="H3238">
        <f t="shared" si="252"/>
        <v>0</v>
      </c>
      <c r="I3238" s="141">
        <f t="shared" si="253"/>
        <v>0</v>
      </c>
      <c r="J3238">
        <f t="shared" si="254"/>
        <v>0</v>
      </c>
      <c r="K3238" s="141">
        <f t="shared" si="255"/>
        <v>0</v>
      </c>
    </row>
    <row r="3239" spans="7:11" hidden="1" x14ac:dyDescent="0.25">
      <c r="G3239">
        <f t="shared" si="251"/>
        <v>0</v>
      </c>
      <c r="H3239">
        <f t="shared" si="252"/>
        <v>0</v>
      </c>
      <c r="I3239" s="141">
        <f t="shared" si="253"/>
        <v>0</v>
      </c>
      <c r="J3239">
        <f t="shared" si="254"/>
        <v>0</v>
      </c>
      <c r="K3239" s="141">
        <f t="shared" si="255"/>
        <v>0</v>
      </c>
    </row>
    <row r="3240" spans="7:11" hidden="1" x14ac:dyDescent="0.25">
      <c r="G3240">
        <f t="shared" si="251"/>
        <v>0</v>
      </c>
      <c r="H3240">
        <f t="shared" si="252"/>
        <v>0</v>
      </c>
      <c r="I3240" s="141">
        <f t="shared" si="253"/>
        <v>0</v>
      </c>
      <c r="J3240">
        <f t="shared" si="254"/>
        <v>0</v>
      </c>
      <c r="K3240" s="141">
        <f t="shared" si="255"/>
        <v>0</v>
      </c>
    </row>
    <row r="3241" spans="7:11" hidden="1" x14ac:dyDescent="0.25">
      <c r="G3241">
        <f t="shared" si="251"/>
        <v>0</v>
      </c>
      <c r="H3241">
        <f t="shared" si="252"/>
        <v>0</v>
      </c>
      <c r="I3241" s="141">
        <f t="shared" si="253"/>
        <v>0</v>
      </c>
      <c r="J3241">
        <f t="shared" si="254"/>
        <v>0</v>
      </c>
      <c r="K3241" s="141">
        <f t="shared" si="255"/>
        <v>0</v>
      </c>
    </row>
    <row r="3242" spans="7:11" hidden="1" x14ac:dyDescent="0.25">
      <c r="G3242">
        <f t="shared" si="251"/>
        <v>0</v>
      </c>
      <c r="H3242">
        <f t="shared" si="252"/>
        <v>0</v>
      </c>
      <c r="I3242" s="141">
        <f t="shared" si="253"/>
        <v>0</v>
      </c>
      <c r="J3242">
        <f t="shared" si="254"/>
        <v>0</v>
      </c>
      <c r="K3242" s="141">
        <f t="shared" si="255"/>
        <v>0</v>
      </c>
    </row>
    <row r="3243" spans="7:11" hidden="1" x14ac:dyDescent="0.25">
      <c r="G3243">
        <f t="shared" si="251"/>
        <v>0</v>
      </c>
      <c r="H3243">
        <f t="shared" si="252"/>
        <v>0</v>
      </c>
      <c r="I3243" s="141">
        <f t="shared" si="253"/>
        <v>0</v>
      </c>
      <c r="J3243">
        <f t="shared" si="254"/>
        <v>0</v>
      </c>
      <c r="K3243" s="141">
        <f t="shared" si="255"/>
        <v>0</v>
      </c>
    </row>
    <row r="3244" spans="7:11" hidden="1" x14ac:dyDescent="0.25">
      <c r="G3244">
        <f t="shared" si="251"/>
        <v>0</v>
      </c>
      <c r="H3244">
        <f t="shared" si="252"/>
        <v>0</v>
      </c>
      <c r="I3244" s="141">
        <f t="shared" si="253"/>
        <v>0</v>
      </c>
      <c r="J3244">
        <f t="shared" si="254"/>
        <v>0</v>
      </c>
      <c r="K3244" s="141">
        <f t="shared" si="255"/>
        <v>0</v>
      </c>
    </row>
    <row r="3245" spans="7:11" hidden="1" x14ac:dyDescent="0.25">
      <c r="G3245">
        <f t="shared" si="251"/>
        <v>0</v>
      </c>
      <c r="H3245">
        <f t="shared" si="252"/>
        <v>0</v>
      </c>
      <c r="I3245" s="141">
        <f t="shared" si="253"/>
        <v>0</v>
      </c>
      <c r="J3245">
        <f t="shared" si="254"/>
        <v>0</v>
      </c>
      <c r="K3245" s="141">
        <f t="shared" si="255"/>
        <v>0</v>
      </c>
    </row>
    <row r="3246" spans="7:11" hidden="1" x14ac:dyDescent="0.25">
      <c r="G3246">
        <f t="shared" si="251"/>
        <v>0</v>
      </c>
      <c r="H3246">
        <f t="shared" si="252"/>
        <v>0</v>
      </c>
      <c r="I3246" s="141">
        <f t="shared" si="253"/>
        <v>0</v>
      </c>
      <c r="J3246">
        <f t="shared" si="254"/>
        <v>0</v>
      </c>
      <c r="K3246" s="141">
        <f t="shared" si="255"/>
        <v>0</v>
      </c>
    </row>
    <row r="3247" spans="7:11" hidden="1" x14ac:dyDescent="0.25">
      <c r="G3247">
        <f t="shared" si="251"/>
        <v>0</v>
      </c>
      <c r="H3247">
        <f t="shared" si="252"/>
        <v>0</v>
      </c>
      <c r="I3247" s="141">
        <f t="shared" si="253"/>
        <v>0</v>
      </c>
      <c r="J3247">
        <f t="shared" si="254"/>
        <v>0</v>
      </c>
      <c r="K3247" s="141">
        <f t="shared" si="255"/>
        <v>0</v>
      </c>
    </row>
    <row r="3248" spans="7:11" hidden="1" x14ac:dyDescent="0.25">
      <c r="G3248">
        <f t="shared" si="251"/>
        <v>0</v>
      </c>
      <c r="H3248">
        <f t="shared" si="252"/>
        <v>0</v>
      </c>
      <c r="I3248" s="141">
        <f t="shared" si="253"/>
        <v>0</v>
      </c>
      <c r="J3248">
        <f t="shared" si="254"/>
        <v>0</v>
      </c>
      <c r="K3248" s="141">
        <f t="shared" si="255"/>
        <v>0</v>
      </c>
    </row>
    <row r="3249" spans="7:11" hidden="1" x14ac:dyDescent="0.25">
      <c r="G3249">
        <f t="shared" si="251"/>
        <v>0</v>
      </c>
      <c r="H3249">
        <f t="shared" si="252"/>
        <v>0</v>
      </c>
      <c r="I3249" s="141">
        <f t="shared" si="253"/>
        <v>0</v>
      </c>
      <c r="J3249">
        <f t="shared" si="254"/>
        <v>0</v>
      </c>
      <c r="K3249" s="141">
        <f t="shared" si="255"/>
        <v>0</v>
      </c>
    </row>
    <row r="3250" spans="7:11" hidden="1" x14ac:dyDescent="0.25">
      <c r="G3250">
        <f t="shared" si="251"/>
        <v>0</v>
      </c>
      <c r="H3250">
        <f t="shared" si="252"/>
        <v>0</v>
      </c>
      <c r="I3250" s="141">
        <f t="shared" si="253"/>
        <v>0</v>
      </c>
      <c r="J3250">
        <f t="shared" si="254"/>
        <v>0</v>
      </c>
      <c r="K3250" s="141">
        <f t="shared" si="255"/>
        <v>0</v>
      </c>
    </row>
    <row r="3251" spans="7:11" hidden="1" x14ac:dyDescent="0.25">
      <c r="G3251">
        <f t="shared" si="251"/>
        <v>0</v>
      </c>
      <c r="H3251">
        <f t="shared" si="252"/>
        <v>0</v>
      </c>
      <c r="I3251" s="141">
        <f t="shared" si="253"/>
        <v>0</v>
      </c>
      <c r="J3251">
        <f t="shared" si="254"/>
        <v>0</v>
      </c>
      <c r="K3251" s="141">
        <f t="shared" si="255"/>
        <v>0</v>
      </c>
    </row>
    <row r="3252" spans="7:11" hidden="1" x14ac:dyDescent="0.25">
      <c r="G3252">
        <f t="shared" si="251"/>
        <v>0</v>
      </c>
      <c r="H3252">
        <f t="shared" si="252"/>
        <v>0</v>
      </c>
      <c r="I3252" s="141">
        <f t="shared" si="253"/>
        <v>0</v>
      </c>
      <c r="J3252">
        <f t="shared" si="254"/>
        <v>0</v>
      </c>
      <c r="K3252" s="141">
        <f t="shared" si="255"/>
        <v>0</v>
      </c>
    </row>
    <row r="3253" spans="7:11" hidden="1" x14ac:dyDescent="0.25">
      <c r="G3253">
        <f t="shared" si="251"/>
        <v>0</v>
      </c>
      <c r="H3253">
        <f t="shared" si="252"/>
        <v>0</v>
      </c>
      <c r="I3253" s="141">
        <f t="shared" si="253"/>
        <v>0</v>
      </c>
      <c r="J3253">
        <f t="shared" si="254"/>
        <v>0</v>
      </c>
      <c r="K3253" s="141">
        <f t="shared" si="255"/>
        <v>0</v>
      </c>
    </row>
    <row r="3254" spans="7:11" hidden="1" x14ac:dyDescent="0.25">
      <c r="G3254">
        <f t="shared" si="251"/>
        <v>0</v>
      </c>
      <c r="H3254">
        <f t="shared" si="252"/>
        <v>0</v>
      </c>
      <c r="I3254" s="141">
        <f t="shared" si="253"/>
        <v>0</v>
      </c>
      <c r="J3254">
        <f t="shared" si="254"/>
        <v>0</v>
      </c>
      <c r="K3254" s="141">
        <f t="shared" si="255"/>
        <v>0</v>
      </c>
    </row>
    <row r="3255" spans="7:11" hidden="1" x14ac:dyDescent="0.25">
      <c r="G3255">
        <f t="shared" si="251"/>
        <v>0</v>
      </c>
      <c r="H3255">
        <f t="shared" si="252"/>
        <v>0</v>
      </c>
      <c r="I3255" s="141">
        <f t="shared" si="253"/>
        <v>0</v>
      </c>
      <c r="J3255">
        <f t="shared" si="254"/>
        <v>0</v>
      </c>
      <c r="K3255" s="141">
        <f t="shared" si="255"/>
        <v>0</v>
      </c>
    </row>
    <row r="3256" spans="7:11" hidden="1" x14ac:dyDescent="0.25">
      <c r="G3256">
        <f t="shared" si="251"/>
        <v>0</v>
      </c>
      <c r="H3256">
        <f t="shared" si="252"/>
        <v>0</v>
      </c>
      <c r="I3256" s="141">
        <f t="shared" si="253"/>
        <v>0</v>
      </c>
      <c r="J3256">
        <f t="shared" si="254"/>
        <v>0</v>
      </c>
      <c r="K3256" s="141">
        <f t="shared" si="255"/>
        <v>0</v>
      </c>
    </row>
    <row r="3257" spans="7:11" hidden="1" x14ac:dyDescent="0.25">
      <c r="G3257">
        <f t="shared" si="251"/>
        <v>0</v>
      </c>
      <c r="H3257">
        <f t="shared" si="252"/>
        <v>0</v>
      </c>
      <c r="I3257" s="141">
        <f t="shared" si="253"/>
        <v>0</v>
      </c>
      <c r="J3257">
        <f t="shared" si="254"/>
        <v>0</v>
      </c>
      <c r="K3257" s="141">
        <f t="shared" si="255"/>
        <v>0</v>
      </c>
    </row>
    <row r="3258" spans="7:11" hidden="1" x14ac:dyDescent="0.25">
      <c r="G3258">
        <f t="shared" si="251"/>
        <v>0</v>
      </c>
      <c r="H3258">
        <f t="shared" si="252"/>
        <v>0</v>
      </c>
      <c r="I3258" s="141">
        <f t="shared" si="253"/>
        <v>0</v>
      </c>
      <c r="J3258">
        <f t="shared" si="254"/>
        <v>0</v>
      </c>
      <c r="K3258" s="141">
        <f t="shared" si="255"/>
        <v>0</v>
      </c>
    </row>
    <row r="3259" spans="7:11" hidden="1" x14ac:dyDescent="0.25">
      <c r="G3259">
        <f t="shared" si="251"/>
        <v>0</v>
      </c>
      <c r="H3259">
        <f t="shared" si="252"/>
        <v>0</v>
      </c>
      <c r="I3259" s="141">
        <f t="shared" si="253"/>
        <v>0</v>
      </c>
      <c r="J3259">
        <f t="shared" si="254"/>
        <v>0</v>
      </c>
      <c r="K3259" s="141">
        <f t="shared" si="255"/>
        <v>0</v>
      </c>
    </row>
    <row r="3260" spans="7:11" hidden="1" x14ac:dyDescent="0.25">
      <c r="G3260">
        <f t="shared" si="251"/>
        <v>0</v>
      </c>
      <c r="H3260">
        <f t="shared" si="252"/>
        <v>0</v>
      </c>
      <c r="I3260" s="141">
        <f t="shared" si="253"/>
        <v>0</v>
      </c>
      <c r="J3260">
        <f t="shared" si="254"/>
        <v>0</v>
      </c>
      <c r="K3260" s="141">
        <f t="shared" si="255"/>
        <v>0</v>
      </c>
    </row>
    <row r="3261" spans="7:11" hidden="1" x14ac:dyDescent="0.25">
      <c r="G3261">
        <f t="shared" si="251"/>
        <v>0</v>
      </c>
      <c r="H3261">
        <f t="shared" si="252"/>
        <v>0</v>
      </c>
      <c r="I3261" s="141">
        <f t="shared" si="253"/>
        <v>0</v>
      </c>
      <c r="J3261">
        <f t="shared" si="254"/>
        <v>0</v>
      </c>
      <c r="K3261" s="141">
        <f t="shared" si="255"/>
        <v>0</v>
      </c>
    </row>
    <row r="3262" spans="7:11" hidden="1" x14ac:dyDescent="0.25">
      <c r="G3262">
        <f t="shared" si="251"/>
        <v>0</v>
      </c>
      <c r="H3262">
        <f t="shared" si="252"/>
        <v>0</v>
      </c>
      <c r="I3262" s="141">
        <f t="shared" si="253"/>
        <v>0</v>
      </c>
      <c r="J3262">
        <f t="shared" si="254"/>
        <v>0</v>
      </c>
      <c r="K3262" s="141">
        <f t="shared" si="255"/>
        <v>0</v>
      </c>
    </row>
    <row r="3263" spans="7:11" hidden="1" x14ac:dyDescent="0.25">
      <c r="G3263">
        <f t="shared" si="251"/>
        <v>0</v>
      </c>
      <c r="H3263">
        <f t="shared" si="252"/>
        <v>0</v>
      </c>
      <c r="I3263" s="141">
        <f t="shared" si="253"/>
        <v>0</v>
      </c>
      <c r="J3263">
        <f t="shared" si="254"/>
        <v>0</v>
      </c>
      <c r="K3263" s="141">
        <f t="shared" si="255"/>
        <v>0</v>
      </c>
    </row>
    <row r="3264" spans="7:11" hidden="1" x14ac:dyDescent="0.25">
      <c r="G3264">
        <f t="shared" si="251"/>
        <v>0</v>
      </c>
      <c r="H3264">
        <f t="shared" si="252"/>
        <v>0</v>
      </c>
      <c r="I3264" s="141">
        <f t="shared" si="253"/>
        <v>0</v>
      </c>
      <c r="J3264">
        <f t="shared" si="254"/>
        <v>0</v>
      </c>
      <c r="K3264" s="141">
        <f t="shared" si="255"/>
        <v>0</v>
      </c>
    </row>
    <row r="3265" spans="7:11" hidden="1" x14ac:dyDescent="0.25">
      <c r="G3265">
        <f t="shared" si="251"/>
        <v>0</v>
      </c>
      <c r="H3265">
        <f t="shared" si="252"/>
        <v>0</v>
      </c>
      <c r="I3265" s="141">
        <f t="shared" si="253"/>
        <v>0</v>
      </c>
      <c r="J3265">
        <f t="shared" si="254"/>
        <v>0</v>
      </c>
      <c r="K3265" s="141">
        <f t="shared" si="255"/>
        <v>0</v>
      </c>
    </row>
    <row r="3266" spans="7:11" hidden="1" x14ac:dyDescent="0.25">
      <c r="G3266">
        <f t="shared" ref="G3266:G3329" si="256">A3266</f>
        <v>0</v>
      </c>
      <c r="H3266">
        <f t="shared" ref="H3266:H3329" si="257">B3266</f>
        <v>0</v>
      </c>
      <c r="I3266" s="141">
        <f t="shared" ref="I3266:I3329" si="258">C3266</f>
        <v>0</v>
      </c>
      <c r="J3266">
        <f t="shared" ref="J3266:J3329" si="259">D3266</f>
        <v>0</v>
      </c>
      <c r="K3266" s="141">
        <f t="shared" ref="K3266:K3329" si="260">E3266</f>
        <v>0</v>
      </c>
    </row>
    <row r="3267" spans="7:11" hidden="1" x14ac:dyDescent="0.25">
      <c r="G3267">
        <f t="shared" si="256"/>
        <v>0</v>
      </c>
      <c r="H3267">
        <f t="shared" si="257"/>
        <v>0</v>
      </c>
      <c r="I3267" s="141">
        <f t="shared" si="258"/>
        <v>0</v>
      </c>
      <c r="J3267">
        <f t="shared" si="259"/>
        <v>0</v>
      </c>
      <c r="K3267" s="141">
        <f t="shared" si="260"/>
        <v>0</v>
      </c>
    </row>
    <row r="3268" spans="7:11" hidden="1" x14ac:dyDescent="0.25">
      <c r="G3268">
        <f t="shared" si="256"/>
        <v>0</v>
      </c>
      <c r="H3268">
        <f t="shared" si="257"/>
        <v>0</v>
      </c>
      <c r="I3268" s="141">
        <f t="shared" si="258"/>
        <v>0</v>
      </c>
      <c r="J3268">
        <f t="shared" si="259"/>
        <v>0</v>
      </c>
      <c r="K3268" s="141">
        <f t="shared" si="260"/>
        <v>0</v>
      </c>
    </row>
    <row r="3269" spans="7:11" hidden="1" x14ac:dyDescent="0.25">
      <c r="G3269">
        <f t="shared" si="256"/>
        <v>0</v>
      </c>
      <c r="H3269">
        <f t="shared" si="257"/>
        <v>0</v>
      </c>
      <c r="I3269" s="141">
        <f t="shared" si="258"/>
        <v>0</v>
      </c>
      <c r="J3269">
        <f t="shared" si="259"/>
        <v>0</v>
      </c>
      <c r="K3269" s="141">
        <f t="shared" si="260"/>
        <v>0</v>
      </c>
    </row>
    <row r="3270" spans="7:11" hidden="1" x14ac:dyDescent="0.25">
      <c r="G3270">
        <f t="shared" si="256"/>
        <v>0</v>
      </c>
      <c r="H3270">
        <f t="shared" si="257"/>
        <v>0</v>
      </c>
      <c r="I3270" s="141">
        <f t="shared" si="258"/>
        <v>0</v>
      </c>
      <c r="J3270">
        <f t="shared" si="259"/>
        <v>0</v>
      </c>
      <c r="K3270" s="141">
        <f t="shared" si="260"/>
        <v>0</v>
      </c>
    </row>
    <row r="3271" spans="7:11" hidden="1" x14ac:dyDescent="0.25">
      <c r="G3271">
        <f t="shared" si="256"/>
        <v>0</v>
      </c>
      <c r="H3271">
        <f t="shared" si="257"/>
        <v>0</v>
      </c>
      <c r="I3271" s="141">
        <f t="shared" si="258"/>
        <v>0</v>
      </c>
      <c r="J3271">
        <f t="shared" si="259"/>
        <v>0</v>
      </c>
      <c r="K3271" s="141">
        <f t="shared" si="260"/>
        <v>0</v>
      </c>
    </row>
    <row r="3272" spans="7:11" hidden="1" x14ac:dyDescent="0.25">
      <c r="G3272">
        <f t="shared" si="256"/>
        <v>0</v>
      </c>
      <c r="H3272">
        <f t="shared" si="257"/>
        <v>0</v>
      </c>
      <c r="I3272" s="141">
        <f t="shared" si="258"/>
        <v>0</v>
      </c>
      <c r="J3272">
        <f t="shared" si="259"/>
        <v>0</v>
      </c>
      <c r="K3272" s="141">
        <f t="shared" si="260"/>
        <v>0</v>
      </c>
    </row>
    <row r="3273" spans="7:11" hidden="1" x14ac:dyDescent="0.25">
      <c r="G3273">
        <f t="shared" si="256"/>
        <v>0</v>
      </c>
      <c r="H3273">
        <f t="shared" si="257"/>
        <v>0</v>
      </c>
      <c r="I3273" s="141">
        <f t="shared" si="258"/>
        <v>0</v>
      </c>
      <c r="J3273">
        <f t="shared" si="259"/>
        <v>0</v>
      </c>
      <c r="K3273" s="141">
        <f t="shared" si="260"/>
        <v>0</v>
      </c>
    </row>
    <row r="3274" spans="7:11" hidden="1" x14ac:dyDescent="0.25">
      <c r="G3274">
        <f t="shared" si="256"/>
        <v>0</v>
      </c>
      <c r="H3274">
        <f t="shared" si="257"/>
        <v>0</v>
      </c>
      <c r="I3274" s="141">
        <f t="shared" si="258"/>
        <v>0</v>
      </c>
      <c r="J3274">
        <f t="shared" si="259"/>
        <v>0</v>
      </c>
      <c r="K3274" s="141">
        <f t="shared" si="260"/>
        <v>0</v>
      </c>
    </row>
    <row r="3275" spans="7:11" hidden="1" x14ac:dyDescent="0.25">
      <c r="G3275">
        <f t="shared" si="256"/>
        <v>0</v>
      </c>
      <c r="H3275">
        <f t="shared" si="257"/>
        <v>0</v>
      </c>
      <c r="I3275" s="141">
        <f t="shared" si="258"/>
        <v>0</v>
      </c>
      <c r="J3275">
        <f t="shared" si="259"/>
        <v>0</v>
      </c>
      <c r="K3275" s="141">
        <f t="shared" si="260"/>
        <v>0</v>
      </c>
    </row>
    <row r="3276" spans="7:11" hidden="1" x14ac:dyDescent="0.25">
      <c r="G3276">
        <f t="shared" si="256"/>
        <v>0</v>
      </c>
      <c r="H3276">
        <f t="shared" si="257"/>
        <v>0</v>
      </c>
      <c r="I3276" s="141">
        <f t="shared" si="258"/>
        <v>0</v>
      </c>
      <c r="J3276">
        <f t="shared" si="259"/>
        <v>0</v>
      </c>
      <c r="K3276" s="141">
        <f t="shared" si="260"/>
        <v>0</v>
      </c>
    </row>
    <row r="3277" spans="7:11" hidden="1" x14ac:dyDescent="0.25">
      <c r="G3277">
        <f t="shared" si="256"/>
        <v>0</v>
      </c>
      <c r="H3277">
        <f t="shared" si="257"/>
        <v>0</v>
      </c>
      <c r="I3277" s="141">
        <f t="shared" si="258"/>
        <v>0</v>
      </c>
      <c r="J3277">
        <f t="shared" si="259"/>
        <v>0</v>
      </c>
      <c r="K3277" s="141">
        <f t="shared" si="260"/>
        <v>0</v>
      </c>
    </row>
    <row r="3278" spans="7:11" hidden="1" x14ac:dyDescent="0.25">
      <c r="G3278">
        <f t="shared" si="256"/>
        <v>0</v>
      </c>
      <c r="H3278">
        <f t="shared" si="257"/>
        <v>0</v>
      </c>
      <c r="I3278" s="141">
        <f t="shared" si="258"/>
        <v>0</v>
      </c>
      <c r="J3278">
        <f t="shared" si="259"/>
        <v>0</v>
      </c>
      <c r="K3278" s="141">
        <f t="shared" si="260"/>
        <v>0</v>
      </c>
    </row>
    <row r="3279" spans="7:11" hidden="1" x14ac:dyDescent="0.25">
      <c r="G3279">
        <f t="shared" si="256"/>
        <v>0</v>
      </c>
      <c r="H3279">
        <f t="shared" si="257"/>
        <v>0</v>
      </c>
      <c r="I3279" s="141">
        <f t="shared" si="258"/>
        <v>0</v>
      </c>
      <c r="J3279">
        <f t="shared" si="259"/>
        <v>0</v>
      </c>
      <c r="K3279" s="141">
        <f t="shared" si="260"/>
        <v>0</v>
      </c>
    </row>
    <row r="3280" spans="7:11" hidden="1" x14ac:dyDescent="0.25">
      <c r="G3280">
        <f t="shared" si="256"/>
        <v>0</v>
      </c>
      <c r="H3280">
        <f t="shared" si="257"/>
        <v>0</v>
      </c>
      <c r="I3280" s="141">
        <f t="shared" si="258"/>
        <v>0</v>
      </c>
      <c r="J3280">
        <f t="shared" si="259"/>
        <v>0</v>
      </c>
      <c r="K3280" s="141">
        <f t="shared" si="260"/>
        <v>0</v>
      </c>
    </row>
    <row r="3281" spans="7:11" hidden="1" x14ac:dyDescent="0.25">
      <c r="G3281">
        <f t="shared" si="256"/>
        <v>0</v>
      </c>
      <c r="H3281">
        <f t="shared" si="257"/>
        <v>0</v>
      </c>
      <c r="I3281" s="141">
        <f t="shared" si="258"/>
        <v>0</v>
      </c>
      <c r="J3281">
        <f t="shared" si="259"/>
        <v>0</v>
      </c>
      <c r="K3281" s="141">
        <f t="shared" si="260"/>
        <v>0</v>
      </c>
    </row>
    <row r="3282" spans="7:11" hidden="1" x14ac:dyDescent="0.25">
      <c r="G3282">
        <f t="shared" si="256"/>
        <v>0</v>
      </c>
      <c r="H3282">
        <f t="shared" si="257"/>
        <v>0</v>
      </c>
      <c r="I3282" s="141">
        <f t="shared" si="258"/>
        <v>0</v>
      </c>
      <c r="J3282">
        <f t="shared" si="259"/>
        <v>0</v>
      </c>
      <c r="K3282" s="141">
        <f t="shared" si="260"/>
        <v>0</v>
      </c>
    </row>
    <row r="3283" spans="7:11" hidden="1" x14ac:dyDescent="0.25">
      <c r="G3283">
        <f t="shared" si="256"/>
        <v>0</v>
      </c>
      <c r="H3283">
        <f t="shared" si="257"/>
        <v>0</v>
      </c>
      <c r="I3283" s="141">
        <f t="shared" si="258"/>
        <v>0</v>
      </c>
      <c r="J3283">
        <f t="shared" si="259"/>
        <v>0</v>
      </c>
      <c r="K3283" s="141">
        <f t="shared" si="260"/>
        <v>0</v>
      </c>
    </row>
    <row r="3284" spans="7:11" hidden="1" x14ac:dyDescent="0.25">
      <c r="G3284">
        <f t="shared" si="256"/>
        <v>0</v>
      </c>
      <c r="H3284">
        <f t="shared" si="257"/>
        <v>0</v>
      </c>
      <c r="I3284" s="141">
        <f t="shared" si="258"/>
        <v>0</v>
      </c>
      <c r="J3284">
        <f t="shared" si="259"/>
        <v>0</v>
      </c>
      <c r="K3284" s="141">
        <f t="shared" si="260"/>
        <v>0</v>
      </c>
    </row>
    <row r="3285" spans="7:11" hidden="1" x14ac:dyDescent="0.25">
      <c r="G3285">
        <f t="shared" si="256"/>
        <v>0</v>
      </c>
      <c r="H3285">
        <f t="shared" si="257"/>
        <v>0</v>
      </c>
      <c r="I3285" s="141">
        <f t="shared" si="258"/>
        <v>0</v>
      </c>
      <c r="J3285">
        <f t="shared" si="259"/>
        <v>0</v>
      </c>
      <c r="K3285" s="141">
        <f t="shared" si="260"/>
        <v>0</v>
      </c>
    </row>
    <row r="3286" spans="7:11" hidden="1" x14ac:dyDescent="0.25">
      <c r="G3286">
        <f t="shared" si="256"/>
        <v>0</v>
      </c>
      <c r="H3286">
        <f t="shared" si="257"/>
        <v>0</v>
      </c>
      <c r="I3286" s="141">
        <f t="shared" si="258"/>
        <v>0</v>
      </c>
      <c r="J3286">
        <f t="shared" si="259"/>
        <v>0</v>
      </c>
      <c r="K3286" s="141">
        <f t="shared" si="260"/>
        <v>0</v>
      </c>
    </row>
    <row r="3287" spans="7:11" hidden="1" x14ac:dyDescent="0.25">
      <c r="G3287">
        <f t="shared" si="256"/>
        <v>0</v>
      </c>
      <c r="H3287">
        <f t="shared" si="257"/>
        <v>0</v>
      </c>
      <c r="I3287" s="141">
        <f t="shared" si="258"/>
        <v>0</v>
      </c>
      <c r="J3287">
        <f t="shared" si="259"/>
        <v>0</v>
      </c>
      <c r="K3287" s="141">
        <f t="shared" si="260"/>
        <v>0</v>
      </c>
    </row>
    <row r="3288" spans="7:11" hidden="1" x14ac:dyDescent="0.25">
      <c r="G3288">
        <f t="shared" si="256"/>
        <v>0</v>
      </c>
      <c r="H3288">
        <f t="shared" si="257"/>
        <v>0</v>
      </c>
      <c r="I3288" s="141">
        <f t="shared" si="258"/>
        <v>0</v>
      </c>
      <c r="J3288">
        <f t="shared" si="259"/>
        <v>0</v>
      </c>
      <c r="K3288" s="141">
        <f t="shared" si="260"/>
        <v>0</v>
      </c>
    </row>
    <row r="3289" spans="7:11" hidden="1" x14ac:dyDescent="0.25">
      <c r="G3289">
        <f t="shared" si="256"/>
        <v>0</v>
      </c>
      <c r="H3289">
        <f t="shared" si="257"/>
        <v>0</v>
      </c>
      <c r="I3289" s="141">
        <f t="shared" si="258"/>
        <v>0</v>
      </c>
      <c r="J3289">
        <f t="shared" si="259"/>
        <v>0</v>
      </c>
      <c r="K3289" s="141">
        <f t="shared" si="260"/>
        <v>0</v>
      </c>
    </row>
    <row r="3290" spans="7:11" hidden="1" x14ac:dyDescent="0.25">
      <c r="G3290">
        <f t="shared" si="256"/>
        <v>0</v>
      </c>
      <c r="H3290">
        <f t="shared" si="257"/>
        <v>0</v>
      </c>
      <c r="I3290" s="141">
        <f t="shared" si="258"/>
        <v>0</v>
      </c>
      <c r="J3290">
        <f t="shared" si="259"/>
        <v>0</v>
      </c>
      <c r="K3290" s="141">
        <f t="shared" si="260"/>
        <v>0</v>
      </c>
    </row>
    <row r="3291" spans="7:11" hidden="1" x14ac:dyDescent="0.25">
      <c r="G3291">
        <f t="shared" si="256"/>
        <v>0</v>
      </c>
      <c r="H3291">
        <f t="shared" si="257"/>
        <v>0</v>
      </c>
      <c r="I3291" s="141">
        <f t="shared" si="258"/>
        <v>0</v>
      </c>
      <c r="J3291">
        <f t="shared" si="259"/>
        <v>0</v>
      </c>
      <c r="K3291" s="141">
        <f t="shared" si="260"/>
        <v>0</v>
      </c>
    </row>
    <row r="3292" spans="7:11" hidden="1" x14ac:dyDescent="0.25">
      <c r="G3292">
        <f t="shared" si="256"/>
        <v>0</v>
      </c>
      <c r="H3292">
        <f t="shared" si="257"/>
        <v>0</v>
      </c>
      <c r="I3292" s="141">
        <f t="shared" si="258"/>
        <v>0</v>
      </c>
      <c r="J3292">
        <f t="shared" si="259"/>
        <v>0</v>
      </c>
      <c r="K3292" s="141">
        <f t="shared" si="260"/>
        <v>0</v>
      </c>
    </row>
    <row r="3293" spans="7:11" hidden="1" x14ac:dyDescent="0.25">
      <c r="G3293">
        <f t="shared" si="256"/>
        <v>0</v>
      </c>
      <c r="H3293">
        <f t="shared" si="257"/>
        <v>0</v>
      </c>
      <c r="I3293" s="141">
        <f t="shared" si="258"/>
        <v>0</v>
      </c>
      <c r="J3293">
        <f t="shared" si="259"/>
        <v>0</v>
      </c>
      <c r="K3293" s="141">
        <f t="shared" si="260"/>
        <v>0</v>
      </c>
    </row>
    <row r="3294" spans="7:11" hidden="1" x14ac:dyDescent="0.25">
      <c r="G3294">
        <f t="shared" si="256"/>
        <v>0</v>
      </c>
      <c r="H3294">
        <f t="shared" si="257"/>
        <v>0</v>
      </c>
      <c r="I3294" s="141">
        <f t="shared" si="258"/>
        <v>0</v>
      </c>
      <c r="J3294">
        <f t="shared" si="259"/>
        <v>0</v>
      </c>
      <c r="K3294" s="141">
        <f t="shared" si="260"/>
        <v>0</v>
      </c>
    </row>
    <row r="3295" spans="7:11" hidden="1" x14ac:dyDescent="0.25">
      <c r="G3295">
        <f t="shared" si="256"/>
        <v>0</v>
      </c>
      <c r="H3295">
        <f t="shared" si="257"/>
        <v>0</v>
      </c>
      <c r="I3295" s="141">
        <f t="shared" si="258"/>
        <v>0</v>
      </c>
      <c r="J3295">
        <f t="shared" si="259"/>
        <v>0</v>
      </c>
      <c r="K3295" s="141">
        <f t="shared" si="260"/>
        <v>0</v>
      </c>
    </row>
    <row r="3296" spans="7:11" hidden="1" x14ac:dyDescent="0.25">
      <c r="G3296">
        <f t="shared" si="256"/>
        <v>0</v>
      </c>
      <c r="H3296">
        <f t="shared" si="257"/>
        <v>0</v>
      </c>
      <c r="I3296" s="141">
        <f t="shared" si="258"/>
        <v>0</v>
      </c>
      <c r="J3296">
        <f t="shared" si="259"/>
        <v>0</v>
      </c>
      <c r="K3296" s="141">
        <f t="shared" si="260"/>
        <v>0</v>
      </c>
    </row>
    <row r="3297" spans="7:11" hidden="1" x14ac:dyDescent="0.25">
      <c r="G3297">
        <f t="shared" si="256"/>
        <v>0</v>
      </c>
      <c r="H3297">
        <f t="shared" si="257"/>
        <v>0</v>
      </c>
      <c r="I3297" s="141">
        <f t="shared" si="258"/>
        <v>0</v>
      </c>
      <c r="J3297">
        <f t="shared" si="259"/>
        <v>0</v>
      </c>
      <c r="K3297" s="141">
        <f t="shared" si="260"/>
        <v>0</v>
      </c>
    </row>
    <row r="3298" spans="7:11" hidden="1" x14ac:dyDescent="0.25">
      <c r="G3298">
        <f t="shared" si="256"/>
        <v>0</v>
      </c>
      <c r="H3298">
        <f t="shared" si="257"/>
        <v>0</v>
      </c>
      <c r="I3298" s="141">
        <f t="shared" si="258"/>
        <v>0</v>
      </c>
      <c r="J3298">
        <f t="shared" si="259"/>
        <v>0</v>
      </c>
      <c r="K3298" s="141">
        <f t="shared" si="260"/>
        <v>0</v>
      </c>
    </row>
    <row r="3299" spans="7:11" hidden="1" x14ac:dyDescent="0.25">
      <c r="G3299">
        <f t="shared" si="256"/>
        <v>0</v>
      </c>
      <c r="H3299">
        <f t="shared" si="257"/>
        <v>0</v>
      </c>
      <c r="I3299" s="141">
        <f t="shared" si="258"/>
        <v>0</v>
      </c>
      <c r="J3299">
        <f t="shared" si="259"/>
        <v>0</v>
      </c>
      <c r="K3299" s="141">
        <f t="shared" si="260"/>
        <v>0</v>
      </c>
    </row>
    <row r="3300" spans="7:11" hidden="1" x14ac:dyDescent="0.25">
      <c r="G3300">
        <f t="shared" si="256"/>
        <v>0</v>
      </c>
      <c r="H3300">
        <f t="shared" si="257"/>
        <v>0</v>
      </c>
      <c r="I3300" s="141">
        <f t="shared" si="258"/>
        <v>0</v>
      </c>
      <c r="J3300">
        <f t="shared" si="259"/>
        <v>0</v>
      </c>
      <c r="K3300" s="141">
        <f t="shared" si="260"/>
        <v>0</v>
      </c>
    </row>
    <row r="3301" spans="7:11" hidden="1" x14ac:dyDescent="0.25">
      <c r="G3301">
        <f t="shared" si="256"/>
        <v>0</v>
      </c>
      <c r="H3301">
        <f t="shared" si="257"/>
        <v>0</v>
      </c>
      <c r="I3301" s="141">
        <f t="shared" si="258"/>
        <v>0</v>
      </c>
      <c r="J3301">
        <f t="shared" si="259"/>
        <v>0</v>
      </c>
      <c r="K3301" s="141">
        <f t="shared" si="260"/>
        <v>0</v>
      </c>
    </row>
    <row r="3302" spans="7:11" hidden="1" x14ac:dyDescent="0.25">
      <c r="G3302">
        <f t="shared" si="256"/>
        <v>0</v>
      </c>
      <c r="H3302">
        <f t="shared" si="257"/>
        <v>0</v>
      </c>
      <c r="I3302" s="141">
        <f t="shared" si="258"/>
        <v>0</v>
      </c>
      <c r="J3302">
        <f t="shared" si="259"/>
        <v>0</v>
      </c>
      <c r="K3302" s="141">
        <f t="shared" si="260"/>
        <v>0</v>
      </c>
    </row>
    <row r="3303" spans="7:11" hidden="1" x14ac:dyDescent="0.25">
      <c r="G3303">
        <f t="shared" si="256"/>
        <v>0</v>
      </c>
      <c r="H3303">
        <f t="shared" si="257"/>
        <v>0</v>
      </c>
      <c r="I3303" s="141">
        <f t="shared" si="258"/>
        <v>0</v>
      </c>
      <c r="J3303">
        <f t="shared" si="259"/>
        <v>0</v>
      </c>
      <c r="K3303" s="141">
        <f t="shared" si="260"/>
        <v>0</v>
      </c>
    </row>
    <row r="3304" spans="7:11" hidden="1" x14ac:dyDescent="0.25">
      <c r="G3304">
        <f t="shared" si="256"/>
        <v>0</v>
      </c>
      <c r="H3304">
        <f t="shared" si="257"/>
        <v>0</v>
      </c>
      <c r="I3304" s="141">
        <f t="shared" si="258"/>
        <v>0</v>
      </c>
      <c r="J3304">
        <f t="shared" si="259"/>
        <v>0</v>
      </c>
      <c r="K3304" s="141">
        <f t="shared" si="260"/>
        <v>0</v>
      </c>
    </row>
    <row r="3305" spans="7:11" hidden="1" x14ac:dyDescent="0.25">
      <c r="G3305">
        <f t="shared" si="256"/>
        <v>0</v>
      </c>
      <c r="H3305">
        <f t="shared" si="257"/>
        <v>0</v>
      </c>
      <c r="I3305" s="141">
        <f t="shared" si="258"/>
        <v>0</v>
      </c>
      <c r="J3305">
        <f t="shared" si="259"/>
        <v>0</v>
      </c>
      <c r="K3305" s="141">
        <f t="shared" si="260"/>
        <v>0</v>
      </c>
    </row>
    <row r="3306" spans="7:11" hidden="1" x14ac:dyDescent="0.25">
      <c r="G3306">
        <f t="shared" si="256"/>
        <v>0</v>
      </c>
      <c r="H3306">
        <f t="shared" si="257"/>
        <v>0</v>
      </c>
      <c r="I3306" s="141">
        <f t="shared" si="258"/>
        <v>0</v>
      </c>
      <c r="J3306">
        <f t="shared" si="259"/>
        <v>0</v>
      </c>
      <c r="K3306" s="141">
        <f t="shared" si="260"/>
        <v>0</v>
      </c>
    </row>
    <row r="3307" spans="7:11" hidden="1" x14ac:dyDescent="0.25">
      <c r="G3307">
        <f t="shared" si="256"/>
        <v>0</v>
      </c>
      <c r="H3307">
        <f t="shared" si="257"/>
        <v>0</v>
      </c>
      <c r="I3307" s="141">
        <f t="shared" si="258"/>
        <v>0</v>
      </c>
      <c r="J3307">
        <f t="shared" si="259"/>
        <v>0</v>
      </c>
      <c r="K3307" s="141">
        <f t="shared" si="260"/>
        <v>0</v>
      </c>
    </row>
    <row r="3308" spans="7:11" hidden="1" x14ac:dyDescent="0.25">
      <c r="G3308">
        <f t="shared" si="256"/>
        <v>0</v>
      </c>
      <c r="H3308">
        <f t="shared" si="257"/>
        <v>0</v>
      </c>
      <c r="I3308" s="141">
        <f t="shared" si="258"/>
        <v>0</v>
      </c>
      <c r="J3308">
        <f t="shared" si="259"/>
        <v>0</v>
      </c>
      <c r="K3308" s="141">
        <f t="shared" si="260"/>
        <v>0</v>
      </c>
    </row>
    <row r="3309" spans="7:11" hidden="1" x14ac:dyDescent="0.25">
      <c r="G3309">
        <f t="shared" si="256"/>
        <v>0</v>
      </c>
      <c r="H3309">
        <f t="shared" si="257"/>
        <v>0</v>
      </c>
      <c r="I3309" s="141">
        <f t="shared" si="258"/>
        <v>0</v>
      </c>
      <c r="J3309">
        <f t="shared" si="259"/>
        <v>0</v>
      </c>
      <c r="K3309" s="141">
        <f t="shared" si="260"/>
        <v>0</v>
      </c>
    </row>
    <row r="3310" spans="7:11" hidden="1" x14ac:dyDescent="0.25">
      <c r="G3310">
        <f t="shared" si="256"/>
        <v>0</v>
      </c>
      <c r="H3310">
        <f t="shared" si="257"/>
        <v>0</v>
      </c>
      <c r="I3310" s="141">
        <f t="shared" si="258"/>
        <v>0</v>
      </c>
      <c r="J3310">
        <f t="shared" si="259"/>
        <v>0</v>
      </c>
      <c r="K3310" s="141">
        <f t="shared" si="260"/>
        <v>0</v>
      </c>
    </row>
    <row r="3311" spans="7:11" hidden="1" x14ac:dyDescent="0.25">
      <c r="G3311">
        <f t="shared" si="256"/>
        <v>0</v>
      </c>
      <c r="H3311">
        <f t="shared" si="257"/>
        <v>0</v>
      </c>
      <c r="I3311" s="141">
        <f t="shared" si="258"/>
        <v>0</v>
      </c>
      <c r="J3311">
        <f t="shared" si="259"/>
        <v>0</v>
      </c>
      <c r="K3311" s="141">
        <f t="shared" si="260"/>
        <v>0</v>
      </c>
    </row>
    <row r="3312" spans="7:11" hidden="1" x14ac:dyDescent="0.25">
      <c r="G3312">
        <f t="shared" si="256"/>
        <v>0</v>
      </c>
      <c r="H3312">
        <f t="shared" si="257"/>
        <v>0</v>
      </c>
      <c r="I3312" s="141">
        <f t="shared" si="258"/>
        <v>0</v>
      </c>
      <c r="J3312">
        <f t="shared" si="259"/>
        <v>0</v>
      </c>
      <c r="K3312" s="141">
        <f t="shared" si="260"/>
        <v>0</v>
      </c>
    </row>
    <row r="3313" spans="7:11" hidden="1" x14ac:dyDescent="0.25">
      <c r="G3313">
        <f t="shared" si="256"/>
        <v>0</v>
      </c>
      <c r="H3313">
        <f t="shared" si="257"/>
        <v>0</v>
      </c>
      <c r="I3313" s="141">
        <f t="shared" si="258"/>
        <v>0</v>
      </c>
      <c r="J3313">
        <f t="shared" si="259"/>
        <v>0</v>
      </c>
      <c r="K3313" s="141">
        <f t="shared" si="260"/>
        <v>0</v>
      </c>
    </row>
    <row r="3314" spans="7:11" hidden="1" x14ac:dyDescent="0.25">
      <c r="G3314">
        <f t="shared" si="256"/>
        <v>0</v>
      </c>
      <c r="H3314">
        <f t="shared" si="257"/>
        <v>0</v>
      </c>
      <c r="I3314" s="141">
        <f t="shared" si="258"/>
        <v>0</v>
      </c>
      <c r="J3314">
        <f t="shared" si="259"/>
        <v>0</v>
      </c>
      <c r="K3314" s="141">
        <f t="shared" si="260"/>
        <v>0</v>
      </c>
    </row>
    <row r="3315" spans="7:11" hidden="1" x14ac:dyDescent="0.25">
      <c r="G3315">
        <f t="shared" si="256"/>
        <v>0</v>
      </c>
      <c r="H3315">
        <f t="shared" si="257"/>
        <v>0</v>
      </c>
      <c r="I3315" s="141">
        <f t="shared" si="258"/>
        <v>0</v>
      </c>
      <c r="J3315">
        <f t="shared" si="259"/>
        <v>0</v>
      </c>
      <c r="K3315" s="141">
        <f t="shared" si="260"/>
        <v>0</v>
      </c>
    </row>
    <row r="3316" spans="7:11" hidden="1" x14ac:dyDescent="0.25">
      <c r="G3316">
        <f t="shared" si="256"/>
        <v>0</v>
      </c>
      <c r="H3316">
        <f t="shared" si="257"/>
        <v>0</v>
      </c>
      <c r="I3316" s="141">
        <f t="shared" si="258"/>
        <v>0</v>
      </c>
      <c r="J3316">
        <f t="shared" si="259"/>
        <v>0</v>
      </c>
      <c r="K3316" s="141">
        <f t="shared" si="260"/>
        <v>0</v>
      </c>
    </row>
    <row r="3317" spans="7:11" hidden="1" x14ac:dyDescent="0.25">
      <c r="G3317">
        <f t="shared" si="256"/>
        <v>0</v>
      </c>
      <c r="H3317">
        <f t="shared" si="257"/>
        <v>0</v>
      </c>
      <c r="I3317" s="141">
        <f t="shared" si="258"/>
        <v>0</v>
      </c>
      <c r="J3317">
        <f t="shared" si="259"/>
        <v>0</v>
      </c>
      <c r="K3317" s="141">
        <f t="shared" si="260"/>
        <v>0</v>
      </c>
    </row>
    <row r="3318" spans="7:11" hidden="1" x14ac:dyDescent="0.25">
      <c r="G3318">
        <f t="shared" si="256"/>
        <v>0</v>
      </c>
      <c r="H3318">
        <f t="shared" si="257"/>
        <v>0</v>
      </c>
      <c r="I3318" s="141">
        <f t="shared" si="258"/>
        <v>0</v>
      </c>
      <c r="J3318">
        <f t="shared" si="259"/>
        <v>0</v>
      </c>
      <c r="K3318" s="141">
        <f t="shared" si="260"/>
        <v>0</v>
      </c>
    </row>
    <row r="3319" spans="7:11" hidden="1" x14ac:dyDescent="0.25">
      <c r="G3319">
        <f t="shared" si="256"/>
        <v>0</v>
      </c>
      <c r="H3319">
        <f t="shared" si="257"/>
        <v>0</v>
      </c>
      <c r="I3319" s="141">
        <f t="shared" si="258"/>
        <v>0</v>
      </c>
      <c r="J3319">
        <f t="shared" si="259"/>
        <v>0</v>
      </c>
      <c r="K3319" s="141">
        <f t="shared" si="260"/>
        <v>0</v>
      </c>
    </row>
    <row r="3320" spans="7:11" hidden="1" x14ac:dyDescent="0.25">
      <c r="G3320">
        <f t="shared" si="256"/>
        <v>0</v>
      </c>
      <c r="H3320">
        <f t="shared" si="257"/>
        <v>0</v>
      </c>
      <c r="I3320" s="141">
        <f t="shared" si="258"/>
        <v>0</v>
      </c>
      <c r="J3320">
        <f t="shared" si="259"/>
        <v>0</v>
      </c>
      <c r="K3320" s="141">
        <f t="shared" si="260"/>
        <v>0</v>
      </c>
    </row>
    <row r="3321" spans="7:11" hidden="1" x14ac:dyDescent="0.25">
      <c r="G3321">
        <f t="shared" si="256"/>
        <v>0</v>
      </c>
      <c r="H3321">
        <f t="shared" si="257"/>
        <v>0</v>
      </c>
      <c r="I3321" s="141">
        <f t="shared" si="258"/>
        <v>0</v>
      </c>
      <c r="J3321">
        <f t="shared" si="259"/>
        <v>0</v>
      </c>
      <c r="K3321" s="141">
        <f t="shared" si="260"/>
        <v>0</v>
      </c>
    </row>
    <row r="3322" spans="7:11" hidden="1" x14ac:dyDescent="0.25">
      <c r="G3322">
        <f t="shared" si="256"/>
        <v>0</v>
      </c>
      <c r="H3322">
        <f t="shared" si="257"/>
        <v>0</v>
      </c>
      <c r="I3322" s="141">
        <f t="shared" si="258"/>
        <v>0</v>
      </c>
      <c r="J3322">
        <f t="shared" si="259"/>
        <v>0</v>
      </c>
      <c r="K3322" s="141">
        <f t="shared" si="260"/>
        <v>0</v>
      </c>
    </row>
    <row r="3323" spans="7:11" hidden="1" x14ac:dyDescent="0.25">
      <c r="G3323">
        <f t="shared" si="256"/>
        <v>0</v>
      </c>
      <c r="H3323">
        <f t="shared" si="257"/>
        <v>0</v>
      </c>
      <c r="I3323" s="141">
        <f t="shared" si="258"/>
        <v>0</v>
      </c>
      <c r="J3323">
        <f t="shared" si="259"/>
        <v>0</v>
      </c>
      <c r="K3323" s="141">
        <f t="shared" si="260"/>
        <v>0</v>
      </c>
    </row>
    <row r="3324" spans="7:11" hidden="1" x14ac:dyDescent="0.25">
      <c r="G3324">
        <f t="shared" si="256"/>
        <v>0</v>
      </c>
      <c r="H3324">
        <f t="shared" si="257"/>
        <v>0</v>
      </c>
      <c r="I3324" s="141">
        <f t="shared" si="258"/>
        <v>0</v>
      </c>
      <c r="J3324">
        <f t="shared" si="259"/>
        <v>0</v>
      </c>
      <c r="K3324" s="141">
        <f t="shared" si="260"/>
        <v>0</v>
      </c>
    </row>
    <row r="3325" spans="7:11" hidden="1" x14ac:dyDescent="0.25">
      <c r="G3325">
        <f t="shared" si="256"/>
        <v>0</v>
      </c>
      <c r="H3325">
        <f t="shared" si="257"/>
        <v>0</v>
      </c>
      <c r="I3325" s="141">
        <f t="shared" si="258"/>
        <v>0</v>
      </c>
      <c r="J3325">
        <f t="shared" si="259"/>
        <v>0</v>
      </c>
      <c r="K3325" s="141">
        <f t="shared" si="260"/>
        <v>0</v>
      </c>
    </row>
    <row r="3326" spans="7:11" hidden="1" x14ac:dyDescent="0.25">
      <c r="G3326">
        <f t="shared" si="256"/>
        <v>0</v>
      </c>
      <c r="H3326">
        <f t="shared" si="257"/>
        <v>0</v>
      </c>
      <c r="I3326" s="141">
        <f t="shared" si="258"/>
        <v>0</v>
      </c>
      <c r="J3326">
        <f t="shared" si="259"/>
        <v>0</v>
      </c>
      <c r="K3326" s="141">
        <f t="shared" si="260"/>
        <v>0</v>
      </c>
    </row>
    <row r="3327" spans="7:11" hidden="1" x14ac:dyDescent="0.25">
      <c r="G3327">
        <f t="shared" si="256"/>
        <v>0</v>
      </c>
      <c r="H3327">
        <f t="shared" si="257"/>
        <v>0</v>
      </c>
      <c r="I3327" s="141">
        <f t="shared" si="258"/>
        <v>0</v>
      </c>
      <c r="J3327">
        <f t="shared" si="259"/>
        <v>0</v>
      </c>
      <c r="K3327" s="141">
        <f t="shared" si="260"/>
        <v>0</v>
      </c>
    </row>
    <row r="3328" spans="7:11" hidden="1" x14ac:dyDescent="0.25">
      <c r="G3328">
        <f t="shared" si="256"/>
        <v>0</v>
      </c>
      <c r="H3328">
        <f t="shared" si="257"/>
        <v>0</v>
      </c>
      <c r="I3328" s="141">
        <f t="shared" si="258"/>
        <v>0</v>
      </c>
      <c r="J3328">
        <f t="shared" si="259"/>
        <v>0</v>
      </c>
      <c r="K3328" s="141">
        <f t="shared" si="260"/>
        <v>0</v>
      </c>
    </row>
    <row r="3329" spans="7:11" hidden="1" x14ac:dyDescent="0.25">
      <c r="G3329">
        <f t="shared" si="256"/>
        <v>0</v>
      </c>
      <c r="H3329">
        <f t="shared" si="257"/>
        <v>0</v>
      </c>
      <c r="I3329" s="141">
        <f t="shared" si="258"/>
        <v>0</v>
      </c>
      <c r="J3329">
        <f t="shared" si="259"/>
        <v>0</v>
      </c>
      <c r="K3329" s="141">
        <f t="shared" si="260"/>
        <v>0</v>
      </c>
    </row>
    <row r="3330" spans="7:11" hidden="1" x14ac:dyDescent="0.25">
      <c r="G3330">
        <f t="shared" ref="G3330:G3393" si="261">A3330</f>
        <v>0</v>
      </c>
      <c r="H3330">
        <f t="shared" ref="H3330:H3393" si="262">B3330</f>
        <v>0</v>
      </c>
      <c r="I3330" s="141">
        <f t="shared" ref="I3330:I3393" si="263">C3330</f>
        <v>0</v>
      </c>
      <c r="J3330">
        <f t="shared" ref="J3330:J3393" si="264">D3330</f>
        <v>0</v>
      </c>
      <c r="K3330" s="141">
        <f t="shared" ref="K3330:K3393" si="265">E3330</f>
        <v>0</v>
      </c>
    </row>
    <row r="3331" spans="7:11" hidden="1" x14ac:dyDescent="0.25">
      <c r="G3331">
        <f t="shared" si="261"/>
        <v>0</v>
      </c>
      <c r="H3331">
        <f t="shared" si="262"/>
        <v>0</v>
      </c>
      <c r="I3331" s="141">
        <f t="shared" si="263"/>
        <v>0</v>
      </c>
      <c r="J3331">
        <f t="shared" si="264"/>
        <v>0</v>
      </c>
      <c r="K3331" s="141">
        <f t="shared" si="265"/>
        <v>0</v>
      </c>
    </row>
    <row r="3332" spans="7:11" hidden="1" x14ac:dyDescent="0.25">
      <c r="G3332">
        <f t="shared" si="261"/>
        <v>0</v>
      </c>
      <c r="H3332">
        <f t="shared" si="262"/>
        <v>0</v>
      </c>
      <c r="I3332" s="141">
        <f t="shared" si="263"/>
        <v>0</v>
      </c>
      <c r="J3332">
        <f t="shared" si="264"/>
        <v>0</v>
      </c>
      <c r="K3332" s="141">
        <f t="shared" si="265"/>
        <v>0</v>
      </c>
    </row>
    <row r="3333" spans="7:11" hidden="1" x14ac:dyDescent="0.25">
      <c r="G3333">
        <f t="shared" si="261"/>
        <v>0</v>
      </c>
      <c r="H3333">
        <f t="shared" si="262"/>
        <v>0</v>
      </c>
      <c r="I3333" s="141">
        <f t="shared" si="263"/>
        <v>0</v>
      </c>
      <c r="J3333">
        <f t="shared" si="264"/>
        <v>0</v>
      </c>
      <c r="K3333" s="141">
        <f t="shared" si="265"/>
        <v>0</v>
      </c>
    </row>
    <row r="3334" spans="7:11" hidden="1" x14ac:dyDescent="0.25">
      <c r="G3334">
        <f t="shared" si="261"/>
        <v>0</v>
      </c>
      <c r="H3334">
        <f t="shared" si="262"/>
        <v>0</v>
      </c>
      <c r="I3334" s="141">
        <f t="shared" si="263"/>
        <v>0</v>
      </c>
      <c r="J3334">
        <f t="shared" si="264"/>
        <v>0</v>
      </c>
      <c r="K3334" s="141">
        <f t="shared" si="265"/>
        <v>0</v>
      </c>
    </row>
    <row r="3335" spans="7:11" hidden="1" x14ac:dyDescent="0.25">
      <c r="G3335">
        <f t="shared" si="261"/>
        <v>0</v>
      </c>
      <c r="H3335">
        <f t="shared" si="262"/>
        <v>0</v>
      </c>
      <c r="I3335" s="141">
        <f t="shared" si="263"/>
        <v>0</v>
      </c>
      <c r="J3335">
        <f t="shared" si="264"/>
        <v>0</v>
      </c>
      <c r="K3335" s="141">
        <f t="shared" si="265"/>
        <v>0</v>
      </c>
    </row>
    <row r="3336" spans="7:11" hidden="1" x14ac:dyDescent="0.25">
      <c r="G3336">
        <f t="shared" si="261"/>
        <v>0</v>
      </c>
      <c r="H3336">
        <f t="shared" si="262"/>
        <v>0</v>
      </c>
      <c r="I3336" s="141">
        <f t="shared" si="263"/>
        <v>0</v>
      </c>
      <c r="J3336">
        <f t="shared" si="264"/>
        <v>0</v>
      </c>
      <c r="K3336" s="141">
        <f t="shared" si="265"/>
        <v>0</v>
      </c>
    </row>
    <row r="3337" spans="7:11" hidden="1" x14ac:dyDescent="0.25">
      <c r="G3337">
        <f t="shared" si="261"/>
        <v>0</v>
      </c>
      <c r="H3337">
        <f t="shared" si="262"/>
        <v>0</v>
      </c>
      <c r="I3337" s="141">
        <f t="shared" si="263"/>
        <v>0</v>
      </c>
      <c r="J3337">
        <f t="shared" si="264"/>
        <v>0</v>
      </c>
      <c r="K3337" s="141">
        <f t="shared" si="265"/>
        <v>0</v>
      </c>
    </row>
    <row r="3338" spans="7:11" hidden="1" x14ac:dyDescent="0.25">
      <c r="G3338">
        <f t="shared" si="261"/>
        <v>0</v>
      </c>
      <c r="H3338">
        <f t="shared" si="262"/>
        <v>0</v>
      </c>
      <c r="I3338" s="141">
        <f t="shared" si="263"/>
        <v>0</v>
      </c>
      <c r="J3338">
        <f t="shared" si="264"/>
        <v>0</v>
      </c>
      <c r="K3338" s="141">
        <f t="shared" si="265"/>
        <v>0</v>
      </c>
    </row>
    <row r="3339" spans="7:11" hidden="1" x14ac:dyDescent="0.25">
      <c r="G3339">
        <f t="shared" si="261"/>
        <v>0</v>
      </c>
      <c r="H3339">
        <f t="shared" si="262"/>
        <v>0</v>
      </c>
      <c r="I3339" s="141">
        <f t="shared" si="263"/>
        <v>0</v>
      </c>
      <c r="J3339">
        <f t="shared" si="264"/>
        <v>0</v>
      </c>
      <c r="K3339" s="141">
        <f t="shared" si="265"/>
        <v>0</v>
      </c>
    </row>
    <row r="3340" spans="7:11" hidden="1" x14ac:dyDescent="0.25">
      <c r="G3340">
        <f t="shared" si="261"/>
        <v>0</v>
      </c>
      <c r="H3340">
        <f t="shared" si="262"/>
        <v>0</v>
      </c>
      <c r="I3340" s="141">
        <f t="shared" si="263"/>
        <v>0</v>
      </c>
      <c r="J3340">
        <f t="shared" si="264"/>
        <v>0</v>
      </c>
      <c r="K3340" s="141">
        <f t="shared" si="265"/>
        <v>0</v>
      </c>
    </row>
    <row r="3341" spans="7:11" hidden="1" x14ac:dyDescent="0.25">
      <c r="G3341">
        <f t="shared" si="261"/>
        <v>0</v>
      </c>
      <c r="H3341">
        <f t="shared" si="262"/>
        <v>0</v>
      </c>
      <c r="I3341" s="141">
        <f t="shared" si="263"/>
        <v>0</v>
      </c>
      <c r="J3341">
        <f t="shared" si="264"/>
        <v>0</v>
      </c>
      <c r="K3341" s="141">
        <f t="shared" si="265"/>
        <v>0</v>
      </c>
    </row>
    <row r="3342" spans="7:11" hidden="1" x14ac:dyDescent="0.25">
      <c r="G3342">
        <f t="shared" si="261"/>
        <v>0</v>
      </c>
      <c r="H3342">
        <f t="shared" si="262"/>
        <v>0</v>
      </c>
      <c r="I3342" s="141">
        <f t="shared" si="263"/>
        <v>0</v>
      </c>
      <c r="J3342">
        <f t="shared" si="264"/>
        <v>0</v>
      </c>
      <c r="K3342" s="141">
        <f t="shared" si="265"/>
        <v>0</v>
      </c>
    </row>
    <row r="3343" spans="7:11" hidden="1" x14ac:dyDescent="0.25">
      <c r="G3343">
        <f t="shared" si="261"/>
        <v>0</v>
      </c>
      <c r="H3343">
        <f t="shared" si="262"/>
        <v>0</v>
      </c>
      <c r="I3343" s="141">
        <f t="shared" si="263"/>
        <v>0</v>
      </c>
      <c r="J3343">
        <f t="shared" si="264"/>
        <v>0</v>
      </c>
      <c r="K3343" s="141">
        <f t="shared" si="265"/>
        <v>0</v>
      </c>
    </row>
    <row r="3344" spans="7:11" hidden="1" x14ac:dyDescent="0.25">
      <c r="G3344">
        <f t="shared" si="261"/>
        <v>0</v>
      </c>
      <c r="H3344">
        <f t="shared" si="262"/>
        <v>0</v>
      </c>
      <c r="I3344" s="141">
        <f t="shared" si="263"/>
        <v>0</v>
      </c>
      <c r="J3344">
        <f t="shared" si="264"/>
        <v>0</v>
      </c>
      <c r="K3344" s="141">
        <f t="shared" si="265"/>
        <v>0</v>
      </c>
    </row>
    <row r="3345" spans="7:11" hidden="1" x14ac:dyDescent="0.25">
      <c r="G3345">
        <f t="shared" si="261"/>
        <v>0</v>
      </c>
      <c r="H3345">
        <f t="shared" si="262"/>
        <v>0</v>
      </c>
      <c r="I3345" s="141">
        <f t="shared" si="263"/>
        <v>0</v>
      </c>
      <c r="J3345">
        <f t="shared" si="264"/>
        <v>0</v>
      </c>
      <c r="K3345" s="141">
        <f t="shared" si="265"/>
        <v>0</v>
      </c>
    </row>
    <row r="3346" spans="7:11" hidden="1" x14ac:dyDescent="0.25">
      <c r="G3346">
        <f t="shared" si="261"/>
        <v>0</v>
      </c>
      <c r="H3346">
        <f t="shared" si="262"/>
        <v>0</v>
      </c>
      <c r="I3346" s="141">
        <f t="shared" si="263"/>
        <v>0</v>
      </c>
      <c r="J3346">
        <f t="shared" si="264"/>
        <v>0</v>
      </c>
      <c r="K3346" s="141">
        <f t="shared" si="265"/>
        <v>0</v>
      </c>
    </row>
    <row r="3347" spans="7:11" hidden="1" x14ac:dyDescent="0.25">
      <c r="G3347">
        <f t="shared" si="261"/>
        <v>0</v>
      </c>
      <c r="H3347">
        <f t="shared" si="262"/>
        <v>0</v>
      </c>
      <c r="I3347" s="141">
        <f t="shared" si="263"/>
        <v>0</v>
      </c>
      <c r="J3347">
        <f t="shared" si="264"/>
        <v>0</v>
      </c>
      <c r="K3347" s="141">
        <f t="shared" si="265"/>
        <v>0</v>
      </c>
    </row>
    <row r="3348" spans="7:11" hidden="1" x14ac:dyDescent="0.25">
      <c r="G3348">
        <f t="shared" si="261"/>
        <v>0</v>
      </c>
      <c r="H3348">
        <f t="shared" si="262"/>
        <v>0</v>
      </c>
      <c r="I3348" s="141">
        <f t="shared" si="263"/>
        <v>0</v>
      </c>
      <c r="J3348">
        <f t="shared" si="264"/>
        <v>0</v>
      </c>
      <c r="K3348" s="141">
        <f t="shared" si="265"/>
        <v>0</v>
      </c>
    </row>
    <row r="3349" spans="7:11" hidden="1" x14ac:dyDescent="0.25">
      <c r="G3349">
        <f t="shared" si="261"/>
        <v>0</v>
      </c>
      <c r="H3349">
        <f t="shared" si="262"/>
        <v>0</v>
      </c>
      <c r="I3349" s="141">
        <f t="shared" si="263"/>
        <v>0</v>
      </c>
      <c r="J3349">
        <f t="shared" si="264"/>
        <v>0</v>
      </c>
      <c r="K3349" s="141">
        <f t="shared" si="265"/>
        <v>0</v>
      </c>
    </row>
    <row r="3350" spans="7:11" hidden="1" x14ac:dyDescent="0.25">
      <c r="G3350">
        <f t="shared" si="261"/>
        <v>0</v>
      </c>
      <c r="H3350">
        <f t="shared" si="262"/>
        <v>0</v>
      </c>
      <c r="I3350" s="141">
        <f t="shared" si="263"/>
        <v>0</v>
      </c>
      <c r="J3350">
        <f t="shared" si="264"/>
        <v>0</v>
      </c>
      <c r="K3350" s="141">
        <f t="shared" si="265"/>
        <v>0</v>
      </c>
    </row>
    <row r="3351" spans="7:11" hidden="1" x14ac:dyDescent="0.25">
      <c r="G3351">
        <f t="shared" si="261"/>
        <v>0</v>
      </c>
      <c r="H3351">
        <f t="shared" si="262"/>
        <v>0</v>
      </c>
      <c r="I3351" s="141">
        <f t="shared" si="263"/>
        <v>0</v>
      </c>
      <c r="J3351">
        <f t="shared" si="264"/>
        <v>0</v>
      </c>
      <c r="K3351" s="141">
        <f t="shared" si="265"/>
        <v>0</v>
      </c>
    </row>
    <row r="3352" spans="7:11" hidden="1" x14ac:dyDescent="0.25">
      <c r="G3352">
        <f t="shared" si="261"/>
        <v>0</v>
      </c>
      <c r="H3352">
        <f t="shared" si="262"/>
        <v>0</v>
      </c>
      <c r="I3352" s="141">
        <f t="shared" si="263"/>
        <v>0</v>
      </c>
      <c r="J3352">
        <f t="shared" si="264"/>
        <v>0</v>
      </c>
      <c r="K3352" s="141">
        <f t="shared" si="265"/>
        <v>0</v>
      </c>
    </row>
    <row r="3353" spans="7:11" hidden="1" x14ac:dyDescent="0.25">
      <c r="G3353">
        <f t="shared" si="261"/>
        <v>0</v>
      </c>
      <c r="H3353">
        <f t="shared" si="262"/>
        <v>0</v>
      </c>
      <c r="I3353" s="141">
        <f t="shared" si="263"/>
        <v>0</v>
      </c>
      <c r="J3353">
        <f t="shared" si="264"/>
        <v>0</v>
      </c>
      <c r="K3353" s="141">
        <f t="shared" si="265"/>
        <v>0</v>
      </c>
    </row>
    <row r="3354" spans="7:11" hidden="1" x14ac:dyDescent="0.25">
      <c r="G3354">
        <f t="shared" si="261"/>
        <v>0</v>
      </c>
      <c r="H3354">
        <f t="shared" si="262"/>
        <v>0</v>
      </c>
      <c r="I3354" s="141">
        <f t="shared" si="263"/>
        <v>0</v>
      </c>
      <c r="J3354">
        <f t="shared" si="264"/>
        <v>0</v>
      </c>
      <c r="K3354" s="141">
        <f t="shared" si="265"/>
        <v>0</v>
      </c>
    </row>
    <row r="3355" spans="7:11" hidden="1" x14ac:dyDescent="0.25">
      <c r="G3355">
        <f t="shared" si="261"/>
        <v>0</v>
      </c>
      <c r="H3355">
        <f t="shared" si="262"/>
        <v>0</v>
      </c>
      <c r="I3355" s="141">
        <f t="shared" si="263"/>
        <v>0</v>
      </c>
      <c r="J3355">
        <f t="shared" si="264"/>
        <v>0</v>
      </c>
      <c r="K3355" s="141">
        <f t="shared" si="265"/>
        <v>0</v>
      </c>
    </row>
    <row r="3356" spans="7:11" hidden="1" x14ac:dyDescent="0.25">
      <c r="G3356">
        <f t="shared" si="261"/>
        <v>0</v>
      </c>
      <c r="H3356">
        <f t="shared" si="262"/>
        <v>0</v>
      </c>
      <c r="I3356" s="141">
        <f t="shared" si="263"/>
        <v>0</v>
      </c>
      <c r="J3356">
        <f t="shared" si="264"/>
        <v>0</v>
      </c>
      <c r="K3356" s="141">
        <f t="shared" si="265"/>
        <v>0</v>
      </c>
    </row>
    <row r="3357" spans="7:11" hidden="1" x14ac:dyDescent="0.25">
      <c r="G3357">
        <f t="shared" si="261"/>
        <v>0</v>
      </c>
      <c r="H3357">
        <f t="shared" si="262"/>
        <v>0</v>
      </c>
      <c r="I3357" s="141">
        <f t="shared" si="263"/>
        <v>0</v>
      </c>
      <c r="J3357">
        <f t="shared" si="264"/>
        <v>0</v>
      </c>
      <c r="K3357" s="141">
        <f t="shared" si="265"/>
        <v>0</v>
      </c>
    </row>
    <row r="3358" spans="7:11" hidden="1" x14ac:dyDescent="0.25">
      <c r="G3358">
        <f t="shared" si="261"/>
        <v>0</v>
      </c>
      <c r="H3358">
        <f t="shared" si="262"/>
        <v>0</v>
      </c>
      <c r="I3358" s="141">
        <f t="shared" si="263"/>
        <v>0</v>
      </c>
      <c r="J3358">
        <f t="shared" si="264"/>
        <v>0</v>
      </c>
      <c r="K3358" s="141">
        <f t="shared" si="265"/>
        <v>0</v>
      </c>
    </row>
    <row r="3359" spans="7:11" hidden="1" x14ac:dyDescent="0.25">
      <c r="G3359">
        <f t="shared" si="261"/>
        <v>0</v>
      </c>
      <c r="H3359">
        <f t="shared" si="262"/>
        <v>0</v>
      </c>
      <c r="I3359" s="141">
        <f t="shared" si="263"/>
        <v>0</v>
      </c>
      <c r="J3359">
        <f t="shared" si="264"/>
        <v>0</v>
      </c>
      <c r="K3359" s="141">
        <f t="shared" si="265"/>
        <v>0</v>
      </c>
    </row>
    <row r="3360" spans="7:11" hidden="1" x14ac:dyDescent="0.25">
      <c r="G3360">
        <f t="shared" si="261"/>
        <v>0</v>
      </c>
      <c r="H3360">
        <f t="shared" si="262"/>
        <v>0</v>
      </c>
      <c r="I3360" s="141">
        <f t="shared" si="263"/>
        <v>0</v>
      </c>
      <c r="J3360">
        <f t="shared" si="264"/>
        <v>0</v>
      </c>
      <c r="K3360" s="141">
        <f t="shared" si="265"/>
        <v>0</v>
      </c>
    </row>
    <row r="3361" spans="7:11" hidden="1" x14ac:dyDescent="0.25">
      <c r="G3361">
        <f t="shared" si="261"/>
        <v>0</v>
      </c>
      <c r="H3361">
        <f t="shared" si="262"/>
        <v>0</v>
      </c>
      <c r="I3361" s="141">
        <f t="shared" si="263"/>
        <v>0</v>
      </c>
      <c r="J3361">
        <f t="shared" si="264"/>
        <v>0</v>
      </c>
      <c r="K3361" s="141">
        <f t="shared" si="265"/>
        <v>0</v>
      </c>
    </row>
    <row r="3362" spans="7:11" hidden="1" x14ac:dyDescent="0.25">
      <c r="G3362">
        <f t="shared" si="261"/>
        <v>0</v>
      </c>
      <c r="H3362">
        <f t="shared" si="262"/>
        <v>0</v>
      </c>
      <c r="I3362" s="141">
        <f t="shared" si="263"/>
        <v>0</v>
      </c>
      <c r="J3362">
        <f t="shared" si="264"/>
        <v>0</v>
      </c>
      <c r="K3362" s="141">
        <f t="shared" si="265"/>
        <v>0</v>
      </c>
    </row>
    <row r="3363" spans="7:11" hidden="1" x14ac:dyDescent="0.25">
      <c r="G3363">
        <f t="shared" si="261"/>
        <v>0</v>
      </c>
      <c r="H3363">
        <f t="shared" si="262"/>
        <v>0</v>
      </c>
      <c r="I3363" s="141">
        <f t="shared" si="263"/>
        <v>0</v>
      </c>
      <c r="J3363">
        <f t="shared" si="264"/>
        <v>0</v>
      </c>
      <c r="K3363" s="141">
        <f t="shared" si="265"/>
        <v>0</v>
      </c>
    </row>
    <row r="3364" spans="7:11" hidden="1" x14ac:dyDescent="0.25">
      <c r="G3364">
        <f t="shared" si="261"/>
        <v>0</v>
      </c>
      <c r="H3364">
        <f t="shared" si="262"/>
        <v>0</v>
      </c>
      <c r="I3364" s="141">
        <f t="shared" si="263"/>
        <v>0</v>
      </c>
      <c r="J3364">
        <f t="shared" si="264"/>
        <v>0</v>
      </c>
      <c r="K3364" s="141">
        <f t="shared" si="265"/>
        <v>0</v>
      </c>
    </row>
    <row r="3365" spans="7:11" hidden="1" x14ac:dyDescent="0.25">
      <c r="G3365">
        <f t="shared" si="261"/>
        <v>0</v>
      </c>
      <c r="H3365">
        <f t="shared" si="262"/>
        <v>0</v>
      </c>
      <c r="I3365" s="141">
        <f t="shared" si="263"/>
        <v>0</v>
      </c>
      <c r="J3365">
        <f t="shared" si="264"/>
        <v>0</v>
      </c>
      <c r="K3365" s="141">
        <f t="shared" si="265"/>
        <v>0</v>
      </c>
    </row>
    <row r="3366" spans="7:11" hidden="1" x14ac:dyDescent="0.25">
      <c r="G3366">
        <f t="shared" si="261"/>
        <v>0</v>
      </c>
      <c r="H3366">
        <f t="shared" si="262"/>
        <v>0</v>
      </c>
      <c r="I3366" s="141">
        <f t="shared" si="263"/>
        <v>0</v>
      </c>
      <c r="J3366">
        <f t="shared" si="264"/>
        <v>0</v>
      </c>
      <c r="K3366" s="141">
        <f t="shared" si="265"/>
        <v>0</v>
      </c>
    </row>
    <row r="3367" spans="7:11" hidden="1" x14ac:dyDescent="0.25">
      <c r="G3367">
        <f t="shared" si="261"/>
        <v>0</v>
      </c>
      <c r="H3367">
        <f t="shared" si="262"/>
        <v>0</v>
      </c>
      <c r="I3367" s="141">
        <f t="shared" si="263"/>
        <v>0</v>
      </c>
      <c r="J3367">
        <f t="shared" si="264"/>
        <v>0</v>
      </c>
      <c r="K3367" s="141">
        <f t="shared" si="265"/>
        <v>0</v>
      </c>
    </row>
    <row r="3368" spans="7:11" hidden="1" x14ac:dyDescent="0.25">
      <c r="G3368">
        <f t="shared" si="261"/>
        <v>0</v>
      </c>
      <c r="H3368">
        <f t="shared" si="262"/>
        <v>0</v>
      </c>
      <c r="I3368" s="141">
        <f t="shared" si="263"/>
        <v>0</v>
      </c>
      <c r="J3368">
        <f t="shared" si="264"/>
        <v>0</v>
      </c>
      <c r="K3368" s="141">
        <f t="shared" si="265"/>
        <v>0</v>
      </c>
    </row>
    <row r="3369" spans="7:11" hidden="1" x14ac:dyDescent="0.25">
      <c r="G3369">
        <f t="shared" si="261"/>
        <v>0</v>
      </c>
      <c r="H3369">
        <f t="shared" si="262"/>
        <v>0</v>
      </c>
      <c r="I3369" s="141">
        <f t="shared" si="263"/>
        <v>0</v>
      </c>
      <c r="J3369">
        <f t="shared" si="264"/>
        <v>0</v>
      </c>
      <c r="K3369" s="141">
        <f t="shared" si="265"/>
        <v>0</v>
      </c>
    </row>
    <row r="3370" spans="7:11" hidden="1" x14ac:dyDescent="0.25">
      <c r="G3370">
        <f t="shared" si="261"/>
        <v>0</v>
      </c>
      <c r="H3370">
        <f t="shared" si="262"/>
        <v>0</v>
      </c>
      <c r="I3370" s="141">
        <f t="shared" si="263"/>
        <v>0</v>
      </c>
      <c r="J3370">
        <f t="shared" si="264"/>
        <v>0</v>
      </c>
      <c r="K3370" s="141">
        <f t="shared" si="265"/>
        <v>0</v>
      </c>
    </row>
    <row r="3371" spans="7:11" hidden="1" x14ac:dyDescent="0.25">
      <c r="G3371">
        <f t="shared" si="261"/>
        <v>0</v>
      </c>
      <c r="H3371">
        <f t="shared" si="262"/>
        <v>0</v>
      </c>
      <c r="I3371" s="141">
        <f t="shared" si="263"/>
        <v>0</v>
      </c>
      <c r="J3371">
        <f t="shared" si="264"/>
        <v>0</v>
      </c>
      <c r="K3371" s="141">
        <f t="shared" si="265"/>
        <v>0</v>
      </c>
    </row>
    <row r="3372" spans="7:11" hidden="1" x14ac:dyDescent="0.25">
      <c r="G3372">
        <f t="shared" si="261"/>
        <v>0</v>
      </c>
      <c r="H3372">
        <f t="shared" si="262"/>
        <v>0</v>
      </c>
      <c r="I3372" s="141">
        <f t="shared" si="263"/>
        <v>0</v>
      </c>
      <c r="J3372">
        <f t="shared" si="264"/>
        <v>0</v>
      </c>
      <c r="K3372" s="141">
        <f t="shared" si="265"/>
        <v>0</v>
      </c>
    </row>
    <row r="3373" spans="7:11" hidden="1" x14ac:dyDescent="0.25">
      <c r="G3373">
        <f t="shared" si="261"/>
        <v>0</v>
      </c>
      <c r="H3373">
        <f t="shared" si="262"/>
        <v>0</v>
      </c>
      <c r="I3373" s="141">
        <f t="shared" si="263"/>
        <v>0</v>
      </c>
      <c r="J3373">
        <f t="shared" si="264"/>
        <v>0</v>
      </c>
      <c r="K3373" s="141">
        <f t="shared" si="265"/>
        <v>0</v>
      </c>
    </row>
    <row r="3374" spans="7:11" hidden="1" x14ac:dyDescent="0.25">
      <c r="G3374">
        <f t="shared" si="261"/>
        <v>0</v>
      </c>
      <c r="H3374">
        <f t="shared" si="262"/>
        <v>0</v>
      </c>
      <c r="I3374" s="141">
        <f t="shared" si="263"/>
        <v>0</v>
      </c>
      <c r="J3374">
        <f t="shared" si="264"/>
        <v>0</v>
      </c>
      <c r="K3374" s="141">
        <f t="shared" si="265"/>
        <v>0</v>
      </c>
    </row>
    <row r="3375" spans="7:11" hidden="1" x14ac:dyDescent="0.25">
      <c r="G3375">
        <f t="shared" si="261"/>
        <v>0</v>
      </c>
      <c r="H3375">
        <f t="shared" si="262"/>
        <v>0</v>
      </c>
      <c r="I3375" s="141">
        <f t="shared" si="263"/>
        <v>0</v>
      </c>
      <c r="J3375">
        <f t="shared" si="264"/>
        <v>0</v>
      </c>
      <c r="K3375" s="141">
        <f t="shared" si="265"/>
        <v>0</v>
      </c>
    </row>
    <row r="3376" spans="7:11" hidden="1" x14ac:dyDescent="0.25">
      <c r="G3376">
        <f t="shared" si="261"/>
        <v>0</v>
      </c>
      <c r="H3376">
        <f t="shared" si="262"/>
        <v>0</v>
      </c>
      <c r="I3376" s="141">
        <f t="shared" si="263"/>
        <v>0</v>
      </c>
      <c r="J3376">
        <f t="shared" si="264"/>
        <v>0</v>
      </c>
      <c r="K3376" s="141">
        <f t="shared" si="265"/>
        <v>0</v>
      </c>
    </row>
    <row r="3377" spans="7:11" hidden="1" x14ac:dyDescent="0.25">
      <c r="G3377">
        <f t="shared" si="261"/>
        <v>0</v>
      </c>
      <c r="H3377">
        <f t="shared" si="262"/>
        <v>0</v>
      </c>
      <c r="I3377" s="141">
        <f t="shared" si="263"/>
        <v>0</v>
      </c>
      <c r="J3377">
        <f t="shared" si="264"/>
        <v>0</v>
      </c>
      <c r="K3377" s="141">
        <f t="shared" si="265"/>
        <v>0</v>
      </c>
    </row>
    <row r="3378" spans="7:11" hidden="1" x14ac:dyDescent="0.25">
      <c r="G3378">
        <f t="shared" si="261"/>
        <v>0</v>
      </c>
      <c r="H3378">
        <f t="shared" si="262"/>
        <v>0</v>
      </c>
      <c r="I3378" s="141">
        <f t="shared" si="263"/>
        <v>0</v>
      </c>
      <c r="J3378">
        <f t="shared" si="264"/>
        <v>0</v>
      </c>
      <c r="K3378" s="141">
        <f t="shared" si="265"/>
        <v>0</v>
      </c>
    </row>
    <row r="3379" spans="7:11" hidden="1" x14ac:dyDescent="0.25">
      <c r="G3379">
        <f t="shared" si="261"/>
        <v>0</v>
      </c>
      <c r="H3379">
        <f t="shared" si="262"/>
        <v>0</v>
      </c>
      <c r="I3379" s="141">
        <f t="shared" si="263"/>
        <v>0</v>
      </c>
      <c r="J3379">
        <f t="shared" si="264"/>
        <v>0</v>
      </c>
      <c r="K3379" s="141">
        <f t="shared" si="265"/>
        <v>0</v>
      </c>
    </row>
    <row r="3380" spans="7:11" hidden="1" x14ac:dyDescent="0.25">
      <c r="G3380">
        <f t="shared" si="261"/>
        <v>0</v>
      </c>
      <c r="H3380">
        <f t="shared" si="262"/>
        <v>0</v>
      </c>
      <c r="I3380" s="141">
        <f t="shared" si="263"/>
        <v>0</v>
      </c>
      <c r="J3380">
        <f t="shared" si="264"/>
        <v>0</v>
      </c>
      <c r="K3380" s="141">
        <f t="shared" si="265"/>
        <v>0</v>
      </c>
    </row>
    <row r="3381" spans="7:11" hidden="1" x14ac:dyDescent="0.25">
      <c r="G3381">
        <f t="shared" si="261"/>
        <v>0</v>
      </c>
      <c r="H3381">
        <f t="shared" si="262"/>
        <v>0</v>
      </c>
      <c r="I3381" s="141">
        <f t="shared" si="263"/>
        <v>0</v>
      </c>
      <c r="J3381">
        <f t="shared" si="264"/>
        <v>0</v>
      </c>
      <c r="K3381" s="141">
        <f t="shared" si="265"/>
        <v>0</v>
      </c>
    </row>
    <row r="3382" spans="7:11" hidden="1" x14ac:dyDescent="0.25">
      <c r="G3382">
        <f t="shared" si="261"/>
        <v>0</v>
      </c>
      <c r="H3382">
        <f t="shared" si="262"/>
        <v>0</v>
      </c>
      <c r="I3382" s="141">
        <f t="shared" si="263"/>
        <v>0</v>
      </c>
      <c r="J3382">
        <f t="shared" si="264"/>
        <v>0</v>
      </c>
      <c r="K3382" s="141">
        <f t="shared" si="265"/>
        <v>0</v>
      </c>
    </row>
    <row r="3383" spans="7:11" hidden="1" x14ac:dyDescent="0.25">
      <c r="G3383">
        <f t="shared" si="261"/>
        <v>0</v>
      </c>
      <c r="H3383">
        <f t="shared" si="262"/>
        <v>0</v>
      </c>
      <c r="I3383" s="141">
        <f t="shared" si="263"/>
        <v>0</v>
      </c>
      <c r="J3383">
        <f t="shared" si="264"/>
        <v>0</v>
      </c>
      <c r="K3383" s="141">
        <f t="shared" si="265"/>
        <v>0</v>
      </c>
    </row>
    <row r="3384" spans="7:11" hidden="1" x14ac:dyDescent="0.25">
      <c r="G3384">
        <f t="shared" si="261"/>
        <v>0</v>
      </c>
      <c r="H3384">
        <f t="shared" si="262"/>
        <v>0</v>
      </c>
      <c r="I3384" s="141">
        <f t="shared" si="263"/>
        <v>0</v>
      </c>
      <c r="J3384">
        <f t="shared" si="264"/>
        <v>0</v>
      </c>
      <c r="K3384" s="141">
        <f t="shared" si="265"/>
        <v>0</v>
      </c>
    </row>
    <row r="3385" spans="7:11" hidden="1" x14ac:dyDescent="0.25">
      <c r="G3385">
        <f t="shared" si="261"/>
        <v>0</v>
      </c>
      <c r="H3385">
        <f t="shared" si="262"/>
        <v>0</v>
      </c>
      <c r="I3385" s="141">
        <f t="shared" si="263"/>
        <v>0</v>
      </c>
      <c r="J3385">
        <f t="shared" si="264"/>
        <v>0</v>
      </c>
      <c r="K3385" s="141">
        <f t="shared" si="265"/>
        <v>0</v>
      </c>
    </row>
    <row r="3386" spans="7:11" hidden="1" x14ac:dyDescent="0.25">
      <c r="G3386">
        <f t="shared" si="261"/>
        <v>0</v>
      </c>
      <c r="H3386">
        <f t="shared" si="262"/>
        <v>0</v>
      </c>
      <c r="I3386" s="141">
        <f t="shared" si="263"/>
        <v>0</v>
      </c>
      <c r="J3386">
        <f t="shared" si="264"/>
        <v>0</v>
      </c>
      <c r="K3386" s="141">
        <f t="shared" si="265"/>
        <v>0</v>
      </c>
    </row>
    <row r="3387" spans="7:11" hidden="1" x14ac:dyDescent="0.25">
      <c r="G3387">
        <f t="shared" si="261"/>
        <v>0</v>
      </c>
      <c r="H3387">
        <f t="shared" si="262"/>
        <v>0</v>
      </c>
      <c r="I3387" s="141">
        <f t="shared" si="263"/>
        <v>0</v>
      </c>
      <c r="J3387">
        <f t="shared" si="264"/>
        <v>0</v>
      </c>
      <c r="K3387" s="141">
        <f t="shared" si="265"/>
        <v>0</v>
      </c>
    </row>
    <row r="3388" spans="7:11" hidden="1" x14ac:dyDescent="0.25">
      <c r="G3388">
        <f t="shared" si="261"/>
        <v>0</v>
      </c>
      <c r="H3388">
        <f t="shared" si="262"/>
        <v>0</v>
      </c>
      <c r="I3388" s="141">
        <f t="shared" si="263"/>
        <v>0</v>
      </c>
      <c r="J3388">
        <f t="shared" si="264"/>
        <v>0</v>
      </c>
      <c r="K3388" s="141">
        <f t="shared" si="265"/>
        <v>0</v>
      </c>
    </row>
    <row r="3389" spans="7:11" hidden="1" x14ac:dyDescent="0.25">
      <c r="G3389">
        <f t="shared" si="261"/>
        <v>0</v>
      </c>
      <c r="H3389">
        <f t="shared" si="262"/>
        <v>0</v>
      </c>
      <c r="I3389" s="141">
        <f t="shared" si="263"/>
        <v>0</v>
      </c>
      <c r="J3389">
        <f t="shared" si="264"/>
        <v>0</v>
      </c>
      <c r="K3389" s="141">
        <f t="shared" si="265"/>
        <v>0</v>
      </c>
    </row>
    <row r="3390" spans="7:11" hidden="1" x14ac:dyDescent="0.25">
      <c r="G3390">
        <f t="shared" si="261"/>
        <v>0</v>
      </c>
      <c r="H3390">
        <f t="shared" si="262"/>
        <v>0</v>
      </c>
      <c r="I3390" s="141">
        <f t="shared" si="263"/>
        <v>0</v>
      </c>
      <c r="J3390">
        <f t="shared" si="264"/>
        <v>0</v>
      </c>
      <c r="K3390" s="141">
        <f t="shared" si="265"/>
        <v>0</v>
      </c>
    </row>
    <row r="3391" spans="7:11" hidden="1" x14ac:dyDescent="0.25">
      <c r="G3391">
        <f t="shared" si="261"/>
        <v>0</v>
      </c>
      <c r="H3391">
        <f t="shared" si="262"/>
        <v>0</v>
      </c>
      <c r="I3391" s="141">
        <f t="shared" si="263"/>
        <v>0</v>
      </c>
      <c r="J3391">
        <f t="shared" si="264"/>
        <v>0</v>
      </c>
      <c r="K3391" s="141">
        <f t="shared" si="265"/>
        <v>0</v>
      </c>
    </row>
    <row r="3392" spans="7:11" hidden="1" x14ac:dyDescent="0.25">
      <c r="G3392">
        <f t="shared" si="261"/>
        <v>0</v>
      </c>
      <c r="H3392">
        <f t="shared" si="262"/>
        <v>0</v>
      </c>
      <c r="I3392" s="141">
        <f t="shared" si="263"/>
        <v>0</v>
      </c>
      <c r="J3392">
        <f t="shared" si="264"/>
        <v>0</v>
      </c>
      <c r="K3392" s="141">
        <f t="shared" si="265"/>
        <v>0</v>
      </c>
    </row>
    <row r="3393" spans="7:11" hidden="1" x14ac:dyDescent="0.25">
      <c r="G3393">
        <f t="shared" si="261"/>
        <v>0</v>
      </c>
      <c r="H3393">
        <f t="shared" si="262"/>
        <v>0</v>
      </c>
      <c r="I3393" s="141">
        <f t="shared" si="263"/>
        <v>0</v>
      </c>
      <c r="J3393">
        <f t="shared" si="264"/>
        <v>0</v>
      </c>
      <c r="K3393" s="141">
        <f t="shared" si="265"/>
        <v>0</v>
      </c>
    </row>
    <row r="3394" spans="7:11" hidden="1" x14ac:dyDescent="0.25">
      <c r="G3394">
        <f t="shared" ref="G3394:G3457" si="266">A3394</f>
        <v>0</v>
      </c>
      <c r="H3394">
        <f t="shared" ref="H3394:H3457" si="267">B3394</f>
        <v>0</v>
      </c>
      <c r="I3394" s="141">
        <f t="shared" ref="I3394:I3457" si="268">C3394</f>
        <v>0</v>
      </c>
      <c r="J3394">
        <f t="shared" ref="J3394:J3457" si="269">D3394</f>
        <v>0</v>
      </c>
      <c r="K3394" s="141">
        <f t="shared" ref="K3394:K3457" si="270">E3394</f>
        <v>0</v>
      </c>
    </row>
    <row r="3395" spans="7:11" hidden="1" x14ac:dyDescent="0.25">
      <c r="G3395">
        <f t="shared" si="266"/>
        <v>0</v>
      </c>
      <c r="H3395">
        <f t="shared" si="267"/>
        <v>0</v>
      </c>
      <c r="I3395" s="141">
        <f t="shared" si="268"/>
        <v>0</v>
      </c>
      <c r="J3395">
        <f t="shared" si="269"/>
        <v>0</v>
      </c>
      <c r="K3395" s="141">
        <f t="shared" si="270"/>
        <v>0</v>
      </c>
    </row>
    <row r="3396" spans="7:11" hidden="1" x14ac:dyDescent="0.25">
      <c r="G3396">
        <f t="shared" si="266"/>
        <v>0</v>
      </c>
      <c r="H3396">
        <f t="shared" si="267"/>
        <v>0</v>
      </c>
      <c r="I3396" s="141">
        <f t="shared" si="268"/>
        <v>0</v>
      </c>
      <c r="J3396">
        <f t="shared" si="269"/>
        <v>0</v>
      </c>
      <c r="K3396" s="141">
        <f t="shared" si="270"/>
        <v>0</v>
      </c>
    </row>
    <row r="3397" spans="7:11" hidden="1" x14ac:dyDescent="0.25">
      <c r="G3397">
        <f t="shared" si="266"/>
        <v>0</v>
      </c>
      <c r="H3397">
        <f t="shared" si="267"/>
        <v>0</v>
      </c>
      <c r="I3397" s="141">
        <f t="shared" si="268"/>
        <v>0</v>
      </c>
      <c r="J3397">
        <f t="shared" si="269"/>
        <v>0</v>
      </c>
      <c r="K3397" s="141">
        <f t="shared" si="270"/>
        <v>0</v>
      </c>
    </row>
    <row r="3398" spans="7:11" hidden="1" x14ac:dyDescent="0.25">
      <c r="G3398">
        <f t="shared" si="266"/>
        <v>0</v>
      </c>
      <c r="H3398">
        <f t="shared" si="267"/>
        <v>0</v>
      </c>
      <c r="I3398" s="141">
        <f t="shared" si="268"/>
        <v>0</v>
      </c>
      <c r="J3398">
        <f t="shared" si="269"/>
        <v>0</v>
      </c>
      <c r="K3398" s="141">
        <f t="shared" si="270"/>
        <v>0</v>
      </c>
    </row>
    <row r="3399" spans="7:11" hidden="1" x14ac:dyDescent="0.25">
      <c r="G3399">
        <f t="shared" si="266"/>
        <v>0</v>
      </c>
      <c r="H3399">
        <f t="shared" si="267"/>
        <v>0</v>
      </c>
      <c r="I3399" s="141">
        <f t="shared" si="268"/>
        <v>0</v>
      </c>
      <c r="J3399">
        <f t="shared" si="269"/>
        <v>0</v>
      </c>
      <c r="K3399" s="141">
        <f t="shared" si="270"/>
        <v>0</v>
      </c>
    </row>
    <row r="3400" spans="7:11" hidden="1" x14ac:dyDescent="0.25">
      <c r="G3400">
        <f t="shared" si="266"/>
        <v>0</v>
      </c>
      <c r="H3400">
        <f t="shared" si="267"/>
        <v>0</v>
      </c>
      <c r="I3400" s="141">
        <f t="shared" si="268"/>
        <v>0</v>
      </c>
      <c r="J3400">
        <f t="shared" si="269"/>
        <v>0</v>
      </c>
      <c r="K3400" s="141">
        <f t="shared" si="270"/>
        <v>0</v>
      </c>
    </row>
    <row r="3401" spans="7:11" hidden="1" x14ac:dyDescent="0.25">
      <c r="G3401">
        <f t="shared" si="266"/>
        <v>0</v>
      </c>
      <c r="H3401">
        <f t="shared" si="267"/>
        <v>0</v>
      </c>
      <c r="I3401" s="141">
        <f t="shared" si="268"/>
        <v>0</v>
      </c>
      <c r="J3401">
        <f t="shared" si="269"/>
        <v>0</v>
      </c>
      <c r="K3401" s="141">
        <f t="shared" si="270"/>
        <v>0</v>
      </c>
    </row>
    <row r="3402" spans="7:11" hidden="1" x14ac:dyDescent="0.25">
      <c r="G3402">
        <f t="shared" si="266"/>
        <v>0</v>
      </c>
      <c r="H3402">
        <f t="shared" si="267"/>
        <v>0</v>
      </c>
      <c r="I3402" s="141">
        <f t="shared" si="268"/>
        <v>0</v>
      </c>
      <c r="J3402">
        <f t="shared" si="269"/>
        <v>0</v>
      </c>
      <c r="K3402" s="141">
        <f t="shared" si="270"/>
        <v>0</v>
      </c>
    </row>
    <row r="3403" spans="7:11" hidden="1" x14ac:dyDescent="0.25">
      <c r="G3403">
        <f t="shared" si="266"/>
        <v>0</v>
      </c>
      <c r="H3403">
        <f t="shared" si="267"/>
        <v>0</v>
      </c>
      <c r="I3403" s="141">
        <f t="shared" si="268"/>
        <v>0</v>
      </c>
      <c r="J3403">
        <f t="shared" si="269"/>
        <v>0</v>
      </c>
      <c r="K3403" s="141">
        <f t="shared" si="270"/>
        <v>0</v>
      </c>
    </row>
    <row r="3404" spans="7:11" hidden="1" x14ac:dyDescent="0.25">
      <c r="G3404">
        <f t="shared" si="266"/>
        <v>0</v>
      </c>
      <c r="H3404">
        <f t="shared" si="267"/>
        <v>0</v>
      </c>
      <c r="I3404" s="141">
        <f t="shared" si="268"/>
        <v>0</v>
      </c>
      <c r="J3404">
        <f t="shared" si="269"/>
        <v>0</v>
      </c>
      <c r="K3404" s="141">
        <f t="shared" si="270"/>
        <v>0</v>
      </c>
    </row>
    <row r="3405" spans="7:11" hidden="1" x14ac:dyDescent="0.25">
      <c r="G3405">
        <f t="shared" si="266"/>
        <v>0</v>
      </c>
      <c r="H3405">
        <f t="shared" si="267"/>
        <v>0</v>
      </c>
      <c r="I3405" s="141">
        <f t="shared" si="268"/>
        <v>0</v>
      </c>
      <c r="J3405">
        <f t="shared" si="269"/>
        <v>0</v>
      </c>
      <c r="K3405" s="141">
        <f t="shared" si="270"/>
        <v>0</v>
      </c>
    </row>
    <row r="3406" spans="7:11" hidden="1" x14ac:dyDescent="0.25">
      <c r="G3406">
        <f t="shared" si="266"/>
        <v>0</v>
      </c>
      <c r="H3406">
        <f t="shared" si="267"/>
        <v>0</v>
      </c>
      <c r="I3406" s="141">
        <f t="shared" si="268"/>
        <v>0</v>
      </c>
      <c r="J3406">
        <f t="shared" si="269"/>
        <v>0</v>
      </c>
      <c r="K3406" s="141">
        <f t="shared" si="270"/>
        <v>0</v>
      </c>
    </row>
    <row r="3407" spans="7:11" hidden="1" x14ac:dyDescent="0.25">
      <c r="G3407">
        <f t="shared" si="266"/>
        <v>0</v>
      </c>
      <c r="H3407">
        <f t="shared" si="267"/>
        <v>0</v>
      </c>
      <c r="I3407" s="141">
        <f t="shared" si="268"/>
        <v>0</v>
      </c>
      <c r="J3407">
        <f t="shared" si="269"/>
        <v>0</v>
      </c>
      <c r="K3407" s="141">
        <f t="shared" si="270"/>
        <v>0</v>
      </c>
    </row>
    <row r="3408" spans="7:11" hidden="1" x14ac:dyDescent="0.25">
      <c r="G3408">
        <f t="shared" si="266"/>
        <v>0</v>
      </c>
      <c r="H3408">
        <f t="shared" si="267"/>
        <v>0</v>
      </c>
      <c r="I3408" s="141">
        <f t="shared" si="268"/>
        <v>0</v>
      </c>
      <c r="J3408">
        <f t="shared" si="269"/>
        <v>0</v>
      </c>
      <c r="K3408" s="141">
        <f t="shared" si="270"/>
        <v>0</v>
      </c>
    </row>
    <row r="3409" spans="7:11" hidden="1" x14ac:dyDescent="0.25">
      <c r="G3409">
        <f t="shared" si="266"/>
        <v>0</v>
      </c>
      <c r="H3409">
        <f t="shared" si="267"/>
        <v>0</v>
      </c>
      <c r="I3409" s="141">
        <f t="shared" si="268"/>
        <v>0</v>
      </c>
      <c r="J3409">
        <f t="shared" si="269"/>
        <v>0</v>
      </c>
      <c r="K3409" s="141">
        <f t="shared" si="270"/>
        <v>0</v>
      </c>
    </row>
    <row r="3410" spans="7:11" hidden="1" x14ac:dyDescent="0.25">
      <c r="G3410">
        <f t="shared" si="266"/>
        <v>0</v>
      </c>
      <c r="H3410">
        <f t="shared" si="267"/>
        <v>0</v>
      </c>
      <c r="I3410" s="141">
        <f t="shared" si="268"/>
        <v>0</v>
      </c>
      <c r="J3410">
        <f t="shared" si="269"/>
        <v>0</v>
      </c>
      <c r="K3410" s="141">
        <f t="shared" si="270"/>
        <v>0</v>
      </c>
    </row>
    <row r="3411" spans="7:11" hidden="1" x14ac:dyDescent="0.25">
      <c r="G3411">
        <f t="shared" si="266"/>
        <v>0</v>
      </c>
      <c r="H3411">
        <f t="shared" si="267"/>
        <v>0</v>
      </c>
      <c r="I3411" s="141">
        <f t="shared" si="268"/>
        <v>0</v>
      </c>
      <c r="J3411">
        <f t="shared" si="269"/>
        <v>0</v>
      </c>
      <c r="K3411" s="141">
        <f t="shared" si="270"/>
        <v>0</v>
      </c>
    </row>
    <row r="3412" spans="7:11" hidden="1" x14ac:dyDescent="0.25">
      <c r="G3412">
        <f t="shared" si="266"/>
        <v>0</v>
      </c>
      <c r="H3412">
        <f t="shared" si="267"/>
        <v>0</v>
      </c>
      <c r="I3412" s="141">
        <f t="shared" si="268"/>
        <v>0</v>
      </c>
      <c r="J3412">
        <f t="shared" si="269"/>
        <v>0</v>
      </c>
      <c r="K3412" s="141">
        <f t="shared" si="270"/>
        <v>0</v>
      </c>
    </row>
    <row r="3413" spans="7:11" hidden="1" x14ac:dyDescent="0.25">
      <c r="G3413">
        <f t="shared" si="266"/>
        <v>0</v>
      </c>
      <c r="H3413">
        <f t="shared" si="267"/>
        <v>0</v>
      </c>
      <c r="I3413" s="141">
        <f t="shared" si="268"/>
        <v>0</v>
      </c>
      <c r="J3413">
        <f t="shared" si="269"/>
        <v>0</v>
      </c>
      <c r="K3413" s="141">
        <f t="shared" si="270"/>
        <v>0</v>
      </c>
    </row>
    <row r="3414" spans="7:11" hidden="1" x14ac:dyDescent="0.25">
      <c r="G3414">
        <f t="shared" si="266"/>
        <v>0</v>
      </c>
      <c r="H3414">
        <f t="shared" si="267"/>
        <v>0</v>
      </c>
      <c r="I3414" s="141">
        <f t="shared" si="268"/>
        <v>0</v>
      </c>
      <c r="J3414">
        <f t="shared" si="269"/>
        <v>0</v>
      </c>
      <c r="K3414" s="141">
        <f t="shared" si="270"/>
        <v>0</v>
      </c>
    </row>
    <row r="3415" spans="7:11" hidden="1" x14ac:dyDescent="0.25">
      <c r="G3415">
        <f t="shared" si="266"/>
        <v>0</v>
      </c>
      <c r="H3415">
        <f t="shared" si="267"/>
        <v>0</v>
      </c>
      <c r="I3415" s="141">
        <f t="shared" si="268"/>
        <v>0</v>
      </c>
      <c r="J3415">
        <f t="shared" si="269"/>
        <v>0</v>
      </c>
      <c r="K3415" s="141">
        <f t="shared" si="270"/>
        <v>0</v>
      </c>
    </row>
    <row r="3416" spans="7:11" hidden="1" x14ac:dyDescent="0.25">
      <c r="G3416">
        <f t="shared" si="266"/>
        <v>0</v>
      </c>
      <c r="H3416">
        <f t="shared" si="267"/>
        <v>0</v>
      </c>
      <c r="I3416" s="141">
        <f t="shared" si="268"/>
        <v>0</v>
      </c>
      <c r="J3416">
        <f t="shared" si="269"/>
        <v>0</v>
      </c>
      <c r="K3416" s="141">
        <f t="shared" si="270"/>
        <v>0</v>
      </c>
    </row>
    <row r="3417" spans="7:11" hidden="1" x14ac:dyDescent="0.25">
      <c r="G3417">
        <f t="shared" si="266"/>
        <v>0</v>
      </c>
      <c r="H3417">
        <f t="shared" si="267"/>
        <v>0</v>
      </c>
      <c r="I3417" s="141">
        <f t="shared" si="268"/>
        <v>0</v>
      </c>
      <c r="J3417">
        <f t="shared" si="269"/>
        <v>0</v>
      </c>
      <c r="K3417" s="141">
        <f t="shared" si="270"/>
        <v>0</v>
      </c>
    </row>
    <row r="3418" spans="7:11" hidden="1" x14ac:dyDescent="0.25">
      <c r="G3418">
        <f t="shared" si="266"/>
        <v>0</v>
      </c>
      <c r="H3418">
        <f t="shared" si="267"/>
        <v>0</v>
      </c>
      <c r="I3418" s="141">
        <f t="shared" si="268"/>
        <v>0</v>
      </c>
      <c r="J3418">
        <f t="shared" si="269"/>
        <v>0</v>
      </c>
      <c r="K3418" s="141">
        <f t="shared" si="270"/>
        <v>0</v>
      </c>
    </row>
    <row r="3419" spans="7:11" hidden="1" x14ac:dyDescent="0.25">
      <c r="G3419">
        <f t="shared" si="266"/>
        <v>0</v>
      </c>
      <c r="H3419">
        <f t="shared" si="267"/>
        <v>0</v>
      </c>
      <c r="I3419" s="141">
        <f t="shared" si="268"/>
        <v>0</v>
      </c>
      <c r="J3419">
        <f t="shared" si="269"/>
        <v>0</v>
      </c>
      <c r="K3419" s="141">
        <f t="shared" si="270"/>
        <v>0</v>
      </c>
    </row>
    <row r="3420" spans="7:11" hidden="1" x14ac:dyDescent="0.25">
      <c r="G3420">
        <f t="shared" si="266"/>
        <v>0</v>
      </c>
      <c r="H3420">
        <f t="shared" si="267"/>
        <v>0</v>
      </c>
      <c r="I3420" s="141">
        <f t="shared" si="268"/>
        <v>0</v>
      </c>
      <c r="J3420">
        <f t="shared" si="269"/>
        <v>0</v>
      </c>
      <c r="K3420" s="141">
        <f t="shared" si="270"/>
        <v>0</v>
      </c>
    </row>
    <row r="3421" spans="7:11" hidden="1" x14ac:dyDescent="0.25">
      <c r="G3421">
        <f t="shared" si="266"/>
        <v>0</v>
      </c>
      <c r="H3421">
        <f t="shared" si="267"/>
        <v>0</v>
      </c>
      <c r="I3421" s="141">
        <f t="shared" si="268"/>
        <v>0</v>
      </c>
      <c r="J3421">
        <f t="shared" si="269"/>
        <v>0</v>
      </c>
      <c r="K3421" s="141">
        <f t="shared" si="270"/>
        <v>0</v>
      </c>
    </row>
    <row r="3422" spans="7:11" hidden="1" x14ac:dyDescent="0.25">
      <c r="G3422">
        <f t="shared" si="266"/>
        <v>0</v>
      </c>
      <c r="H3422">
        <f t="shared" si="267"/>
        <v>0</v>
      </c>
      <c r="I3422" s="141">
        <f t="shared" si="268"/>
        <v>0</v>
      </c>
      <c r="J3422">
        <f t="shared" si="269"/>
        <v>0</v>
      </c>
      <c r="K3422" s="141">
        <f t="shared" si="270"/>
        <v>0</v>
      </c>
    </row>
    <row r="3423" spans="7:11" hidden="1" x14ac:dyDescent="0.25">
      <c r="G3423">
        <f t="shared" si="266"/>
        <v>0</v>
      </c>
      <c r="H3423">
        <f t="shared" si="267"/>
        <v>0</v>
      </c>
      <c r="I3423" s="141">
        <f t="shared" si="268"/>
        <v>0</v>
      </c>
      <c r="J3423">
        <f t="shared" si="269"/>
        <v>0</v>
      </c>
      <c r="K3423" s="141">
        <f t="shared" si="270"/>
        <v>0</v>
      </c>
    </row>
    <row r="3424" spans="7:11" hidden="1" x14ac:dyDescent="0.25">
      <c r="G3424">
        <f t="shared" si="266"/>
        <v>0</v>
      </c>
      <c r="H3424">
        <f t="shared" si="267"/>
        <v>0</v>
      </c>
      <c r="I3424" s="141">
        <f t="shared" si="268"/>
        <v>0</v>
      </c>
      <c r="J3424">
        <f t="shared" si="269"/>
        <v>0</v>
      </c>
      <c r="K3424" s="141">
        <f t="shared" si="270"/>
        <v>0</v>
      </c>
    </row>
    <row r="3425" spans="7:11" hidden="1" x14ac:dyDescent="0.25">
      <c r="G3425">
        <f t="shared" si="266"/>
        <v>0</v>
      </c>
      <c r="H3425">
        <f t="shared" si="267"/>
        <v>0</v>
      </c>
      <c r="I3425" s="141">
        <f t="shared" si="268"/>
        <v>0</v>
      </c>
      <c r="J3425">
        <f t="shared" si="269"/>
        <v>0</v>
      </c>
      <c r="K3425" s="141">
        <f t="shared" si="270"/>
        <v>0</v>
      </c>
    </row>
    <row r="3426" spans="7:11" hidden="1" x14ac:dyDescent="0.25">
      <c r="G3426">
        <f t="shared" si="266"/>
        <v>0</v>
      </c>
      <c r="H3426">
        <f t="shared" si="267"/>
        <v>0</v>
      </c>
      <c r="I3426" s="141">
        <f t="shared" si="268"/>
        <v>0</v>
      </c>
      <c r="J3426">
        <f t="shared" si="269"/>
        <v>0</v>
      </c>
      <c r="K3426" s="141">
        <f t="shared" si="270"/>
        <v>0</v>
      </c>
    </row>
    <row r="3427" spans="7:11" hidden="1" x14ac:dyDescent="0.25">
      <c r="G3427">
        <f t="shared" si="266"/>
        <v>0</v>
      </c>
      <c r="H3427">
        <f t="shared" si="267"/>
        <v>0</v>
      </c>
      <c r="I3427" s="141">
        <f t="shared" si="268"/>
        <v>0</v>
      </c>
      <c r="J3427">
        <f t="shared" si="269"/>
        <v>0</v>
      </c>
      <c r="K3427" s="141">
        <f t="shared" si="270"/>
        <v>0</v>
      </c>
    </row>
    <row r="3428" spans="7:11" hidden="1" x14ac:dyDescent="0.25">
      <c r="G3428">
        <f t="shared" si="266"/>
        <v>0</v>
      </c>
      <c r="H3428">
        <f t="shared" si="267"/>
        <v>0</v>
      </c>
      <c r="I3428" s="141">
        <f t="shared" si="268"/>
        <v>0</v>
      </c>
      <c r="J3428">
        <f t="shared" si="269"/>
        <v>0</v>
      </c>
      <c r="K3428" s="141">
        <f t="shared" si="270"/>
        <v>0</v>
      </c>
    </row>
    <row r="3429" spans="7:11" hidden="1" x14ac:dyDescent="0.25">
      <c r="G3429">
        <f t="shared" si="266"/>
        <v>0</v>
      </c>
      <c r="H3429">
        <f t="shared" si="267"/>
        <v>0</v>
      </c>
      <c r="I3429" s="141">
        <f t="shared" si="268"/>
        <v>0</v>
      </c>
      <c r="J3429">
        <f t="shared" si="269"/>
        <v>0</v>
      </c>
      <c r="K3429" s="141">
        <f t="shared" si="270"/>
        <v>0</v>
      </c>
    </row>
    <row r="3430" spans="7:11" hidden="1" x14ac:dyDescent="0.25">
      <c r="G3430">
        <f t="shared" si="266"/>
        <v>0</v>
      </c>
      <c r="H3430">
        <f t="shared" si="267"/>
        <v>0</v>
      </c>
      <c r="I3430" s="141">
        <f t="shared" si="268"/>
        <v>0</v>
      </c>
      <c r="J3430">
        <f t="shared" si="269"/>
        <v>0</v>
      </c>
      <c r="K3430" s="141">
        <f t="shared" si="270"/>
        <v>0</v>
      </c>
    </row>
    <row r="3431" spans="7:11" hidden="1" x14ac:dyDescent="0.25">
      <c r="G3431">
        <f t="shared" si="266"/>
        <v>0</v>
      </c>
      <c r="H3431">
        <f t="shared" si="267"/>
        <v>0</v>
      </c>
      <c r="I3431" s="141">
        <f t="shared" si="268"/>
        <v>0</v>
      </c>
      <c r="J3431">
        <f t="shared" si="269"/>
        <v>0</v>
      </c>
      <c r="K3431" s="141">
        <f t="shared" si="270"/>
        <v>0</v>
      </c>
    </row>
    <row r="3432" spans="7:11" hidden="1" x14ac:dyDescent="0.25">
      <c r="G3432">
        <f t="shared" si="266"/>
        <v>0</v>
      </c>
      <c r="H3432">
        <f t="shared" si="267"/>
        <v>0</v>
      </c>
      <c r="I3432" s="141">
        <f t="shared" si="268"/>
        <v>0</v>
      </c>
      <c r="J3432">
        <f t="shared" si="269"/>
        <v>0</v>
      </c>
      <c r="K3432" s="141">
        <f t="shared" si="270"/>
        <v>0</v>
      </c>
    </row>
    <row r="3433" spans="7:11" hidden="1" x14ac:dyDescent="0.25">
      <c r="G3433">
        <f t="shared" si="266"/>
        <v>0</v>
      </c>
      <c r="H3433">
        <f t="shared" si="267"/>
        <v>0</v>
      </c>
      <c r="I3433" s="141">
        <f t="shared" si="268"/>
        <v>0</v>
      </c>
      <c r="J3433">
        <f t="shared" si="269"/>
        <v>0</v>
      </c>
      <c r="K3433" s="141">
        <f t="shared" si="270"/>
        <v>0</v>
      </c>
    </row>
    <row r="3434" spans="7:11" hidden="1" x14ac:dyDescent="0.25">
      <c r="G3434">
        <f t="shared" si="266"/>
        <v>0</v>
      </c>
      <c r="H3434">
        <f t="shared" si="267"/>
        <v>0</v>
      </c>
      <c r="I3434" s="141">
        <f t="shared" si="268"/>
        <v>0</v>
      </c>
      <c r="J3434">
        <f t="shared" si="269"/>
        <v>0</v>
      </c>
      <c r="K3434" s="141">
        <f t="shared" si="270"/>
        <v>0</v>
      </c>
    </row>
    <row r="3435" spans="7:11" hidden="1" x14ac:dyDescent="0.25">
      <c r="G3435">
        <f t="shared" si="266"/>
        <v>0</v>
      </c>
      <c r="H3435">
        <f t="shared" si="267"/>
        <v>0</v>
      </c>
      <c r="I3435" s="141">
        <f t="shared" si="268"/>
        <v>0</v>
      </c>
      <c r="J3435">
        <f t="shared" si="269"/>
        <v>0</v>
      </c>
      <c r="K3435" s="141">
        <f t="shared" si="270"/>
        <v>0</v>
      </c>
    </row>
    <row r="3436" spans="7:11" hidden="1" x14ac:dyDescent="0.25">
      <c r="G3436">
        <f t="shared" si="266"/>
        <v>0</v>
      </c>
      <c r="H3436">
        <f t="shared" si="267"/>
        <v>0</v>
      </c>
      <c r="I3436" s="141">
        <f t="shared" si="268"/>
        <v>0</v>
      </c>
      <c r="J3436">
        <f t="shared" si="269"/>
        <v>0</v>
      </c>
      <c r="K3436" s="141">
        <f t="shared" si="270"/>
        <v>0</v>
      </c>
    </row>
    <row r="3437" spans="7:11" hidden="1" x14ac:dyDescent="0.25">
      <c r="G3437">
        <f t="shared" si="266"/>
        <v>0</v>
      </c>
      <c r="H3437">
        <f t="shared" si="267"/>
        <v>0</v>
      </c>
      <c r="I3437" s="141">
        <f t="shared" si="268"/>
        <v>0</v>
      </c>
      <c r="J3437">
        <f t="shared" si="269"/>
        <v>0</v>
      </c>
      <c r="K3437" s="141">
        <f t="shared" si="270"/>
        <v>0</v>
      </c>
    </row>
    <row r="3438" spans="7:11" hidden="1" x14ac:dyDescent="0.25">
      <c r="G3438">
        <f t="shared" si="266"/>
        <v>0</v>
      </c>
      <c r="H3438">
        <f t="shared" si="267"/>
        <v>0</v>
      </c>
      <c r="I3438" s="141">
        <f t="shared" si="268"/>
        <v>0</v>
      </c>
      <c r="J3438">
        <f t="shared" si="269"/>
        <v>0</v>
      </c>
      <c r="K3438" s="141">
        <f t="shared" si="270"/>
        <v>0</v>
      </c>
    </row>
    <row r="3439" spans="7:11" hidden="1" x14ac:dyDescent="0.25">
      <c r="G3439">
        <f t="shared" si="266"/>
        <v>0</v>
      </c>
      <c r="H3439">
        <f t="shared" si="267"/>
        <v>0</v>
      </c>
      <c r="I3439" s="141">
        <f t="shared" si="268"/>
        <v>0</v>
      </c>
      <c r="J3439">
        <f t="shared" si="269"/>
        <v>0</v>
      </c>
      <c r="K3439" s="141">
        <f t="shared" si="270"/>
        <v>0</v>
      </c>
    </row>
    <row r="3440" spans="7:11" hidden="1" x14ac:dyDescent="0.25">
      <c r="G3440">
        <f t="shared" si="266"/>
        <v>0</v>
      </c>
      <c r="H3440">
        <f t="shared" si="267"/>
        <v>0</v>
      </c>
      <c r="I3440" s="141">
        <f t="shared" si="268"/>
        <v>0</v>
      </c>
      <c r="J3440">
        <f t="shared" si="269"/>
        <v>0</v>
      </c>
      <c r="K3440" s="141">
        <f t="shared" si="270"/>
        <v>0</v>
      </c>
    </row>
    <row r="3441" spans="7:11" hidden="1" x14ac:dyDescent="0.25">
      <c r="G3441">
        <f t="shared" si="266"/>
        <v>0</v>
      </c>
      <c r="H3441">
        <f t="shared" si="267"/>
        <v>0</v>
      </c>
      <c r="I3441" s="141">
        <f t="shared" si="268"/>
        <v>0</v>
      </c>
      <c r="J3441">
        <f t="shared" si="269"/>
        <v>0</v>
      </c>
      <c r="K3441" s="141">
        <f t="shared" si="270"/>
        <v>0</v>
      </c>
    </row>
    <row r="3442" spans="7:11" hidden="1" x14ac:dyDescent="0.25">
      <c r="G3442">
        <f t="shared" si="266"/>
        <v>0</v>
      </c>
      <c r="H3442">
        <f t="shared" si="267"/>
        <v>0</v>
      </c>
      <c r="I3442" s="141">
        <f t="shared" si="268"/>
        <v>0</v>
      </c>
      <c r="J3442">
        <f t="shared" si="269"/>
        <v>0</v>
      </c>
      <c r="K3442" s="141">
        <f t="shared" si="270"/>
        <v>0</v>
      </c>
    </row>
    <row r="3443" spans="7:11" hidden="1" x14ac:dyDescent="0.25">
      <c r="G3443">
        <f t="shared" si="266"/>
        <v>0</v>
      </c>
      <c r="H3443">
        <f t="shared" si="267"/>
        <v>0</v>
      </c>
      <c r="I3443" s="141">
        <f t="shared" si="268"/>
        <v>0</v>
      </c>
      <c r="J3443">
        <f t="shared" si="269"/>
        <v>0</v>
      </c>
      <c r="K3443" s="141">
        <f t="shared" si="270"/>
        <v>0</v>
      </c>
    </row>
    <row r="3444" spans="7:11" hidden="1" x14ac:dyDescent="0.25">
      <c r="G3444">
        <f t="shared" si="266"/>
        <v>0</v>
      </c>
      <c r="H3444">
        <f t="shared" si="267"/>
        <v>0</v>
      </c>
      <c r="I3444" s="141">
        <f t="shared" si="268"/>
        <v>0</v>
      </c>
      <c r="J3444">
        <f t="shared" si="269"/>
        <v>0</v>
      </c>
      <c r="K3444" s="141">
        <f t="shared" si="270"/>
        <v>0</v>
      </c>
    </row>
    <row r="3445" spans="7:11" hidden="1" x14ac:dyDescent="0.25">
      <c r="G3445">
        <f t="shared" si="266"/>
        <v>0</v>
      </c>
      <c r="H3445">
        <f t="shared" si="267"/>
        <v>0</v>
      </c>
      <c r="I3445" s="141">
        <f t="shared" si="268"/>
        <v>0</v>
      </c>
      <c r="J3445">
        <f t="shared" si="269"/>
        <v>0</v>
      </c>
      <c r="K3445" s="141">
        <f t="shared" si="270"/>
        <v>0</v>
      </c>
    </row>
    <row r="3446" spans="7:11" hidden="1" x14ac:dyDescent="0.25">
      <c r="G3446">
        <f t="shared" si="266"/>
        <v>0</v>
      </c>
      <c r="H3446">
        <f t="shared" si="267"/>
        <v>0</v>
      </c>
      <c r="I3446" s="141">
        <f t="shared" si="268"/>
        <v>0</v>
      </c>
      <c r="J3446">
        <f t="shared" si="269"/>
        <v>0</v>
      </c>
      <c r="K3446" s="141">
        <f t="shared" si="270"/>
        <v>0</v>
      </c>
    </row>
    <row r="3447" spans="7:11" hidden="1" x14ac:dyDescent="0.25">
      <c r="G3447">
        <f t="shared" si="266"/>
        <v>0</v>
      </c>
      <c r="H3447">
        <f t="shared" si="267"/>
        <v>0</v>
      </c>
      <c r="I3447" s="141">
        <f t="shared" si="268"/>
        <v>0</v>
      </c>
      <c r="J3447">
        <f t="shared" si="269"/>
        <v>0</v>
      </c>
      <c r="K3447" s="141">
        <f t="shared" si="270"/>
        <v>0</v>
      </c>
    </row>
    <row r="3448" spans="7:11" hidden="1" x14ac:dyDescent="0.25">
      <c r="G3448">
        <f t="shared" si="266"/>
        <v>0</v>
      </c>
      <c r="H3448">
        <f t="shared" si="267"/>
        <v>0</v>
      </c>
      <c r="I3448" s="141">
        <f t="shared" si="268"/>
        <v>0</v>
      </c>
      <c r="J3448">
        <f t="shared" si="269"/>
        <v>0</v>
      </c>
      <c r="K3448" s="141">
        <f t="shared" si="270"/>
        <v>0</v>
      </c>
    </row>
    <row r="3449" spans="7:11" hidden="1" x14ac:dyDescent="0.25">
      <c r="G3449">
        <f t="shared" si="266"/>
        <v>0</v>
      </c>
      <c r="H3449">
        <f t="shared" si="267"/>
        <v>0</v>
      </c>
      <c r="I3449" s="141">
        <f t="shared" si="268"/>
        <v>0</v>
      </c>
      <c r="J3449">
        <f t="shared" si="269"/>
        <v>0</v>
      </c>
      <c r="K3449" s="141">
        <f t="shared" si="270"/>
        <v>0</v>
      </c>
    </row>
    <row r="3450" spans="7:11" hidden="1" x14ac:dyDescent="0.25">
      <c r="G3450">
        <f t="shared" si="266"/>
        <v>0</v>
      </c>
      <c r="H3450">
        <f t="shared" si="267"/>
        <v>0</v>
      </c>
      <c r="I3450" s="141">
        <f t="shared" si="268"/>
        <v>0</v>
      </c>
      <c r="J3450">
        <f t="shared" si="269"/>
        <v>0</v>
      </c>
      <c r="K3450" s="141">
        <f t="shared" si="270"/>
        <v>0</v>
      </c>
    </row>
    <row r="3451" spans="7:11" hidden="1" x14ac:dyDescent="0.25">
      <c r="G3451">
        <f t="shared" si="266"/>
        <v>0</v>
      </c>
      <c r="H3451">
        <f t="shared" si="267"/>
        <v>0</v>
      </c>
      <c r="I3451" s="141">
        <f t="shared" si="268"/>
        <v>0</v>
      </c>
      <c r="J3451">
        <f t="shared" si="269"/>
        <v>0</v>
      </c>
      <c r="K3451" s="141">
        <f t="shared" si="270"/>
        <v>0</v>
      </c>
    </row>
    <row r="3452" spans="7:11" hidden="1" x14ac:dyDescent="0.25">
      <c r="G3452">
        <f t="shared" si="266"/>
        <v>0</v>
      </c>
      <c r="H3452">
        <f t="shared" si="267"/>
        <v>0</v>
      </c>
      <c r="I3452" s="141">
        <f t="shared" si="268"/>
        <v>0</v>
      </c>
      <c r="J3452">
        <f t="shared" si="269"/>
        <v>0</v>
      </c>
      <c r="K3452" s="141">
        <f t="shared" si="270"/>
        <v>0</v>
      </c>
    </row>
    <row r="3453" spans="7:11" hidden="1" x14ac:dyDescent="0.25">
      <c r="G3453">
        <f t="shared" si="266"/>
        <v>0</v>
      </c>
      <c r="H3453">
        <f t="shared" si="267"/>
        <v>0</v>
      </c>
      <c r="I3453" s="141">
        <f t="shared" si="268"/>
        <v>0</v>
      </c>
      <c r="J3453">
        <f t="shared" si="269"/>
        <v>0</v>
      </c>
      <c r="K3453" s="141">
        <f t="shared" si="270"/>
        <v>0</v>
      </c>
    </row>
    <row r="3454" spans="7:11" hidden="1" x14ac:dyDescent="0.25">
      <c r="G3454">
        <f t="shared" si="266"/>
        <v>0</v>
      </c>
      <c r="H3454">
        <f t="shared" si="267"/>
        <v>0</v>
      </c>
      <c r="I3454" s="141">
        <f t="shared" si="268"/>
        <v>0</v>
      </c>
      <c r="J3454">
        <f t="shared" si="269"/>
        <v>0</v>
      </c>
      <c r="K3454" s="141">
        <f t="shared" si="270"/>
        <v>0</v>
      </c>
    </row>
    <row r="3455" spans="7:11" hidden="1" x14ac:dyDescent="0.25">
      <c r="G3455">
        <f t="shared" si="266"/>
        <v>0</v>
      </c>
      <c r="H3455">
        <f t="shared" si="267"/>
        <v>0</v>
      </c>
      <c r="I3455" s="141">
        <f t="shared" si="268"/>
        <v>0</v>
      </c>
      <c r="J3455">
        <f t="shared" si="269"/>
        <v>0</v>
      </c>
      <c r="K3455" s="141">
        <f t="shared" si="270"/>
        <v>0</v>
      </c>
    </row>
    <row r="3456" spans="7:11" hidden="1" x14ac:dyDescent="0.25">
      <c r="G3456">
        <f t="shared" si="266"/>
        <v>0</v>
      </c>
      <c r="H3456">
        <f t="shared" si="267"/>
        <v>0</v>
      </c>
      <c r="I3456" s="141">
        <f t="shared" si="268"/>
        <v>0</v>
      </c>
      <c r="J3456">
        <f t="shared" si="269"/>
        <v>0</v>
      </c>
      <c r="K3456" s="141">
        <f t="shared" si="270"/>
        <v>0</v>
      </c>
    </row>
    <row r="3457" spans="7:11" hidden="1" x14ac:dyDescent="0.25">
      <c r="G3457">
        <f t="shared" si="266"/>
        <v>0</v>
      </c>
      <c r="H3457">
        <f t="shared" si="267"/>
        <v>0</v>
      </c>
      <c r="I3457" s="141">
        <f t="shared" si="268"/>
        <v>0</v>
      </c>
      <c r="J3457">
        <f t="shared" si="269"/>
        <v>0</v>
      </c>
      <c r="K3457" s="141">
        <f t="shared" si="270"/>
        <v>0</v>
      </c>
    </row>
    <row r="3458" spans="7:11" hidden="1" x14ac:dyDescent="0.25">
      <c r="G3458">
        <f t="shared" ref="G3458:G3521" si="271">A3458</f>
        <v>0</v>
      </c>
      <c r="H3458">
        <f t="shared" ref="H3458:H3521" si="272">B3458</f>
        <v>0</v>
      </c>
      <c r="I3458" s="141">
        <f t="shared" ref="I3458:I3521" si="273">C3458</f>
        <v>0</v>
      </c>
      <c r="J3458">
        <f t="shared" ref="J3458:J3521" si="274">D3458</f>
        <v>0</v>
      </c>
      <c r="K3458" s="141">
        <f t="shared" ref="K3458:K3521" si="275">E3458</f>
        <v>0</v>
      </c>
    </row>
    <row r="3459" spans="7:11" hidden="1" x14ac:dyDescent="0.25">
      <c r="G3459">
        <f t="shared" si="271"/>
        <v>0</v>
      </c>
      <c r="H3459">
        <f t="shared" si="272"/>
        <v>0</v>
      </c>
      <c r="I3459" s="141">
        <f t="shared" si="273"/>
        <v>0</v>
      </c>
      <c r="J3459">
        <f t="shared" si="274"/>
        <v>0</v>
      </c>
      <c r="K3459" s="141">
        <f t="shared" si="275"/>
        <v>0</v>
      </c>
    </row>
    <row r="3460" spans="7:11" hidden="1" x14ac:dyDescent="0.25">
      <c r="G3460">
        <f t="shared" si="271"/>
        <v>0</v>
      </c>
      <c r="H3460">
        <f t="shared" si="272"/>
        <v>0</v>
      </c>
      <c r="I3460" s="141">
        <f t="shared" si="273"/>
        <v>0</v>
      </c>
      <c r="J3460">
        <f t="shared" si="274"/>
        <v>0</v>
      </c>
      <c r="K3460" s="141">
        <f t="shared" si="275"/>
        <v>0</v>
      </c>
    </row>
    <row r="3461" spans="7:11" hidden="1" x14ac:dyDescent="0.25">
      <c r="G3461">
        <f t="shared" si="271"/>
        <v>0</v>
      </c>
      <c r="H3461">
        <f t="shared" si="272"/>
        <v>0</v>
      </c>
      <c r="I3461" s="141">
        <f t="shared" si="273"/>
        <v>0</v>
      </c>
      <c r="J3461">
        <f t="shared" si="274"/>
        <v>0</v>
      </c>
      <c r="K3461" s="141">
        <f t="shared" si="275"/>
        <v>0</v>
      </c>
    </row>
    <row r="3462" spans="7:11" hidden="1" x14ac:dyDescent="0.25">
      <c r="G3462">
        <f t="shared" si="271"/>
        <v>0</v>
      </c>
      <c r="H3462">
        <f t="shared" si="272"/>
        <v>0</v>
      </c>
      <c r="I3462" s="141">
        <f t="shared" si="273"/>
        <v>0</v>
      </c>
      <c r="J3462">
        <f t="shared" si="274"/>
        <v>0</v>
      </c>
      <c r="K3462" s="141">
        <f t="shared" si="275"/>
        <v>0</v>
      </c>
    </row>
    <row r="3463" spans="7:11" hidden="1" x14ac:dyDescent="0.25">
      <c r="G3463">
        <f t="shared" si="271"/>
        <v>0</v>
      </c>
      <c r="H3463">
        <f t="shared" si="272"/>
        <v>0</v>
      </c>
      <c r="I3463" s="141">
        <f t="shared" si="273"/>
        <v>0</v>
      </c>
      <c r="J3463">
        <f t="shared" si="274"/>
        <v>0</v>
      </c>
      <c r="K3463" s="141">
        <f t="shared" si="275"/>
        <v>0</v>
      </c>
    </row>
    <row r="3464" spans="7:11" hidden="1" x14ac:dyDescent="0.25">
      <c r="G3464">
        <f t="shared" si="271"/>
        <v>0</v>
      </c>
      <c r="H3464">
        <f t="shared" si="272"/>
        <v>0</v>
      </c>
      <c r="I3464" s="141">
        <f t="shared" si="273"/>
        <v>0</v>
      </c>
      <c r="J3464">
        <f t="shared" si="274"/>
        <v>0</v>
      </c>
      <c r="K3464" s="141">
        <f t="shared" si="275"/>
        <v>0</v>
      </c>
    </row>
    <row r="3465" spans="7:11" hidden="1" x14ac:dyDescent="0.25">
      <c r="G3465">
        <f t="shared" si="271"/>
        <v>0</v>
      </c>
      <c r="H3465">
        <f t="shared" si="272"/>
        <v>0</v>
      </c>
      <c r="I3465" s="141">
        <f t="shared" si="273"/>
        <v>0</v>
      </c>
      <c r="J3465">
        <f t="shared" si="274"/>
        <v>0</v>
      </c>
      <c r="K3465" s="141">
        <f t="shared" si="275"/>
        <v>0</v>
      </c>
    </row>
    <row r="3466" spans="7:11" hidden="1" x14ac:dyDescent="0.25">
      <c r="G3466">
        <f t="shared" si="271"/>
        <v>0</v>
      </c>
      <c r="H3466">
        <f t="shared" si="272"/>
        <v>0</v>
      </c>
      <c r="I3466" s="141">
        <f t="shared" si="273"/>
        <v>0</v>
      </c>
      <c r="J3466">
        <f t="shared" si="274"/>
        <v>0</v>
      </c>
      <c r="K3466" s="141">
        <f t="shared" si="275"/>
        <v>0</v>
      </c>
    </row>
    <row r="3467" spans="7:11" hidden="1" x14ac:dyDescent="0.25">
      <c r="G3467">
        <f t="shared" si="271"/>
        <v>0</v>
      </c>
      <c r="H3467">
        <f t="shared" si="272"/>
        <v>0</v>
      </c>
      <c r="I3467" s="141">
        <f t="shared" si="273"/>
        <v>0</v>
      </c>
      <c r="J3467">
        <f t="shared" si="274"/>
        <v>0</v>
      </c>
      <c r="K3467" s="141">
        <f t="shared" si="275"/>
        <v>0</v>
      </c>
    </row>
    <row r="3468" spans="7:11" hidden="1" x14ac:dyDescent="0.25">
      <c r="G3468">
        <f t="shared" si="271"/>
        <v>0</v>
      </c>
      <c r="H3468">
        <f t="shared" si="272"/>
        <v>0</v>
      </c>
      <c r="I3468" s="141">
        <f t="shared" si="273"/>
        <v>0</v>
      </c>
      <c r="J3468">
        <f t="shared" si="274"/>
        <v>0</v>
      </c>
      <c r="K3468" s="141">
        <f t="shared" si="275"/>
        <v>0</v>
      </c>
    </row>
    <row r="3469" spans="7:11" hidden="1" x14ac:dyDescent="0.25">
      <c r="G3469">
        <f t="shared" si="271"/>
        <v>0</v>
      </c>
      <c r="H3469">
        <f t="shared" si="272"/>
        <v>0</v>
      </c>
      <c r="I3469" s="141">
        <f t="shared" si="273"/>
        <v>0</v>
      </c>
      <c r="J3469">
        <f t="shared" si="274"/>
        <v>0</v>
      </c>
      <c r="K3469" s="141">
        <f t="shared" si="275"/>
        <v>0</v>
      </c>
    </row>
    <row r="3470" spans="7:11" hidden="1" x14ac:dyDescent="0.25">
      <c r="G3470">
        <f t="shared" si="271"/>
        <v>0</v>
      </c>
      <c r="H3470">
        <f t="shared" si="272"/>
        <v>0</v>
      </c>
      <c r="I3470" s="141">
        <f t="shared" si="273"/>
        <v>0</v>
      </c>
      <c r="J3470">
        <f t="shared" si="274"/>
        <v>0</v>
      </c>
      <c r="K3470" s="141">
        <f t="shared" si="275"/>
        <v>0</v>
      </c>
    </row>
    <row r="3471" spans="7:11" hidden="1" x14ac:dyDescent="0.25">
      <c r="G3471">
        <f t="shared" si="271"/>
        <v>0</v>
      </c>
      <c r="H3471">
        <f t="shared" si="272"/>
        <v>0</v>
      </c>
      <c r="I3471" s="141">
        <f t="shared" si="273"/>
        <v>0</v>
      </c>
      <c r="J3471">
        <f t="shared" si="274"/>
        <v>0</v>
      </c>
      <c r="K3471" s="141">
        <f t="shared" si="275"/>
        <v>0</v>
      </c>
    </row>
    <row r="3472" spans="7:11" hidden="1" x14ac:dyDescent="0.25">
      <c r="G3472">
        <f t="shared" si="271"/>
        <v>0</v>
      </c>
      <c r="H3472">
        <f t="shared" si="272"/>
        <v>0</v>
      </c>
      <c r="I3472" s="141">
        <f t="shared" si="273"/>
        <v>0</v>
      </c>
      <c r="J3472">
        <f t="shared" si="274"/>
        <v>0</v>
      </c>
      <c r="K3472" s="141">
        <f t="shared" si="275"/>
        <v>0</v>
      </c>
    </row>
    <row r="3473" spans="7:11" hidden="1" x14ac:dyDescent="0.25">
      <c r="G3473">
        <f t="shared" si="271"/>
        <v>0</v>
      </c>
      <c r="H3473">
        <f t="shared" si="272"/>
        <v>0</v>
      </c>
      <c r="I3473" s="141">
        <f t="shared" si="273"/>
        <v>0</v>
      </c>
      <c r="J3473">
        <f t="shared" si="274"/>
        <v>0</v>
      </c>
      <c r="K3473" s="141">
        <f t="shared" si="275"/>
        <v>0</v>
      </c>
    </row>
    <row r="3474" spans="7:11" hidden="1" x14ac:dyDescent="0.25">
      <c r="G3474">
        <f t="shared" si="271"/>
        <v>0</v>
      </c>
      <c r="H3474">
        <f t="shared" si="272"/>
        <v>0</v>
      </c>
      <c r="I3474" s="141">
        <f t="shared" si="273"/>
        <v>0</v>
      </c>
      <c r="J3474">
        <f t="shared" si="274"/>
        <v>0</v>
      </c>
      <c r="K3474" s="141">
        <f t="shared" si="275"/>
        <v>0</v>
      </c>
    </row>
    <row r="3475" spans="7:11" hidden="1" x14ac:dyDescent="0.25">
      <c r="G3475">
        <f t="shared" si="271"/>
        <v>0</v>
      </c>
      <c r="H3475">
        <f t="shared" si="272"/>
        <v>0</v>
      </c>
      <c r="I3475" s="141">
        <f t="shared" si="273"/>
        <v>0</v>
      </c>
      <c r="J3475">
        <f t="shared" si="274"/>
        <v>0</v>
      </c>
      <c r="K3475" s="141">
        <f t="shared" si="275"/>
        <v>0</v>
      </c>
    </row>
    <row r="3476" spans="7:11" hidden="1" x14ac:dyDescent="0.25">
      <c r="G3476">
        <f t="shared" si="271"/>
        <v>0</v>
      </c>
      <c r="H3476">
        <f t="shared" si="272"/>
        <v>0</v>
      </c>
      <c r="I3476" s="141">
        <f t="shared" si="273"/>
        <v>0</v>
      </c>
      <c r="J3476">
        <f t="shared" si="274"/>
        <v>0</v>
      </c>
      <c r="K3476" s="141">
        <f t="shared" si="275"/>
        <v>0</v>
      </c>
    </row>
    <row r="3477" spans="7:11" hidden="1" x14ac:dyDescent="0.25">
      <c r="G3477">
        <f t="shared" si="271"/>
        <v>0</v>
      </c>
      <c r="H3477">
        <f t="shared" si="272"/>
        <v>0</v>
      </c>
      <c r="I3477" s="141">
        <f t="shared" si="273"/>
        <v>0</v>
      </c>
      <c r="J3477">
        <f t="shared" si="274"/>
        <v>0</v>
      </c>
      <c r="K3477" s="141">
        <f t="shared" si="275"/>
        <v>0</v>
      </c>
    </row>
    <row r="3478" spans="7:11" hidden="1" x14ac:dyDescent="0.25">
      <c r="G3478">
        <f t="shared" si="271"/>
        <v>0</v>
      </c>
      <c r="H3478">
        <f t="shared" si="272"/>
        <v>0</v>
      </c>
      <c r="I3478" s="141">
        <f t="shared" si="273"/>
        <v>0</v>
      </c>
      <c r="J3478">
        <f t="shared" si="274"/>
        <v>0</v>
      </c>
      <c r="K3478" s="141">
        <f t="shared" si="275"/>
        <v>0</v>
      </c>
    </row>
    <row r="3479" spans="7:11" hidden="1" x14ac:dyDescent="0.25">
      <c r="G3479">
        <f t="shared" si="271"/>
        <v>0</v>
      </c>
      <c r="H3479">
        <f t="shared" si="272"/>
        <v>0</v>
      </c>
      <c r="I3479" s="141">
        <f t="shared" si="273"/>
        <v>0</v>
      </c>
      <c r="J3479">
        <f t="shared" si="274"/>
        <v>0</v>
      </c>
      <c r="K3479" s="141">
        <f t="shared" si="275"/>
        <v>0</v>
      </c>
    </row>
    <row r="3480" spans="7:11" hidden="1" x14ac:dyDescent="0.25">
      <c r="G3480">
        <f t="shared" si="271"/>
        <v>0</v>
      </c>
      <c r="H3480">
        <f t="shared" si="272"/>
        <v>0</v>
      </c>
      <c r="I3480" s="141">
        <f t="shared" si="273"/>
        <v>0</v>
      </c>
      <c r="J3480">
        <f t="shared" si="274"/>
        <v>0</v>
      </c>
      <c r="K3480" s="141">
        <f t="shared" si="275"/>
        <v>0</v>
      </c>
    </row>
    <row r="3481" spans="7:11" hidden="1" x14ac:dyDescent="0.25">
      <c r="G3481">
        <f t="shared" si="271"/>
        <v>0</v>
      </c>
      <c r="H3481">
        <f t="shared" si="272"/>
        <v>0</v>
      </c>
      <c r="I3481" s="141">
        <f t="shared" si="273"/>
        <v>0</v>
      </c>
      <c r="J3481">
        <f t="shared" si="274"/>
        <v>0</v>
      </c>
      <c r="K3481" s="141">
        <f t="shared" si="275"/>
        <v>0</v>
      </c>
    </row>
    <row r="3482" spans="7:11" hidden="1" x14ac:dyDescent="0.25">
      <c r="G3482">
        <f t="shared" si="271"/>
        <v>0</v>
      </c>
      <c r="H3482">
        <f t="shared" si="272"/>
        <v>0</v>
      </c>
      <c r="I3482" s="141">
        <f t="shared" si="273"/>
        <v>0</v>
      </c>
      <c r="J3482">
        <f t="shared" si="274"/>
        <v>0</v>
      </c>
      <c r="K3482" s="141">
        <f t="shared" si="275"/>
        <v>0</v>
      </c>
    </row>
    <row r="3483" spans="7:11" hidden="1" x14ac:dyDescent="0.25">
      <c r="G3483">
        <f t="shared" si="271"/>
        <v>0</v>
      </c>
      <c r="H3483">
        <f t="shared" si="272"/>
        <v>0</v>
      </c>
      <c r="I3483" s="141">
        <f t="shared" si="273"/>
        <v>0</v>
      </c>
      <c r="J3483">
        <f t="shared" si="274"/>
        <v>0</v>
      </c>
      <c r="K3483" s="141">
        <f t="shared" si="275"/>
        <v>0</v>
      </c>
    </row>
    <row r="3484" spans="7:11" hidden="1" x14ac:dyDescent="0.25">
      <c r="G3484">
        <f t="shared" si="271"/>
        <v>0</v>
      </c>
      <c r="H3484">
        <f t="shared" si="272"/>
        <v>0</v>
      </c>
      <c r="I3484" s="141">
        <f t="shared" si="273"/>
        <v>0</v>
      </c>
      <c r="J3484">
        <f t="shared" si="274"/>
        <v>0</v>
      </c>
      <c r="K3484" s="141">
        <f t="shared" si="275"/>
        <v>0</v>
      </c>
    </row>
    <row r="3485" spans="7:11" hidden="1" x14ac:dyDescent="0.25">
      <c r="G3485">
        <f t="shared" si="271"/>
        <v>0</v>
      </c>
      <c r="H3485">
        <f t="shared" si="272"/>
        <v>0</v>
      </c>
      <c r="I3485" s="141">
        <f t="shared" si="273"/>
        <v>0</v>
      </c>
      <c r="J3485">
        <f t="shared" si="274"/>
        <v>0</v>
      </c>
      <c r="K3485" s="141">
        <f t="shared" si="275"/>
        <v>0</v>
      </c>
    </row>
    <row r="3486" spans="7:11" hidden="1" x14ac:dyDescent="0.25">
      <c r="G3486">
        <f t="shared" si="271"/>
        <v>0</v>
      </c>
      <c r="H3486">
        <f t="shared" si="272"/>
        <v>0</v>
      </c>
      <c r="I3486" s="141">
        <f t="shared" si="273"/>
        <v>0</v>
      </c>
      <c r="J3486">
        <f t="shared" si="274"/>
        <v>0</v>
      </c>
      <c r="K3486" s="141">
        <f t="shared" si="275"/>
        <v>0</v>
      </c>
    </row>
    <row r="3487" spans="7:11" hidden="1" x14ac:dyDescent="0.25">
      <c r="G3487">
        <f t="shared" si="271"/>
        <v>0</v>
      </c>
      <c r="H3487">
        <f t="shared" si="272"/>
        <v>0</v>
      </c>
      <c r="I3487" s="141">
        <f t="shared" si="273"/>
        <v>0</v>
      </c>
      <c r="J3487">
        <f t="shared" si="274"/>
        <v>0</v>
      </c>
      <c r="K3487" s="141">
        <f t="shared" si="275"/>
        <v>0</v>
      </c>
    </row>
    <row r="3488" spans="7:11" hidden="1" x14ac:dyDescent="0.25">
      <c r="G3488">
        <f t="shared" si="271"/>
        <v>0</v>
      </c>
      <c r="H3488">
        <f t="shared" si="272"/>
        <v>0</v>
      </c>
      <c r="I3488" s="141">
        <f t="shared" si="273"/>
        <v>0</v>
      </c>
      <c r="J3488">
        <f t="shared" si="274"/>
        <v>0</v>
      </c>
      <c r="K3488" s="141">
        <f t="shared" si="275"/>
        <v>0</v>
      </c>
    </row>
    <row r="3489" spans="7:11" hidden="1" x14ac:dyDescent="0.25">
      <c r="G3489">
        <f t="shared" si="271"/>
        <v>0</v>
      </c>
      <c r="H3489">
        <f t="shared" si="272"/>
        <v>0</v>
      </c>
      <c r="I3489" s="141">
        <f t="shared" si="273"/>
        <v>0</v>
      </c>
      <c r="J3489">
        <f t="shared" si="274"/>
        <v>0</v>
      </c>
      <c r="K3489" s="141">
        <f t="shared" si="275"/>
        <v>0</v>
      </c>
    </row>
    <row r="3490" spans="7:11" hidden="1" x14ac:dyDescent="0.25">
      <c r="G3490">
        <f t="shared" si="271"/>
        <v>0</v>
      </c>
      <c r="H3490">
        <f t="shared" si="272"/>
        <v>0</v>
      </c>
      <c r="I3490" s="141">
        <f t="shared" si="273"/>
        <v>0</v>
      </c>
      <c r="J3490">
        <f t="shared" si="274"/>
        <v>0</v>
      </c>
      <c r="K3490" s="141">
        <f t="shared" si="275"/>
        <v>0</v>
      </c>
    </row>
    <row r="3491" spans="7:11" hidden="1" x14ac:dyDescent="0.25">
      <c r="G3491">
        <f t="shared" si="271"/>
        <v>0</v>
      </c>
      <c r="H3491">
        <f t="shared" si="272"/>
        <v>0</v>
      </c>
      <c r="I3491" s="141">
        <f t="shared" si="273"/>
        <v>0</v>
      </c>
      <c r="J3491">
        <f t="shared" si="274"/>
        <v>0</v>
      </c>
      <c r="K3491" s="141">
        <f t="shared" si="275"/>
        <v>0</v>
      </c>
    </row>
    <row r="3492" spans="7:11" hidden="1" x14ac:dyDescent="0.25">
      <c r="G3492">
        <f t="shared" si="271"/>
        <v>0</v>
      </c>
      <c r="H3492">
        <f t="shared" si="272"/>
        <v>0</v>
      </c>
      <c r="I3492" s="141">
        <f t="shared" si="273"/>
        <v>0</v>
      </c>
      <c r="J3492">
        <f t="shared" si="274"/>
        <v>0</v>
      </c>
      <c r="K3492" s="141">
        <f t="shared" si="275"/>
        <v>0</v>
      </c>
    </row>
    <row r="3493" spans="7:11" hidden="1" x14ac:dyDescent="0.25">
      <c r="G3493">
        <f t="shared" si="271"/>
        <v>0</v>
      </c>
      <c r="H3493">
        <f t="shared" si="272"/>
        <v>0</v>
      </c>
      <c r="I3493" s="141">
        <f t="shared" si="273"/>
        <v>0</v>
      </c>
      <c r="J3493">
        <f t="shared" si="274"/>
        <v>0</v>
      </c>
      <c r="K3493" s="141">
        <f t="shared" si="275"/>
        <v>0</v>
      </c>
    </row>
    <row r="3494" spans="7:11" hidden="1" x14ac:dyDescent="0.25">
      <c r="G3494">
        <f t="shared" si="271"/>
        <v>0</v>
      </c>
      <c r="H3494">
        <f t="shared" si="272"/>
        <v>0</v>
      </c>
      <c r="I3494" s="141">
        <f t="shared" si="273"/>
        <v>0</v>
      </c>
      <c r="J3494">
        <f t="shared" si="274"/>
        <v>0</v>
      </c>
      <c r="K3494" s="141">
        <f t="shared" si="275"/>
        <v>0</v>
      </c>
    </row>
    <row r="3495" spans="7:11" hidden="1" x14ac:dyDescent="0.25">
      <c r="G3495">
        <f t="shared" si="271"/>
        <v>0</v>
      </c>
      <c r="H3495">
        <f t="shared" si="272"/>
        <v>0</v>
      </c>
      <c r="I3495" s="141">
        <f t="shared" si="273"/>
        <v>0</v>
      </c>
      <c r="J3495">
        <f t="shared" si="274"/>
        <v>0</v>
      </c>
      <c r="K3495" s="141">
        <f t="shared" si="275"/>
        <v>0</v>
      </c>
    </row>
    <row r="3496" spans="7:11" hidden="1" x14ac:dyDescent="0.25">
      <c r="G3496">
        <f t="shared" si="271"/>
        <v>0</v>
      </c>
      <c r="H3496">
        <f t="shared" si="272"/>
        <v>0</v>
      </c>
      <c r="I3496" s="141">
        <f t="shared" si="273"/>
        <v>0</v>
      </c>
      <c r="J3496">
        <f t="shared" si="274"/>
        <v>0</v>
      </c>
      <c r="K3496" s="141">
        <f t="shared" si="275"/>
        <v>0</v>
      </c>
    </row>
    <row r="3497" spans="7:11" hidden="1" x14ac:dyDescent="0.25">
      <c r="G3497">
        <f t="shared" si="271"/>
        <v>0</v>
      </c>
      <c r="H3497">
        <f t="shared" si="272"/>
        <v>0</v>
      </c>
      <c r="I3497" s="141">
        <f t="shared" si="273"/>
        <v>0</v>
      </c>
      <c r="J3497">
        <f t="shared" si="274"/>
        <v>0</v>
      </c>
      <c r="K3497" s="141">
        <f t="shared" si="275"/>
        <v>0</v>
      </c>
    </row>
    <row r="3498" spans="7:11" hidden="1" x14ac:dyDescent="0.25">
      <c r="G3498">
        <f t="shared" si="271"/>
        <v>0</v>
      </c>
      <c r="H3498">
        <f t="shared" si="272"/>
        <v>0</v>
      </c>
      <c r="I3498" s="141">
        <f t="shared" si="273"/>
        <v>0</v>
      </c>
      <c r="J3498">
        <f t="shared" si="274"/>
        <v>0</v>
      </c>
      <c r="K3498" s="141">
        <f t="shared" si="275"/>
        <v>0</v>
      </c>
    </row>
    <row r="3499" spans="7:11" hidden="1" x14ac:dyDescent="0.25">
      <c r="G3499">
        <f t="shared" si="271"/>
        <v>0</v>
      </c>
      <c r="H3499">
        <f t="shared" si="272"/>
        <v>0</v>
      </c>
      <c r="I3499" s="141">
        <f t="shared" si="273"/>
        <v>0</v>
      </c>
      <c r="J3499">
        <f t="shared" si="274"/>
        <v>0</v>
      </c>
      <c r="K3499" s="141">
        <f t="shared" si="275"/>
        <v>0</v>
      </c>
    </row>
    <row r="3500" spans="7:11" hidden="1" x14ac:dyDescent="0.25">
      <c r="G3500">
        <f t="shared" si="271"/>
        <v>0</v>
      </c>
      <c r="H3500">
        <f t="shared" si="272"/>
        <v>0</v>
      </c>
      <c r="I3500" s="141">
        <f t="shared" si="273"/>
        <v>0</v>
      </c>
      <c r="J3500">
        <f t="shared" si="274"/>
        <v>0</v>
      </c>
      <c r="K3500" s="141">
        <f t="shared" si="275"/>
        <v>0</v>
      </c>
    </row>
    <row r="3501" spans="7:11" hidden="1" x14ac:dyDescent="0.25">
      <c r="G3501">
        <f t="shared" si="271"/>
        <v>0</v>
      </c>
      <c r="H3501">
        <f t="shared" si="272"/>
        <v>0</v>
      </c>
      <c r="I3501" s="141">
        <f t="shared" si="273"/>
        <v>0</v>
      </c>
      <c r="J3501">
        <f t="shared" si="274"/>
        <v>0</v>
      </c>
      <c r="K3501" s="141">
        <f t="shared" si="275"/>
        <v>0</v>
      </c>
    </row>
    <row r="3502" spans="7:11" hidden="1" x14ac:dyDescent="0.25">
      <c r="G3502">
        <f t="shared" si="271"/>
        <v>0</v>
      </c>
      <c r="H3502">
        <f t="shared" si="272"/>
        <v>0</v>
      </c>
      <c r="I3502" s="141">
        <f t="shared" si="273"/>
        <v>0</v>
      </c>
      <c r="J3502">
        <f t="shared" si="274"/>
        <v>0</v>
      </c>
      <c r="K3502" s="141">
        <f t="shared" si="275"/>
        <v>0</v>
      </c>
    </row>
    <row r="3503" spans="7:11" hidden="1" x14ac:dyDescent="0.25">
      <c r="G3503">
        <f t="shared" si="271"/>
        <v>0</v>
      </c>
      <c r="H3503">
        <f t="shared" si="272"/>
        <v>0</v>
      </c>
      <c r="I3503" s="141">
        <f t="shared" si="273"/>
        <v>0</v>
      </c>
      <c r="J3503">
        <f t="shared" si="274"/>
        <v>0</v>
      </c>
      <c r="K3503" s="141">
        <f t="shared" si="275"/>
        <v>0</v>
      </c>
    </row>
    <row r="3504" spans="7:11" hidden="1" x14ac:dyDescent="0.25">
      <c r="G3504">
        <f t="shared" si="271"/>
        <v>0</v>
      </c>
      <c r="H3504">
        <f t="shared" si="272"/>
        <v>0</v>
      </c>
      <c r="I3504" s="141">
        <f t="shared" si="273"/>
        <v>0</v>
      </c>
      <c r="J3504">
        <f t="shared" si="274"/>
        <v>0</v>
      </c>
      <c r="K3504" s="141">
        <f t="shared" si="275"/>
        <v>0</v>
      </c>
    </row>
    <row r="3505" spans="7:11" hidden="1" x14ac:dyDescent="0.25">
      <c r="G3505">
        <f t="shared" si="271"/>
        <v>0</v>
      </c>
      <c r="H3505">
        <f t="shared" si="272"/>
        <v>0</v>
      </c>
      <c r="I3505" s="141">
        <f t="shared" si="273"/>
        <v>0</v>
      </c>
      <c r="J3505">
        <f t="shared" si="274"/>
        <v>0</v>
      </c>
      <c r="K3505" s="141">
        <f t="shared" si="275"/>
        <v>0</v>
      </c>
    </row>
    <row r="3506" spans="7:11" hidden="1" x14ac:dyDescent="0.25">
      <c r="G3506">
        <f t="shared" si="271"/>
        <v>0</v>
      </c>
      <c r="H3506">
        <f t="shared" si="272"/>
        <v>0</v>
      </c>
      <c r="I3506" s="141">
        <f t="shared" si="273"/>
        <v>0</v>
      </c>
      <c r="J3506">
        <f t="shared" si="274"/>
        <v>0</v>
      </c>
      <c r="K3506" s="141">
        <f t="shared" si="275"/>
        <v>0</v>
      </c>
    </row>
    <row r="3507" spans="7:11" hidden="1" x14ac:dyDescent="0.25">
      <c r="G3507">
        <f t="shared" si="271"/>
        <v>0</v>
      </c>
      <c r="H3507">
        <f t="shared" si="272"/>
        <v>0</v>
      </c>
      <c r="I3507" s="141">
        <f t="shared" si="273"/>
        <v>0</v>
      </c>
      <c r="J3507">
        <f t="shared" si="274"/>
        <v>0</v>
      </c>
      <c r="K3507" s="141">
        <f t="shared" si="275"/>
        <v>0</v>
      </c>
    </row>
    <row r="3508" spans="7:11" hidden="1" x14ac:dyDescent="0.25">
      <c r="G3508">
        <f t="shared" si="271"/>
        <v>0</v>
      </c>
      <c r="H3508">
        <f t="shared" si="272"/>
        <v>0</v>
      </c>
      <c r="I3508" s="141">
        <f t="shared" si="273"/>
        <v>0</v>
      </c>
      <c r="J3508">
        <f t="shared" si="274"/>
        <v>0</v>
      </c>
      <c r="K3508" s="141">
        <f t="shared" si="275"/>
        <v>0</v>
      </c>
    </row>
    <row r="3509" spans="7:11" hidden="1" x14ac:dyDescent="0.25">
      <c r="G3509">
        <f t="shared" si="271"/>
        <v>0</v>
      </c>
      <c r="H3509">
        <f t="shared" si="272"/>
        <v>0</v>
      </c>
      <c r="I3509" s="141">
        <f t="shared" si="273"/>
        <v>0</v>
      </c>
      <c r="J3509">
        <f t="shared" si="274"/>
        <v>0</v>
      </c>
      <c r="K3509" s="141">
        <f t="shared" si="275"/>
        <v>0</v>
      </c>
    </row>
    <row r="3510" spans="7:11" hidden="1" x14ac:dyDescent="0.25">
      <c r="G3510">
        <f t="shared" si="271"/>
        <v>0</v>
      </c>
      <c r="H3510">
        <f t="shared" si="272"/>
        <v>0</v>
      </c>
      <c r="I3510" s="141">
        <f t="shared" si="273"/>
        <v>0</v>
      </c>
      <c r="J3510">
        <f t="shared" si="274"/>
        <v>0</v>
      </c>
      <c r="K3510" s="141">
        <f t="shared" si="275"/>
        <v>0</v>
      </c>
    </row>
    <row r="3511" spans="7:11" hidden="1" x14ac:dyDescent="0.25">
      <c r="G3511">
        <f t="shared" si="271"/>
        <v>0</v>
      </c>
      <c r="H3511">
        <f t="shared" si="272"/>
        <v>0</v>
      </c>
      <c r="I3511" s="141">
        <f t="shared" si="273"/>
        <v>0</v>
      </c>
      <c r="J3511">
        <f t="shared" si="274"/>
        <v>0</v>
      </c>
      <c r="K3511" s="141">
        <f t="shared" si="275"/>
        <v>0</v>
      </c>
    </row>
    <row r="3512" spans="7:11" hidden="1" x14ac:dyDescent="0.25">
      <c r="G3512">
        <f t="shared" si="271"/>
        <v>0</v>
      </c>
      <c r="H3512">
        <f t="shared" si="272"/>
        <v>0</v>
      </c>
      <c r="I3512" s="141">
        <f t="shared" si="273"/>
        <v>0</v>
      </c>
      <c r="J3512">
        <f t="shared" si="274"/>
        <v>0</v>
      </c>
      <c r="K3512" s="141">
        <f t="shared" si="275"/>
        <v>0</v>
      </c>
    </row>
    <row r="3513" spans="7:11" hidden="1" x14ac:dyDescent="0.25">
      <c r="G3513">
        <f t="shared" si="271"/>
        <v>0</v>
      </c>
      <c r="H3513">
        <f t="shared" si="272"/>
        <v>0</v>
      </c>
      <c r="I3513" s="141">
        <f t="shared" si="273"/>
        <v>0</v>
      </c>
      <c r="J3513">
        <f t="shared" si="274"/>
        <v>0</v>
      </c>
      <c r="K3513" s="141">
        <f t="shared" si="275"/>
        <v>0</v>
      </c>
    </row>
    <row r="3514" spans="7:11" hidden="1" x14ac:dyDescent="0.25">
      <c r="G3514">
        <f t="shared" si="271"/>
        <v>0</v>
      </c>
      <c r="H3514">
        <f t="shared" si="272"/>
        <v>0</v>
      </c>
      <c r="I3514" s="141">
        <f t="shared" si="273"/>
        <v>0</v>
      </c>
      <c r="J3514">
        <f t="shared" si="274"/>
        <v>0</v>
      </c>
      <c r="K3514" s="141">
        <f t="shared" si="275"/>
        <v>0</v>
      </c>
    </row>
    <row r="3515" spans="7:11" hidden="1" x14ac:dyDescent="0.25">
      <c r="G3515">
        <f t="shared" si="271"/>
        <v>0</v>
      </c>
      <c r="H3515">
        <f t="shared" si="272"/>
        <v>0</v>
      </c>
      <c r="I3515" s="141">
        <f t="shared" si="273"/>
        <v>0</v>
      </c>
      <c r="J3515">
        <f t="shared" si="274"/>
        <v>0</v>
      </c>
      <c r="K3515" s="141">
        <f t="shared" si="275"/>
        <v>0</v>
      </c>
    </row>
    <row r="3516" spans="7:11" hidden="1" x14ac:dyDescent="0.25">
      <c r="G3516">
        <f t="shared" si="271"/>
        <v>0</v>
      </c>
      <c r="H3516">
        <f t="shared" si="272"/>
        <v>0</v>
      </c>
      <c r="I3516" s="141">
        <f t="shared" si="273"/>
        <v>0</v>
      </c>
      <c r="J3516">
        <f t="shared" si="274"/>
        <v>0</v>
      </c>
      <c r="K3516" s="141">
        <f t="shared" si="275"/>
        <v>0</v>
      </c>
    </row>
    <row r="3517" spans="7:11" hidden="1" x14ac:dyDescent="0.25">
      <c r="G3517">
        <f t="shared" si="271"/>
        <v>0</v>
      </c>
      <c r="H3517">
        <f t="shared" si="272"/>
        <v>0</v>
      </c>
      <c r="I3517" s="141">
        <f t="shared" si="273"/>
        <v>0</v>
      </c>
      <c r="J3517">
        <f t="shared" si="274"/>
        <v>0</v>
      </c>
      <c r="K3517" s="141">
        <f t="shared" si="275"/>
        <v>0</v>
      </c>
    </row>
    <row r="3518" spans="7:11" hidden="1" x14ac:dyDescent="0.25">
      <c r="G3518">
        <f t="shared" si="271"/>
        <v>0</v>
      </c>
      <c r="H3518">
        <f t="shared" si="272"/>
        <v>0</v>
      </c>
      <c r="I3518" s="141">
        <f t="shared" si="273"/>
        <v>0</v>
      </c>
      <c r="J3518">
        <f t="shared" si="274"/>
        <v>0</v>
      </c>
      <c r="K3518" s="141">
        <f t="shared" si="275"/>
        <v>0</v>
      </c>
    </row>
    <row r="3519" spans="7:11" hidden="1" x14ac:dyDescent="0.25">
      <c r="G3519">
        <f t="shared" si="271"/>
        <v>0</v>
      </c>
      <c r="H3519">
        <f t="shared" si="272"/>
        <v>0</v>
      </c>
      <c r="I3519" s="141">
        <f t="shared" si="273"/>
        <v>0</v>
      </c>
      <c r="J3519">
        <f t="shared" si="274"/>
        <v>0</v>
      </c>
      <c r="K3519" s="141">
        <f t="shared" si="275"/>
        <v>0</v>
      </c>
    </row>
    <row r="3520" spans="7:11" hidden="1" x14ac:dyDescent="0.25">
      <c r="G3520">
        <f t="shared" si="271"/>
        <v>0</v>
      </c>
      <c r="H3520">
        <f t="shared" si="272"/>
        <v>0</v>
      </c>
      <c r="I3520" s="141">
        <f t="shared" si="273"/>
        <v>0</v>
      </c>
      <c r="J3520">
        <f t="shared" si="274"/>
        <v>0</v>
      </c>
      <c r="K3520" s="141">
        <f t="shared" si="275"/>
        <v>0</v>
      </c>
    </row>
    <row r="3521" spans="7:11" hidden="1" x14ac:dyDescent="0.25">
      <c r="G3521">
        <f t="shared" si="271"/>
        <v>0</v>
      </c>
      <c r="H3521">
        <f t="shared" si="272"/>
        <v>0</v>
      </c>
      <c r="I3521" s="141">
        <f t="shared" si="273"/>
        <v>0</v>
      </c>
      <c r="J3521">
        <f t="shared" si="274"/>
        <v>0</v>
      </c>
      <c r="K3521" s="141">
        <f t="shared" si="275"/>
        <v>0</v>
      </c>
    </row>
    <row r="3522" spans="7:11" hidden="1" x14ac:dyDescent="0.25">
      <c r="G3522">
        <f t="shared" ref="G3522:G3585" si="276">A3522</f>
        <v>0</v>
      </c>
      <c r="H3522">
        <f t="shared" ref="H3522:H3585" si="277">B3522</f>
        <v>0</v>
      </c>
      <c r="I3522" s="141">
        <f t="shared" ref="I3522:I3585" si="278">C3522</f>
        <v>0</v>
      </c>
      <c r="J3522">
        <f t="shared" ref="J3522:J3585" si="279">D3522</f>
        <v>0</v>
      </c>
      <c r="K3522" s="141">
        <f t="shared" ref="K3522:K3585" si="280">E3522</f>
        <v>0</v>
      </c>
    </row>
    <row r="3523" spans="7:11" hidden="1" x14ac:dyDescent="0.25">
      <c r="G3523">
        <f t="shared" si="276"/>
        <v>0</v>
      </c>
      <c r="H3523">
        <f t="shared" si="277"/>
        <v>0</v>
      </c>
      <c r="I3523" s="141">
        <f t="shared" si="278"/>
        <v>0</v>
      </c>
      <c r="J3523">
        <f t="shared" si="279"/>
        <v>0</v>
      </c>
      <c r="K3523" s="141">
        <f t="shared" si="280"/>
        <v>0</v>
      </c>
    </row>
    <row r="3524" spans="7:11" hidden="1" x14ac:dyDescent="0.25">
      <c r="G3524">
        <f t="shared" si="276"/>
        <v>0</v>
      </c>
      <c r="H3524">
        <f t="shared" si="277"/>
        <v>0</v>
      </c>
      <c r="I3524" s="141">
        <f t="shared" si="278"/>
        <v>0</v>
      </c>
      <c r="J3524">
        <f t="shared" si="279"/>
        <v>0</v>
      </c>
      <c r="K3524" s="141">
        <f t="shared" si="280"/>
        <v>0</v>
      </c>
    </row>
    <row r="3525" spans="7:11" hidden="1" x14ac:dyDescent="0.25">
      <c r="G3525">
        <f t="shared" si="276"/>
        <v>0</v>
      </c>
      <c r="H3525">
        <f t="shared" si="277"/>
        <v>0</v>
      </c>
      <c r="I3525" s="141">
        <f t="shared" si="278"/>
        <v>0</v>
      </c>
      <c r="J3525">
        <f t="shared" si="279"/>
        <v>0</v>
      </c>
      <c r="K3525" s="141">
        <f t="shared" si="280"/>
        <v>0</v>
      </c>
    </row>
    <row r="3526" spans="7:11" hidden="1" x14ac:dyDescent="0.25">
      <c r="G3526">
        <f t="shared" si="276"/>
        <v>0</v>
      </c>
      <c r="H3526">
        <f t="shared" si="277"/>
        <v>0</v>
      </c>
      <c r="I3526" s="141">
        <f t="shared" si="278"/>
        <v>0</v>
      </c>
      <c r="J3526">
        <f t="shared" si="279"/>
        <v>0</v>
      </c>
      <c r="K3526" s="141">
        <f t="shared" si="280"/>
        <v>0</v>
      </c>
    </row>
    <row r="3527" spans="7:11" hidden="1" x14ac:dyDescent="0.25">
      <c r="G3527">
        <f t="shared" si="276"/>
        <v>0</v>
      </c>
      <c r="H3527">
        <f t="shared" si="277"/>
        <v>0</v>
      </c>
      <c r="I3527" s="141">
        <f t="shared" si="278"/>
        <v>0</v>
      </c>
      <c r="J3527">
        <f t="shared" si="279"/>
        <v>0</v>
      </c>
      <c r="K3527" s="141">
        <f t="shared" si="280"/>
        <v>0</v>
      </c>
    </row>
    <row r="3528" spans="7:11" hidden="1" x14ac:dyDescent="0.25">
      <c r="G3528">
        <f t="shared" si="276"/>
        <v>0</v>
      </c>
      <c r="H3528">
        <f t="shared" si="277"/>
        <v>0</v>
      </c>
      <c r="I3528" s="141">
        <f t="shared" si="278"/>
        <v>0</v>
      </c>
      <c r="J3528">
        <f t="shared" si="279"/>
        <v>0</v>
      </c>
      <c r="K3528" s="141">
        <f t="shared" si="280"/>
        <v>0</v>
      </c>
    </row>
    <row r="3529" spans="7:11" hidden="1" x14ac:dyDescent="0.25">
      <c r="G3529">
        <f t="shared" si="276"/>
        <v>0</v>
      </c>
      <c r="H3529">
        <f t="shared" si="277"/>
        <v>0</v>
      </c>
      <c r="I3529" s="141">
        <f t="shared" si="278"/>
        <v>0</v>
      </c>
      <c r="J3529">
        <f t="shared" si="279"/>
        <v>0</v>
      </c>
      <c r="K3529" s="141">
        <f t="shared" si="280"/>
        <v>0</v>
      </c>
    </row>
    <row r="3530" spans="7:11" hidden="1" x14ac:dyDescent="0.25">
      <c r="G3530">
        <f t="shared" si="276"/>
        <v>0</v>
      </c>
      <c r="H3530">
        <f t="shared" si="277"/>
        <v>0</v>
      </c>
      <c r="I3530" s="141">
        <f t="shared" si="278"/>
        <v>0</v>
      </c>
      <c r="J3530">
        <f t="shared" si="279"/>
        <v>0</v>
      </c>
      <c r="K3530" s="141">
        <f t="shared" si="280"/>
        <v>0</v>
      </c>
    </row>
    <row r="3531" spans="7:11" hidden="1" x14ac:dyDescent="0.25">
      <c r="G3531">
        <f t="shared" si="276"/>
        <v>0</v>
      </c>
      <c r="H3531">
        <f t="shared" si="277"/>
        <v>0</v>
      </c>
      <c r="I3531" s="141">
        <f t="shared" si="278"/>
        <v>0</v>
      </c>
      <c r="J3531">
        <f t="shared" si="279"/>
        <v>0</v>
      </c>
      <c r="K3531" s="141">
        <f t="shared" si="280"/>
        <v>0</v>
      </c>
    </row>
    <row r="3532" spans="7:11" hidden="1" x14ac:dyDescent="0.25">
      <c r="G3532">
        <f t="shared" si="276"/>
        <v>0</v>
      </c>
      <c r="H3532">
        <f t="shared" si="277"/>
        <v>0</v>
      </c>
      <c r="I3532" s="141">
        <f t="shared" si="278"/>
        <v>0</v>
      </c>
      <c r="J3532">
        <f t="shared" si="279"/>
        <v>0</v>
      </c>
      <c r="K3532" s="141">
        <f t="shared" si="280"/>
        <v>0</v>
      </c>
    </row>
    <row r="3533" spans="7:11" hidden="1" x14ac:dyDescent="0.25">
      <c r="G3533">
        <f t="shared" si="276"/>
        <v>0</v>
      </c>
      <c r="H3533">
        <f t="shared" si="277"/>
        <v>0</v>
      </c>
      <c r="I3533" s="141">
        <f t="shared" si="278"/>
        <v>0</v>
      </c>
      <c r="J3533">
        <f t="shared" si="279"/>
        <v>0</v>
      </c>
      <c r="K3533" s="141">
        <f t="shared" si="280"/>
        <v>0</v>
      </c>
    </row>
    <row r="3534" spans="7:11" hidden="1" x14ac:dyDescent="0.25">
      <c r="G3534">
        <f t="shared" si="276"/>
        <v>0</v>
      </c>
      <c r="H3534">
        <f t="shared" si="277"/>
        <v>0</v>
      </c>
      <c r="I3534" s="141">
        <f t="shared" si="278"/>
        <v>0</v>
      </c>
      <c r="J3534">
        <f t="shared" si="279"/>
        <v>0</v>
      </c>
      <c r="K3534" s="141">
        <f t="shared" si="280"/>
        <v>0</v>
      </c>
    </row>
    <row r="3535" spans="7:11" hidden="1" x14ac:dyDescent="0.25">
      <c r="G3535">
        <f t="shared" si="276"/>
        <v>0</v>
      </c>
      <c r="H3535">
        <f t="shared" si="277"/>
        <v>0</v>
      </c>
      <c r="I3535" s="141">
        <f t="shared" si="278"/>
        <v>0</v>
      </c>
      <c r="J3535">
        <f t="shared" si="279"/>
        <v>0</v>
      </c>
      <c r="K3535" s="141">
        <f t="shared" si="280"/>
        <v>0</v>
      </c>
    </row>
    <row r="3536" spans="7:11" hidden="1" x14ac:dyDescent="0.25">
      <c r="G3536">
        <f t="shared" si="276"/>
        <v>0</v>
      </c>
      <c r="H3536">
        <f t="shared" si="277"/>
        <v>0</v>
      </c>
      <c r="I3536" s="141">
        <f t="shared" si="278"/>
        <v>0</v>
      </c>
      <c r="J3536">
        <f t="shared" si="279"/>
        <v>0</v>
      </c>
      <c r="K3536" s="141">
        <f t="shared" si="280"/>
        <v>0</v>
      </c>
    </row>
    <row r="3537" spans="7:11" hidden="1" x14ac:dyDescent="0.25">
      <c r="G3537">
        <f t="shared" si="276"/>
        <v>0</v>
      </c>
      <c r="H3537">
        <f t="shared" si="277"/>
        <v>0</v>
      </c>
      <c r="I3537" s="141">
        <f t="shared" si="278"/>
        <v>0</v>
      </c>
      <c r="J3537">
        <f t="shared" si="279"/>
        <v>0</v>
      </c>
      <c r="K3537" s="141">
        <f t="shared" si="280"/>
        <v>0</v>
      </c>
    </row>
    <row r="3538" spans="7:11" hidden="1" x14ac:dyDescent="0.25">
      <c r="G3538">
        <f t="shared" si="276"/>
        <v>0</v>
      </c>
      <c r="H3538">
        <f t="shared" si="277"/>
        <v>0</v>
      </c>
      <c r="I3538" s="141">
        <f t="shared" si="278"/>
        <v>0</v>
      </c>
      <c r="J3538">
        <f t="shared" si="279"/>
        <v>0</v>
      </c>
      <c r="K3538" s="141">
        <f t="shared" si="280"/>
        <v>0</v>
      </c>
    </row>
    <row r="3539" spans="7:11" hidden="1" x14ac:dyDescent="0.25">
      <c r="G3539">
        <f t="shared" si="276"/>
        <v>0</v>
      </c>
      <c r="H3539">
        <f t="shared" si="277"/>
        <v>0</v>
      </c>
      <c r="I3539" s="141">
        <f t="shared" si="278"/>
        <v>0</v>
      </c>
      <c r="J3539">
        <f t="shared" si="279"/>
        <v>0</v>
      </c>
      <c r="K3539" s="141">
        <f t="shared" si="280"/>
        <v>0</v>
      </c>
    </row>
    <row r="3540" spans="7:11" hidden="1" x14ac:dyDescent="0.25">
      <c r="G3540">
        <f t="shared" si="276"/>
        <v>0</v>
      </c>
      <c r="H3540">
        <f t="shared" si="277"/>
        <v>0</v>
      </c>
      <c r="I3540" s="141">
        <f t="shared" si="278"/>
        <v>0</v>
      </c>
      <c r="J3540">
        <f t="shared" si="279"/>
        <v>0</v>
      </c>
      <c r="K3540" s="141">
        <f t="shared" si="280"/>
        <v>0</v>
      </c>
    </row>
    <row r="3541" spans="7:11" hidden="1" x14ac:dyDescent="0.25">
      <c r="G3541">
        <f t="shared" si="276"/>
        <v>0</v>
      </c>
      <c r="H3541">
        <f t="shared" si="277"/>
        <v>0</v>
      </c>
      <c r="I3541" s="141">
        <f t="shared" si="278"/>
        <v>0</v>
      </c>
      <c r="J3541">
        <f t="shared" si="279"/>
        <v>0</v>
      </c>
      <c r="K3541" s="141">
        <f t="shared" si="280"/>
        <v>0</v>
      </c>
    </row>
    <row r="3542" spans="7:11" hidden="1" x14ac:dyDescent="0.25">
      <c r="G3542">
        <f t="shared" si="276"/>
        <v>0</v>
      </c>
      <c r="H3542">
        <f t="shared" si="277"/>
        <v>0</v>
      </c>
      <c r="I3542" s="141">
        <f t="shared" si="278"/>
        <v>0</v>
      </c>
      <c r="J3542">
        <f t="shared" si="279"/>
        <v>0</v>
      </c>
      <c r="K3542" s="141">
        <f t="shared" si="280"/>
        <v>0</v>
      </c>
    </row>
    <row r="3543" spans="7:11" hidden="1" x14ac:dyDescent="0.25">
      <c r="G3543">
        <f t="shared" si="276"/>
        <v>0</v>
      </c>
      <c r="H3543">
        <f t="shared" si="277"/>
        <v>0</v>
      </c>
      <c r="I3543" s="141">
        <f t="shared" si="278"/>
        <v>0</v>
      </c>
      <c r="J3543">
        <f t="shared" si="279"/>
        <v>0</v>
      </c>
      <c r="K3543" s="141">
        <f t="shared" si="280"/>
        <v>0</v>
      </c>
    </row>
    <row r="3544" spans="7:11" hidden="1" x14ac:dyDescent="0.25">
      <c r="G3544">
        <f t="shared" si="276"/>
        <v>0</v>
      </c>
      <c r="H3544">
        <f t="shared" si="277"/>
        <v>0</v>
      </c>
      <c r="I3544" s="141">
        <f t="shared" si="278"/>
        <v>0</v>
      </c>
      <c r="J3544">
        <f t="shared" si="279"/>
        <v>0</v>
      </c>
      <c r="K3544" s="141">
        <f t="shared" si="280"/>
        <v>0</v>
      </c>
    </row>
    <row r="3545" spans="7:11" hidden="1" x14ac:dyDescent="0.25">
      <c r="G3545">
        <f t="shared" si="276"/>
        <v>0</v>
      </c>
      <c r="H3545">
        <f t="shared" si="277"/>
        <v>0</v>
      </c>
      <c r="I3545" s="141">
        <f t="shared" si="278"/>
        <v>0</v>
      </c>
      <c r="J3545">
        <f t="shared" si="279"/>
        <v>0</v>
      </c>
      <c r="K3545" s="141">
        <f t="shared" si="280"/>
        <v>0</v>
      </c>
    </row>
    <row r="3546" spans="7:11" hidden="1" x14ac:dyDescent="0.25">
      <c r="G3546">
        <f t="shared" si="276"/>
        <v>0</v>
      </c>
      <c r="H3546">
        <f t="shared" si="277"/>
        <v>0</v>
      </c>
      <c r="I3546" s="141">
        <f t="shared" si="278"/>
        <v>0</v>
      </c>
      <c r="J3546">
        <f t="shared" si="279"/>
        <v>0</v>
      </c>
      <c r="K3546" s="141">
        <f t="shared" si="280"/>
        <v>0</v>
      </c>
    </row>
    <row r="3547" spans="7:11" hidden="1" x14ac:dyDescent="0.25">
      <c r="G3547">
        <f t="shared" si="276"/>
        <v>0</v>
      </c>
      <c r="H3547">
        <f t="shared" si="277"/>
        <v>0</v>
      </c>
      <c r="I3547" s="141">
        <f t="shared" si="278"/>
        <v>0</v>
      </c>
      <c r="J3547">
        <f t="shared" si="279"/>
        <v>0</v>
      </c>
      <c r="K3547" s="141">
        <f t="shared" si="280"/>
        <v>0</v>
      </c>
    </row>
    <row r="3548" spans="7:11" hidden="1" x14ac:dyDescent="0.25">
      <c r="G3548">
        <f t="shared" si="276"/>
        <v>0</v>
      </c>
      <c r="H3548">
        <f t="shared" si="277"/>
        <v>0</v>
      </c>
      <c r="I3548" s="141">
        <f t="shared" si="278"/>
        <v>0</v>
      </c>
      <c r="J3548">
        <f t="shared" si="279"/>
        <v>0</v>
      </c>
      <c r="K3548" s="141">
        <f t="shared" si="280"/>
        <v>0</v>
      </c>
    </row>
    <row r="3549" spans="7:11" hidden="1" x14ac:dyDescent="0.25">
      <c r="G3549">
        <f t="shared" si="276"/>
        <v>0</v>
      </c>
      <c r="H3549">
        <f t="shared" si="277"/>
        <v>0</v>
      </c>
      <c r="I3549" s="141">
        <f t="shared" si="278"/>
        <v>0</v>
      </c>
      <c r="J3549">
        <f t="shared" si="279"/>
        <v>0</v>
      </c>
      <c r="K3549" s="141">
        <f t="shared" si="280"/>
        <v>0</v>
      </c>
    </row>
    <row r="3550" spans="7:11" hidden="1" x14ac:dyDescent="0.25">
      <c r="G3550">
        <f t="shared" si="276"/>
        <v>0</v>
      </c>
      <c r="H3550">
        <f t="shared" si="277"/>
        <v>0</v>
      </c>
      <c r="I3550" s="141">
        <f t="shared" si="278"/>
        <v>0</v>
      </c>
      <c r="J3550">
        <f t="shared" si="279"/>
        <v>0</v>
      </c>
      <c r="K3550" s="141">
        <f t="shared" si="280"/>
        <v>0</v>
      </c>
    </row>
    <row r="3551" spans="7:11" hidden="1" x14ac:dyDescent="0.25">
      <c r="G3551">
        <f t="shared" si="276"/>
        <v>0</v>
      </c>
      <c r="H3551">
        <f t="shared" si="277"/>
        <v>0</v>
      </c>
      <c r="I3551" s="141">
        <f t="shared" si="278"/>
        <v>0</v>
      </c>
      <c r="J3551">
        <f t="shared" si="279"/>
        <v>0</v>
      </c>
      <c r="K3551" s="141">
        <f t="shared" si="280"/>
        <v>0</v>
      </c>
    </row>
    <row r="3552" spans="7:11" hidden="1" x14ac:dyDescent="0.25">
      <c r="G3552">
        <f t="shared" si="276"/>
        <v>0</v>
      </c>
      <c r="H3552">
        <f t="shared" si="277"/>
        <v>0</v>
      </c>
      <c r="I3552" s="141">
        <f t="shared" si="278"/>
        <v>0</v>
      </c>
      <c r="J3552">
        <f t="shared" si="279"/>
        <v>0</v>
      </c>
      <c r="K3552" s="141">
        <f t="shared" si="280"/>
        <v>0</v>
      </c>
    </row>
    <row r="3553" spans="7:11" hidden="1" x14ac:dyDescent="0.25">
      <c r="G3553">
        <f t="shared" si="276"/>
        <v>0</v>
      </c>
      <c r="H3553">
        <f t="shared" si="277"/>
        <v>0</v>
      </c>
      <c r="I3553" s="141">
        <f t="shared" si="278"/>
        <v>0</v>
      </c>
      <c r="J3553">
        <f t="shared" si="279"/>
        <v>0</v>
      </c>
      <c r="K3553" s="141">
        <f t="shared" si="280"/>
        <v>0</v>
      </c>
    </row>
    <row r="3554" spans="7:11" hidden="1" x14ac:dyDescent="0.25">
      <c r="G3554">
        <f t="shared" si="276"/>
        <v>0</v>
      </c>
      <c r="H3554">
        <f t="shared" si="277"/>
        <v>0</v>
      </c>
      <c r="I3554" s="141">
        <f t="shared" si="278"/>
        <v>0</v>
      </c>
      <c r="J3554">
        <f t="shared" si="279"/>
        <v>0</v>
      </c>
      <c r="K3554" s="141">
        <f t="shared" si="280"/>
        <v>0</v>
      </c>
    </row>
    <row r="3555" spans="7:11" hidden="1" x14ac:dyDescent="0.25">
      <c r="G3555">
        <f t="shared" si="276"/>
        <v>0</v>
      </c>
      <c r="H3555">
        <f t="shared" si="277"/>
        <v>0</v>
      </c>
      <c r="I3555" s="141">
        <f t="shared" si="278"/>
        <v>0</v>
      </c>
      <c r="J3555">
        <f t="shared" si="279"/>
        <v>0</v>
      </c>
      <c r="K3555" s="141">
        <f t="shared" si="280"/>
        <v>0</v>
      </c>
    </row>
    <row r="3556" spans="7:11" hidden="1" x14ac:dyDescent="0.25">
      <c r="G3556">
        <f t="shared" si="276"/>
        <v>0</v>
      </c>
      <c r="H3556">
        <f t="shared" si="277"/>
        <v>0</v>
      </c>
      <c r="I3556" s="141">
        <f t="shared" si="278"/>
        <v>0</v>
      </c>
      <c r="J3556">
        <f t="shared" si="279"/>
        <v>0</v>
      </c>
      <c r="K3556" s="141">
        <f t="shared" si="280"/>
        <v>0</v>
      </c>
    </row>
    <row r="3557" spans="7:11" hidden="1" x14ac:dyDescent="0.25">
      <c r="G3557">
        <f t="shared" si="276"/>
        <v>0</v>
      </c>
      <c r="H3557">
        <f t="shared" si="277"/>
        <v>0</v>
      </c>
      <c r="I3557" s="141">
        <f t="shared" si="278"/>
        <v>0</v>
      </c>
      <c r="J3557">
        <f t="shared" si="279"/>
        <v>0</v>
      </c>
      <c r="K3557" s="141">
        <f t="shared" si="280"/>
        <v>0</v>
      </c>
    </row>
    <row r="3558" spans="7:11" hidden="1" x14ac:dyDescent="0.25">
      <c r="G3558">
        <f t="shared" si="276"/>
        <v>0</v>
      </c>
      <c r="H3558">
        <f t="shared" si="277"/>
        <v>0</v>
      </c>
      <c r="I3558" s="141">
        <f t="shared" si="278"/>
        <v>0</v>
      </c>
      <c r="J3558">
        <f t="shared" si="279"/>
        <v>0</v>
      </c>
      <c r="K3558" s="141">
        <f t="shared" si="280"/>
        <v>0</v>
      </c>
    </row>
    <row r="3559" spans="7:11" hidden="1" x14ac:dyDescent="0.25">
      <c r="G3559">
        <f t="shared" si="276"/>
        <v>0</v>
      </c>
      <c r="H3559">
        <f t="shared" si="277"/>
        <v>0</v>
      </c>
      <c r="I3559" s="141">
        <f t="shared" si="278"/>
        <v>0</v>
      </c>
      <c r="J3559">
        <f t="shared" si="279"/>
        <v>0</v>
      </c>
      <c r="K3559" s="141">
        <f t="shared" si="280"/>
        <v>0</v>
      </c>
    </row>
    <row r="3560" spans="7:11" hidden="1" x14ac:dyDescent="0.25">
      <c r="G3560">
        <f t="shared" si="276"/>
        <v>0</v>
      </c>
      <c r="H3560">
        <f t="shared" si="277"/>
        <v>0</v>
      </c>
      <c r="I3560" s="141">
        <f t="shared" si="278"/>
        <v>0</v>
      </c>
      <c r="J3560">
        <f t="shared" si="279"/>
        <v>0</v>
      </c>
      <c r="K3560" s="141">
        <f t="shared" si="280"/>
        <v>0</v>
      </c>
    </row>
    <row r="3561" spans="7:11" hidden="1" x14ac:dyDescent="0.25">
      <c r="G3561">
        <f t="shared" si="276"/>
        <v>0</v>
      </c>
      <c r="H3561">
        <f t="shared" si="277"/>
        <v>0</v>
      </c>
      <c r="I3561" s="141">
        <f t="shared" si="278"/>
        <v>0</v>
      </c>
      <c r="J3561">
        <f t="shared" si="279"/>
        <v>0</v>
      </c>
      <c r="K3561" s="141">
        <f t="shared" si="280"/>
        <v>0</v>
      </c>
    </row>
    <row r="3562" spans="7:11" hidden="1" x14ac:dyDescent="0.25">
      <c r="G3562">
        <f t="shared" si="276"/>
        <v>0</v>
      </c>
      <c r="H3562">
        <f t="shared" si="277"/>
        <v>0</v>
      </c>
      <c r="I3562" s="141">
        <f t="shared" si="278"/>
        <v>0</v>
      </c>
      <c r="J3562">
        <f t="shared" si="279"/>
        <v>0</v>
      </c>
      <c r="K3562" s="141">
        <f t="shared" si="280"/>
        <v>0</v>
      </c>
    </row>
    <row r="3563" spans="7:11" hidden="1" x14ac:dyDescent="0.25">
      <c r="G3563">
        <f t="shared" si="276"/>
        <v>0</v>
      </c>
      <c r="H3563">
        <f t="shared" si="277"/>
        <v>0</v>
      </c>
      <c r="I3563" s="141">
        <f t="shared" si="278"/>
        <v>0</v>
      </c>
      <c r="J3563">
        <f t="shared" si="279"/>
        <v>0</v>
      </c>
      <c r="K3563" s="141">
        <f t="shared" si="280"/>
        <v>0</v>
      </c>
    </row>
    <row r="3564" spans="7:11" hidden="1" x14ac:dyDescent="0.25">
      <c r="G3564">
        <f t="shared" si="276"/>
        <v>0</v>
      </c>
      <c r="H3564">
        <f t="shared" si="277"/>
        <v>0</v>
      </c>
      <c r="I3564" s="141">
        <f t="shared" si="278"/>
        <v>0</v>
      </c>
      <c r="J3564">
        <f t="shared" si="279"/>
        <v>0</v>
      </c>
      <c r="K3564" s="141">
        <f t="shared" si="280"/>
        <v>0</v>
      </c>
    </row>
    <row r="3565" spans="7:11" hidden="1" x14ac:dyDescent="0.25">
      <c r="G3565">
        <f t="shared" si="276"/>
        <v>0</v>
      </c>
      <c r="H3565">
        <f t="shared" si="277"/>
        <v>0</v>
      </c>
      <c r="I3565" s="141">
        <f t="shared" si="278"/>
        <v>0</v>
      </c>
      <c r="J3565">
        <f t="shared" si="279"/>
        <v>0</v>
      </c>
      <c r="K3565" s="141">
        <f t="shared" si="280"/>
        <v>0</v>
      </c>
    </row>
    <row r="3566" spans="7:11" hidden="1" x14ac:dyDescent="0.25">
      <c r="G3566">
        <f t="shared" si="276"/>
        <v>0</v>
      </c>
      <c r="H3566">
        <f t="shared" si="277"/>
        <v>0</v>
      </c>
      <c r="I3566" s="141">
        <f t="shared" si="278"/>
        <v>0</v>
      </c>
      <c r="J3566">
        <f t="shared" si="279"/>
        <v>0</v>
      </c>
      <c r="K3566" s="141">
        <f t="shared" si="280"/>
        <v>0</v>
      </c>
    </row>
    <row r="3567" spans="7:11" hidden="1" x14ac:dyDescent="0.25">
      <c r="G3567">
        <f t="shared" si="276"/>
        <v>0</v>
      </c>
      <c r="H3567">
        <f t="shared" si="277"/>
        <v>0</v>
      </c>
      <c r="I3567" s="141">
        <f t="shared" si="278"/>
        <v>0</v>
      </c>
      <c r="J3567">
        <f t="shared" si="279"/>
        <v>0</v>
      </c>
      <c r="K3567" s="141">
        <f t="shared" si="280"/>
        <v>0</v>
      </c>
    </row>
    <row r="3568" spans="7:11" hidden="1" x14ac:dyDescent="0.25">
      <c r="G3568">
        <f t="shared" si="276"/>
        <v>0</v>
      </c>
      <c r="H3568">
        <f t="shared" si="277"/>
        <v>0</v>
      </c>
      <c r="I3568" s="141">
        <f t="shared" si="278"/>
        <v>0</v>
      </c>
      <c r="J3568">
        <f t="shared" si="279"/>
        <v>0</v>
      </c>
      <c r="K3568" s="141">
        <f t="shared" si="280"/>
        <v>0</v>
      </c>
    </row>
    <row r="3569" spans="7:11" hidden="1" x14ac:dyDescent="0.25">
      <c r="G3569">
        <f t="shared" si="276"/>
        <v>0</v>
      </c>
      <c r="H3569">
        <f t="shared" si="277"/>
        <v>0</v>
      </c>
      <c r="I3569" s="141">
        <f t="shared" si="278"/>
        <v>0</v>
      </c>
      <c r="J3569">
        <f t="shared" si="279"/>
        <v>0</v>
      </c>
      <c r="K3569" s="141">
        <f t="shared" si="280"/>
        <v>0</v>
      </c>
    </row>
    <row r="3570" spans="7:11" hidden="1" x14ac:dyDescent="0.25">
      <c r="G3570">
        <f t="shared" si="276"/>
        <v>0</v>
      </c>
      <c r="H3570">
        <f t="shared" si="277"/>
        <v>0</v>
      </c>
      <c r="I3570" s="141">
        <f t="shared" si="278"/>
        <v>0</v>
      </c>
      <c r="J3570">
        <f t="shared" si="279"/>
        <v>0</v>
      </c>
      <c r="K3570" s="141">
        <f t="shared" si="280"/>
        <v>0</v>
      </c>
    </row>
    <row r="3571" spans="7:11" hidden="1" x14ac:dyDescent="0.25">
      <c r="G3571">
        <f t="shared" si="276"/>
        <v>0</v>
      </c>
      <c r="H3571">
        <f t="shared" si="277"/>
        <v>0</v>
      </c>
      <c r="I3571" s="141">
        <f t="shared" si="278"/>
        <v>0</v>
      </c>
      <c r="J3571">
        <f t="shared" si="279"/>
        <v>0</v>
      </c>
      <c r="K3571" s="141">
        <f t="shared" si="280"/>
        <v>0</v>
      </c>
    </row>
    <row r="3572" spans="7:11" hidden="1" x14ac:dyDescent="0.25">
      <c r="G3572">
        <f t="shared" si="276"/>
        <v>0</v>
      </c>
      <c r="H3572">
        <f t="shared" si="277"/>
        <v>0</v>
      </c>
      <c r="I3572" s="141">
        <f t="shared" si="278"/>
        <v>0</v>
      </c>
      <c r="J3572">
        <f t="shared" si="279"/>
        <v>0</v>
      </c>
      <c r="K3572" s="141">
        <f t="shared" si="280"/>
        <v>0</v>
      </c>
    </row>
    <row r="3573" spans="7:11" hidden="1" x14ac:dyDescent="0.25">
      <c r="G3573">
        <f t="shared" si="276"/>
        <v>0</v>
      </c>
      <c r="H3573">
        <f t="shared" si="277"/>
        <v>0</v>
      </c>
      <c r="I3573" s="141">
        <f t="shared" si="278"/>
        <v>0</v>
      </c>
      <c r="J3573">
        <f t="shared" si="279"/>
        <v>0</v>
      </c>
      <c r="K3573" s="141">
        <f t="shared" si="280"/>
        <v>0</v>
      </c>
    </row>
    <row r="3574" spans="7:11" hidden="1" x14ac:dyDescent="0.25">
      <c r="G3574">
        <f t="shared" si="276"/>
        <v>0</v>
      </c>
      <c r="H3574">
        <f t="shared" si="277"/>
        <v>0</v>
      </c>
      <c r="I3574" s="141">
        <f t="shared" si="278"/>
        <v>0</v>
      </c>
      <c r="J3574">
        <f t="shared" si="279"/>
        <v>0</v>
      </c>
      <c r="K3574" s="141">
        <f t="shared" si="280"/>
        <v>0</v>
      </c>
    </row>
    <row r="3575" spans="7:11" hidden="1" x14ac:dyDescent="0.25">
      <c r="G3575">
        <f t="shared" si="276"/>
        <v>0</v>
      </c>
      <c r="H3575">
        <f t="shared" si="277"/>
        <v>0</v>
      </c>
      <c r="I3575" s="141">
        <f t="shared" si="278"/>
        <v>0</v>
      </c>
      <c r="J3575">
        <f t="shared" si="279"/>
        <v>0</v>
      </c>
      <c r="K3575" s="141">
        <f t="shared" si="280"/>
        <v>0</v>
      </c>
    </row>
    <row r="3576" spans="7:11" hidden="1" x14ac:dyDescent="0.25">
      <c r="G3576">
        <f t="shared" si="276"/>
        <v>0</v>
      </c>
      <c r="H3576">
        <f t="shared" si="277"/>
        <v>0</v>
      </c>
      <c r="I3576" s="141">
        <f t="shared" si="278"/>
        <v>0</v>
      </c>
      <c r="J3576">
        <f t="shared" si="279"/>
        <v>0</v>
      </c>
      <c r="K3576" s="141">
        <f t="shared" si="280"/>
        <v>0</v>
      </c>
    </row>
    <row r="3577" spans="7:11" hidden="1" x14ac:dyDescent="0.25">
      <c r="G3577">
        <f t="shared" si="276"/>
        <v>0</v>
      </c>
      <c r="H3577">
        <f t="shared" si="277"/>
        <v>0</v>
      </c>
      <c r="I3577" s="141">
        <f t="shared" si="278"/>
        <v>0</v>
      </c>
      <c r="J3577">
        <f t="shared" si="279"/>
        <v>0</v>
      </c>
      <c r="K3577" s="141">
        <f t="shared" si="280"/>
        <v>0</v>
      </c>
    </row>
    <row r="3578" spans="7:11" hidden="1" x14ac:dyDescent="0.25">
      <c r="G3578">
        <f t="shared" si="276"/>
        <v>0</v>
      </c>
      <c r="H3578">
        <f t="shared" si="277"/>
        <v>0</v>
      </c>
      <c r="I3578" s="141">
        <f t="shared" si="278"/>
        <v>0</v>
      </c>
      <c r="J3578">
        <f t="shared" si="279"/>
        <v>0</v>
      </c>
      <c r="K3578" s="141">
        <f t="shared" si="280"/>
        <v>0</v>
      </c>
    </row>
    <row r="3579" spans="7:11" hidden="1" x14ac:dyDescent="0.25">
      <c r="G3579">
        <f t="shared" si="276"/>
        <v>0</v>
      </c>
      <c r="H3579">
        <f t="shared" si="277"/>
        <v>0</v>
      </c>
      <c r="I3579" s="141">
        <f t="shared" si="278"/>
        <v>0</v>
      </c>
      <c r="J3579">
        <f t="shared" si="279"/>
        <v>0</v>
      </c>
      <c r="K3579" s="141">
        <f t="shared" si="280"/>
        <v>0</v>
      </c>
    </row>
    <row r="3580" spans="7:11" hidden="1" x14ac:dyDescent="0.25">
      <c r="G3580">
        <f t="shared" si="276"/>
        <v>0</v>
      </c>
      <c r="H3580">
        <f t="shared" si="277"/>
        <v>0</v>
      </c>
      <c r="I3580" s="141">
        <f t="shared" si="278"/>
        <v>0</v>
      </c>
      <c r="J3580">
        <f t="shared" si="279"/>
        <v>0</v>
      </c>
      <c r="K3580" s="141">
        <f t="shared" si="280"/>
        <v>0</v>
      </c>
    </row>
    <row r="3581" spans="7:11" hidden="1" x14ac:dyDescent="0.25">
      <c r="G3581">
        <f t="shared" si="276"/>
        <v>0</v>
      </c>
      <c r="H3581">
        <f t="shared" si="277"/>
        <v>0</v>
      </c>
      <c r="I3581" s="141">
        <f t="shared" si="278"/>
        <v>0</v>
      </c>
      <c r="J3581">
        <f t="shared" si="279"/>
        <v>0</v>
      </c>
      <c r="K3581" s="141">
        <f t="shared" si="280"/>
        <v>0</v>
      </c>
    </row>
    <row r="3582" spans="7:11" hidden="1" x14ac:dyDescent="0.25">
      <c r="G3582">
        <f t="shared" si="276"/>
        <v>0</v>
      </c>
      <c r="H3582">
        <f t="shared" si="277"/>
        <v>0</v>
      </c>
      <c r="I3582" s="141">
        <f t="shared" si="278"/>
        <v>0</v>
      </c>
      <c r="J3582">
        <f t="shared" si="279"/>
        <v>0</v>
      </c>
      <c r="K3582" s="141">
        <f t="shared" si="280"/>
        <v>0</v>
      </c>
    </row>
    <row r="3583" spans="7:11" hidden="1" x14ac:dyDescent="0.25">
      <c r="G3583">
        <f t="shared" si="276"/>
        <v>0</v>
      </c>
      <c r="H3583">
        <f t="shared" si="277"/>
        <v>0</v>
      </c>
      <c r="I3583" s="141">
        <f t="shared" si="278"/>
        <v>0</v>
      </c>
      <c r="J3583">
        <f t="shared" si="279"/>
        <v>0</v>
      </c>
      <c r="K3583" s="141">
        <f t="shared" si="280"/>
        <v>0</v>
      </c>
    </row>
    <row r="3584" spans="7:11" hidden="1" x14ac:dyDescent="0.25">
      <c r="G3584">
        <f t="shared" si="276"/>
        <v>0</v>
      </c>
      <c r="H3584">
        <f t="shared" si="277"/>
        <v>0</v>
      </c>
      <c r="I3584" s="141">
        <f t="shared" si="278"/>
        <v>0</v>
      </c>
      <c r="J3584">
        <f t="shared" si="279"/>
        <v>0</v>
      </c>
      <c r="K3584" s="141">
        <f t="shared" si="280"/>
        <v>0</v>
      </c>
    </row>
    <row r="3585" spans="7:11" hidden="1" x14ac:dyDescent="0.25">
      <c r="G3585">
        <f t="shared" si="276"/>
        <v>0</v>
      </c>
      <c r="H3585">
        <f t="shared" si="277"/>
        <v>0</v>
      </c>
      <c r="I3585" s="141">
        <f t="shared" si="278"/>
        <v>0</v>
      </c>
      <c r="J3585">
        <f t="shared" si="279"/>
        <v>0</v>
      </c>
      <c r="K3585" s="141">
        <f t="shared" si="280"/>
        <v>0</v>
      </c>
    </row>
    <row r="3586" spans="7:11" hidden="1" x14ac:dyDescent="0.25">
      <c r="G3586">
        <f t="shared" ref="G3586:G3649" si="281">A3586</f>
        <v>0</v>
      </c>
      <c r="H3586">
        <f t="shared" ref="H3586:H3649" si="282">B3586</f>
        <v>0</v>
      </c>
      <c r="I3586" s="141">
        <f t="shared" ref="I3586:I3649" si="283">C3586</f>
        <v>0</v>
      </c>
      <c r="J3586">
        <f t="shared" ref="J3586:J3649" si="284">D3586</f>
        <v>0</v>
      </c>
      <c r="K3586" s="141">
        <f t="shared" ref="K3586:K3649" si="285">E3586</f>
        <v>0</v>
      </c>
    </row>
    <row r="3587" spans="7:11" hidden="1" x14ac:dyDescent="0.25">
      <c r="G3587">
        <f t="shared" si="281"/>
        <v>0</v>
      </c>
      <c r="H3587">
        <f t="shared" si="282"/>
        <v>0</v>
      </c>
      <c r="I3587" s="141">
        <f t="shared" si="283"/>
        <v>0</v>
      </c>
      <c r="J3587">
        <f t="shared" si="284"/>
        <v>0</v>
      </c>
      <c r="K3587" s="141">
        <f t="shared" si="285"/>
        <v>0</v>
      </c>
    </row>
    <row r="3588" spans="7:11" hidden="1" x14ac:dyDescent="0.25">
      <c r="G3588">
        <f t="shared" si="281"/>
        <v>0</v>
      </c>
      <c r="H3588">
        <f t="shared" si="282"/>
        <v>0</v>
      </c>
      <c r="I3588" s="141">
        <f t="shared" si="283"/>
        <v>0</v>
      </c>
      <c r="J3588">
        <f t="shared" si="284"/>
        <v>0</v>
      </c>
      <c r="K3588" s="141">
        <f t="shared" si="285"/>
        <v>0</v>
      </c>
    </row>
    <row r="3589" spans="7:11" hidden="1" x14ac:dyDescent="0.25">
      <c r="G3589">
        <f t="shared" si="281"/>
        <v>0</v>
      </c>
      <c r="H3589">
        <f t="shared" si="282"/>
        <v>0</v>
      </c>
      <c r="I3589" s="141">
        <f t="shared" si="283"/>
        <v>0</v>
      </c>
      <c r="J3589">
        <f t="shared" si="284"/>
        <v>0</v>
      </c>
      <c r="K3589" s="141">
        <f t="shared" si="285"/>
        <v>0</v>
      </c>
    </row>
    <row r="3590" spans="7:11" hidden="1" x14ac:dyDescent="0.25">
      <c r="G3590">
        <f t="shared" si="281"/>
        <v>0</v>
      </c>
      <c r="H3590">
        <f t="shared" si="282"/>
        <v>0</v>
      </c>
      <c r="I3590" s="141">
        <f t="shared" si="283"/>
        <v>0</v>
      </c>
      <c r="J3590">
        <f t="shared" si="284"/>
        <v>0</v>
      </c>
      <c r="K3590" s="141">
        <f t="shared" si="285"/>
        <v>0</v>
      </c>
    </row>
    <row r="3591" spans="7:11" hidden="1" x14ac:dyDescent="0.25">
      <c r="G3591">
        <f t="shared" si="281"/>
        <v>0</v>
      </c>
      <c r="H3591">
        <f t="shared" si="282"/>
        <v>0</v>
      </c>
      <c r="I3591" s="141">
        <f t="shared" si="283"/>
        <v>0</v>
      </c>
      <c r="J3591">
        <f t="shared" si="284"/>
        <v>0</v>
      </c>
      <c r="K3591" s="141">
        <f t="shared" si="285"/>
        <v>0</v>
      </c>
    </row>
    <row r="3592" spans="7:11" hidden="1" x14ac:dyDescent="0.25">
      <c r="G3592">
        <f t="shared" si="281"/>
        <v>0</v>
      </c>
      <c r="H3592">
        <f t="shared" si="282"/>
        <v>0</v>
      </c>
      <c r="I3592" s="141">
        <f t="shared" si="283"/>
        <v>0</v>
      </c>
      <c r="J3592">
        <f t="shared" si="284"/>
        <v>0</v>
      </c>
      <c r="K3592" s="141">
        <f t="shared" si="285"/>
        <v>0</v>
      </c>
    </row>
    <row r="3593" spans="7:11" hidden="1" x14ac:dyDescent="0.25">
      <c r="G3593">
        <f t="shared" si="281"/>
        <v>0</v>
      </c>
      <c r="H3593">
        <f t="shared" si="282"/>
        <v>0</v>
      </c>
      <c r="I3593" s="141">
        <f t="shared" si="283"/>
        <v>0</v>
      </c>
      <c r="J3593">
        <f t="shared" si="284"/>
        <v>0</v>
      </c>
      <c r="K3593" s="141">
        <f t="shared" si="285"/>
        <v>0</v>
      </c>
    </row>
    <row r="3594" spans="7:11" hidden="1" x14ac:dyDescent="0.25">
      <c r="G3594">
        <f t="shared" si="281"/>
        <v>0</v>
      </c>
      <c r="H3594">
        <f t="shared" si="282"/>
        <v>0</v>
      </c>
      <c r="I3594" s="141">
        <f t="shared" si="283"/>
        <v>0</v>
      </c>
      <c r="J3594">
        <f t="shared" si="284"/>
        <v>0</v>
      </c>
      <c r="K3594" s="141">
        <f t="shared" si="285"/>
        <v>0</v>
      </c>
    </row>
    <row r="3595" spans="7:11" hidden="1" x14ac:dyDescent="0.25">
      <c r="G3595">
        <f t="shared" si="281"/>
        <v>0</v>
      </c>
      <c r="H3595">
        <f t="shared" si="282"/>
        <v>0</v>
      </c>
      <c r="I3595" s="141">
        <f t="shared" si="283"/>
        <v>0</v>
      </c>
      <c r="J3595">
        <f t="shared" si="284"/>
        <v>0</v>
      </c>
      <c r="K3595" s="141">
        <f t="shared" si="285"/>
        <v>0</v>
      </c>
    </row>
    <row r="3596" spans="7:11" hidden="1" x14ac:dyDescent="0.25">
      <c r="G3596">
        <f t="shared" si="281"/>
        <v>0</v>
      </c>
      <c r="H3596">
        <f t="shared" si="282"/>
        <v>0</v>
      </c>
      <c r="I3596" s="141">
        <f t="shared" si="283"/>
        <v>0</v>
      </c>
      <c r="J3596">
        <f t="shared" si="284"/>
        <v>0</v>
      </c>
      <c r="K3596" s="141">
        <f t="shared" si="285"/>
        <v>0</v>
      </c>
    </row>
    <row r="3597" spans="7:11" hidden="1" x14ac:dyDescent="0.25">
      <c r="G3597">
        <f t="shared" si="281"/>
        <v>0</v>
      </c>
      <c r="H3597">
        <f t="shared" si="282"/>
        <v>0</v>
      </c>
      <c r="I3597" s="141">
        <f t="shared" si="283"/>
        <v>0</v>
      </c>
      <c r="J3597">
        <f t="shared" si="284"/>
        <v>0</v>
      </c>
      <c r="K3597" s="141">
        <f t="shared" si="285"/>
        <v>0</v>
      </c>
    </row>
    <row r="3598" spans="7:11" hidden="1" x14ac:dyDescent="0.25">
      <c r="G3598">
        <f t="shared" si="281"/>
        <v>0</v>
      </c>
      <c r="H3598">
        <f t="shared" si="282"/>
        <v>0</v>
      </c>
      <c r="I3598" s="141">
        <f t="shared" si="283"/>
        <v>0</v>
      </c>
      <c r="J3598">
        <f t="shared" si="284"/>
        <v>0</v>
      </c>
      <c r="K3598" s="141">
        <f t="shared" si="285"/>
        <v>0</v>
      </c>
    </row>
    <row r="3599" spans="7:11" hidden="1" x14ac:dyDescent="0.25">
      <c r="G3599">
        <f t="shared" si="281"/>
        <v>0</v>
      </c>
      <c r="H3599">
        <f t="shared" si="282"/>
        <v>0</v>
      </c>
      <c r="I3599" s="141">
        <f t="shared" si="283"/>
        <v>0</v>
      </c>
      <c r="J3599">
        <f t="shared" si="284"/>
        <v>0</v>
      </c>
      <c r="K3599" s="141">
        <f t="shared" si="285"/>
        <v>0</v>
      </c>
    </row>
    <row r="3600" spans="7:11" hidden="1" x14ac:dyDescent="0.25">
      <c r="G3600">
        <f t="shared" si="281"/>
        <v>0</v>
      </c>
      <c r="H3600">
        <f t="shared" si="282"/>
        <v>0</v>
      </c>
      <c r="I3600" s="141">
        <f t="shared" si="283"/>
        <v>0</v>
      </c>
      <c r="J3600">
        <f t="shared" si="284"/>
        <v>0</v>
      </c>
      <c r="K3600" s="141">
        <f t="shared" si="285"/>
        <v>0</v>
      </c>
    </row>
    <row r="3601" spans="7:11" hidden="1" x14ac:dyDescent="0.25">
      <c r="G3601">
        <f t="shared" si="281"/>
        <v>0</v>
      </c>
      <c r="H3601">
        <f t="shared" si="282"/>
        <v>0</v>
      </c>
      <c r="I3601" s="141">
        <f t="shared" si="283"/>
        <v>0</v>
      </c>
      <c r="J3601">
        <f t="shared" si="284"/>
        <v>0</v>
      </c>
      <c r="K3601" s="141">
        <f t="shared" si="285"/>
        <v>0</v>
      </c>
    </row>
    <row r="3602" spans="7:11" hidden="1" x14ac:dyDescent="0.25">
      <c r="G3602">
        <f t="shared" si="281"/>
        <v>0</v>
      </c>
      <c r="H3602">
        <f t="shared" si="282"/>
        <v>0</v>
      </c>
      <c r="I3602" s="141">
        <f t="shared" si="283"/>
        <v>0</v>
      </c>
      <c r="J3602">
        <f t="shared" si="284"/>
        <v>0</v>
      </c>
      <c r="K3602" s="141">
        <f t="shared" si="285"/>
        <v>0</v>
      </c>
    </row>
    <row r="3603" spans="7:11" hidden="1" x14ac:dyDescent="0.25">
      <c r="G3603">
        <f t="shared" si="281"/>
        <v>0</v>
      </c>
      <c r="H3603">
        <f t="shared" si="282"/>
        <v>0</v>
      </c>
      <c r="I3603" s="141">
        <f t="shared" si="283"/>
        <v>0</v>
      </c>
      <c r="J3603">
        <f t="shared" si="284"/>
        <v>0</v>
      </c>
      <c r="K3603" s="141">
        <f t="shared" si="285"/>
        <v>0</v>
      </c>
    </row>
    <row r="3604" spans="7:11" hidden="1" x14ac:dyDescent="0.25">
      <c r="G3604">
        <f t="shared" si="281"/>
        <v>0</v>
      </c>
      <c r="H3604">
        <f t="shared" si="282"/>
        <v>0</v>
      </c>
      <c r="I3604" s="141">
        <f t="shared" si="283"/>
        <v>0</v>
      </c>
      <c r="J3604">
        <f t="shared" si="284"/>
        <v>0</v>
      </c>
      <c r="K3604" s="141">
        <f t="shared" si="285"/>
        <v>0</v>
      </c>
    </row>
    <row r="3605" spans="7:11" hidden="1" x14ac:dyDescent="0.25">
      <c r="G3605">
        <f t="shared" si="281"/>
        <v>0</v>
      </c>
      <c r="H3605">
        <f t="shared" si="282"/>
        <v>0</v>
      </c>
      <c r="I3605" s="141">
        <f t="shared" si="283"/>
        <v>0</v>
      </c>
      <c r="J3605">
        <f t="shared" si="284"/>
        <v>0</v>
      </c>
      <c r="K3605" s="141">
        <f t="shared" si="285"/>
        <v>0</v>
      </c>
    </row>
    <row r="3606" spans="7:11" hidden="1" x14ac:dyDescent="0.25">
      <c r="G3606">
        <f t="shared" si="281"/>
        <v>0</v>
      </c>
      <c r="H3606">
        <f t="shared" si="282"/>
        <v>0</v>
      </c>
      <c r="I3606" s="141">
        <f t="shared" si="283"/>
        <v>0</v>
      </c>
      <c r="J3606">
        <f t="shared" si="284"/>
        <v>0</v>
      </c>
      <c r="K3606" s="141">
        <f t="shared" si="285"/>
        <v>0</v>
      </c>
    </row>
    <row r="3607" spans="7:11" hidden="1" x14ac:dyDescent="0.25">
      <c r="G3607">
        <f t="shared" si="281"/>
        <v>0</v>
      </c>
      <c r="H3607">
        <f t="shared" si="282"/>
        <v>0</v>
      </c>
      <c r="I3607" s="141">
        <f t="shared" si="283"/>
        <v>0</v>
      </c>
      <c r="J3607">
        <f t="shared" si="284"/>
        <v>0</v>
      </c>
      <c r="K3607" s="141">
        <f t="shared" si="285"/>
        <v>0</v>
      </c>
    </row>
    <row r="3608" spans="7:11" hidden="1" x14ac:dyDescent="0.25">
      <c r="G3608">
        <f t="shared" si="281"/>
        <v>0</v>
      </c>
      <c r="H3608">
        <f t="shared" si="282"/>
        <v>0</v>
      </c>
      <c r="I3608" s="141">
        <f t="shared" si="283"/>
        <v>0</v>
      </c>
      <c r="J3608">
        <f t="shared" si="284"/>
        <v>0</v>
      </c>
      <c r="K3608" s="141">
        <f t="shared" si="285"/>
        <v>0</v>
      </c>
    </row>
    <row r="3609" spans="7:11" hidden="1" x14ac:dyDescent="0.25">
      <c r="G3609">
        <f t="shared" si="281"/>
        <v>0</v>
      </c>
      <c r="H3609">
        <f t="shared" si="282"/>
        <v>0</v>
      </c>
      <c r="I3609" s="141">
        <f t="shared" si="283"/>
        <v>0</v>
      </c>
      <c r="J3609">
        <f t="shared" si="284"/>
        <v>0</v>
      </c>
      <c r="K3609" s="141">
        <f t="shared" si="285"/>
        <v>0</v>
      </c>
    </row>
    <row r="3610" spans="7:11" hidden="1" x14ac:dyDescent="0.25">
      <c r="G3610">
        <f t="shared" si="281"/>
        <v>0</v>
      </c>
      <c r="H3610">
        <f t="shared" si="282"/>
        <v>0</v>
      </c>
      <c r="I3610" s="141">
        <f t="shared" si="283"/>
        <v>0</v>
      </c>
      <c r="J3610">
        <f t="shared" si="284"/>
        <v>0</v>
      </c>
      <c r="K3610" s="141">
        <f t="shared" si="285"/>
        <v>0</v>
      </c>
    </row>
    <row r="3611" spans="7:11" hidden="1" x14ac:dyDescent="0.25">
      <c r="G3611">
        <f t="shared" si="281"/>
        <v>0</v>
      </c>
      <c r="H3611">
        <f t="shared" si="282"/>
        <v>0</v>
      </c>
      <c r="I3611" s="141">
        <f t="shared" si="283"/>
        <v>0</v>
      </c>
      <c r="J3611">
        <f t="shared" si="284"/>
        <v>0</v>
      </c>
      <c r="K3611" s="141">
        <f t="shared" si="285"/>
        <v>0</v>
      </c>
    </row>
    <row r="3612" spans="7:11" hidden="1" x14ac:dyDescent="0.25">
      <c r="G3612">
        <f t="shared" si="281"/>
        <v>0</v>
      </c>
      <c r="H3612">
        <f t="shared" si="282"/>
        <v>0</v>
      </c>
      <c r="I3612" s="141">
        <f t="shared" si="283"/>
        <v>0</v>
      </c>
      <c r="J3612">
        <f t="shared" si="284"/>
        <v>0</v>
      </c>
      <c r="K3612" s="141">
        <f t="shared" si="285"/>
        <v>0</v>
      </c>
    </row>
    <row r="3613" spans="7:11" hidden="1" x14ac:dyDescent="0.25">
      <c r="G3613">
        <f t="shared" si="281"/>
        <v>0</v>
      </c>
      <c r="H3613">
        <f t="shared" si="282"/>
        <v>0</v>
      </c>
      <c r="I3613" s="141">
        <f t="shared" si="283"/>
        <v>0</v>
      </c>
      <c r="J3613">
        <f t="shared" si="284"/>
        <v>0</v>
      </c>
      <c r="K3613" s="141">
        <f t="shared" si="285"/>
        <v>0</v>
      </c>
    </row>
    <row r="3614" spans="7:11" hidden="1" x14ac:dyDescent="0.25">
      <c r="G3614">
        <f t="shared" si="281"/>
        <v>0</v>
      </c>
      <c r="H3614">
        <f t="shared" si="282"/>
        <v>0</v>
      </c>
      <c r="I3614" s="141">
        <f t="shared" si="283"/>
        <v>0</v>
      </c>
      <c r="J3614">
        <f t="shared" si="284"/>
        <v>0</v>
      </c>
      <c r="K3614" s="141">
        <f t="shared" si="285"/>
        <v>0</v>
      </c>
    </row>
    <row r="3615" spans="7:11" hidden="1" x14ac:dyDescent="0.25">
      <c r="G3615">
        <f t="shared" si="281"/>
        <v>0</v>
      </c>
      <c r="H3615">
        <f t="shared" si="282"/>
        <v>0</v>
      </c>
      <c r="I3615" s="141">
        <f t="shared" si="283"/>
        <v>0</v>
      </c>
      <c r="J3615">
        <f t="shared" si="284"/>
        <v>0</v>
      </c>
      <c r="K3615" s="141">
        <f t="shared" si="285"/>
        <v>0</v>
      </c>
    </row>
    <row r="3616" spans="7:11" hidden="1" x14ac:dyDescent="0.25">
      <c r="G3616">
        <f t="shared" si="281"/>
        <v>0</v>
      </c>
      <c r="H3616">
        <f t="shared" si="282"/>
        <v>0</v>
      </c>
      <c r="I3616" s="141">
        <f t="shared" si="283"/>
        <v>0</v>
      </c>
      <c r="J3616">
        <f t="shared" si="284"/>
        <v>0</v>
      </c>
      <c r="K3616" s="141">
        <f t="shared" si="285"/>
        <v>0</v>
      </c>
    </row>
    <row r="3617" spans="7:11" hidden="1" x14ac:dyDescent="0.25">
      <c r="G3617">
        <f t="shared" si="281"/>
        <v>0</v>
      </c>
      <c r="H3617">
        <f t="shared" si="282"/>
        <v>0</v>
      </c>
      <c r="I3617" s="141">
        <f t="shared" si="283"/>
        <v>0</v>
      </c>
      <c r="J3617">
        <f t="shared" si="284"/>
        <v>0</v>
      </c>
      <c r="K3617" s="141">
        <f t="shared" si="285"/>
        <v>0</v>
      </c>
    </row>
    <row r="3618" spans="7:11" hidden="1" x14ac:dyDescent="0.25">
      <c r="G3618">
        <f t="shared" si="281"/>
        <v>0</v>
      </c>
      <c r="H3618">
        <f t="shared" si="282"/>
        <v>0</v>
      </c>
      <c r="I3618" s="141">
        <f t="shared" si="283"/>
        <v>0</v>
      </c>
      <c r="J3618">
        <f t="shared" si="284"/>
        <v>0</v>
      </c>
      <c r="K3618" s="141">
        <f t="shared" si="285"/>
        <v>0</v>
      </c>
    </row>
    <row r="3619" spans="7:11" hidden="1" x14ac:dyDescent="0.25">
      <c r="G3619">
        <f t="shared" si="281"/>
        <v>0</v>
      </c>
      <c r="H3619">
        <f t="shared" si="282"/>
        <v>0</v>
      </c>
      <c r="I3619" s="141">
        <f t="shared" si="283"/>
        <v>0</v>
      </c>
      <c r="J3619">
        <f t="shared" si="284"/>
        <v>0</v>
      </c>
      <c r="K3619" s="141">
        <f t="shared" si="285"/>
        <v>0</v>
      </c>
    </row>
    <row r="3620" spans="7:11" hidden="1" x14ac:dyDescent="0.25">
      <c r="G3620">
        <f t="shared" si="281"/>
        <v>0</v>
      </c>
      <c r="H3620">
        <f t="shared" si="282"/>
        <v>0</v>
      </c>
      <c r="I3620" s="141">
        <f t="shared" si="283"/>
        <v>0</v>
      </c>
      <c r="J3620">
        <f t="shared" si="284"/>
        <v>0</v>
      </c>
      <c r="K3620" s="141">
        <f t="shared" si="285"/>
        <v>0</v>
      </c>
    </row>
    <row r="3621" spans="7:11" hidden="1" x14ac:dyDescent="0.25">
      <c r="G3621">
        <f t="shared" si="281"/>
        <v>0</v>
      </c>
      <c r="H3621">
        <f t="shared" si="282"/>
        <v>0</v>
      </c>
      <c r="I3621" s="141">
        <f t="shared" si="283"/>
        <v>0</v>
      </c>
      <c r="J3621">
        <f t="shared" si="284"/>
        <v>0</v>
      </c>
      <c r="K3621" s="141">
        <f t="shared" si="285"/>
        <v>0</v>
      </c>
    </row>
    <row r="3622" spans="7:11" hidden="1" x14ac:dyDescent="0.25">
      <c r="G3622">
        <f t="shared" si="281"/>
        <v>0</v>
      </c>
      <c r="H3622">
        <f t="shared" si="282"/>
        <v>0</v>
      </c>
      <c r="I3622" s="141">
        <f t="shared" si="283"/>
        <v>0</v>
      </c>
      <c r="J3622">
        <f t="shared" si="284"/>
        <v>0</v>
      </c>
      <c r="K3622" s="141">
        <f t="shared" si="285"/>
        <v>0</v>
      </c>
    </row>
    <row r="3623" spans="7:11" hidden="1" x14ac:dyDescent="0.25">
      <c r="G3623">
        <f t="shared" si="281"/>
        <v>0</v>
      </c>
      <c r="H3623">
        <f t="shared" si="282"/>
        <v>0</v>
      </c>
      <c r="I3623" s="141">
        <f t="shared" si="283"/>
        <v>0</v>
      </c>
      <c r="J3623">
        <f t="shared" si="284"/>
        <v>0</v>
      </c>
      <c r="K3623" s="141">
        <f t="shared" si="285"/>
        <v>0</v>
      </c>
    </row>
    <row r="3624" spans="7:11" hidden="1" x14ac:dyDescent="0.25">
      <c r="G3624">
        <f t="shared" si="281"/>
        <v>0</v>
      </c>
      <c r="H3624">
        <f t="shared" si="282"/>
        <v>0</v>
      </c>
      <c r="I3624" s="141">
        <f t="shared" si="283"/>
        <v>0</v>
      </c>
      <c r="J3624">
        <f t="shared" si="284"/>
        <v>0</v>
      </c>
      <c r="K3624" s="141">
        <f t="shared" si="285"/>
        <v>0</v>
      </c>
    </row>
    <row r="3625" spans="7:11" hidden="1" x14ac:dyDescent="0.25">
      <c r="G3625">
        <f t="shared" si="281"/>
        <v>0</v>
      </c>
      <c r="H3625">
        <f t="shared" si="282"/>
        <v>0</v>
      </c>
      <c r="I3625" s="141">
        <f t="shared" si="283"/>
        <v>0</v>
      </c>
      <c r="J3625">
        <f t="shared" si="284"/>
        <v>0</v>
      </c>
      <c r="K3625" s="141">
        <f t="shared" si="285"/>
        <v>0</v>
      </c>
    </row>
    <row r="3626" spans="7:11" hidden="1" x14ac:dyDescent="0.25">
      <c r="G3626">
        <f t="shared" si="281"/>
        <v>0</v>
      </c>
      <c r="H3626">
        <f t="shared" si="282"/>
        <v>0</v>
      </c>
      <c r="I3626" s="141">
        <f t="shared" si="283"/>
        <v>0</v>
      </c>
      <c r="J3626">
        <f t="shared" si="284"/>
        <v>0</v>
      </c>
      <c r="K3626" s="141">
        <f t="shared" si="285"/>
        <v>0</v>
      </c>
    </row>
    <row r="3627" spans="7:11" hidden="1" x14ac:dyDescent="0.25">
      <c r="G3627">
        <f t="shared" si="281"/>
        <v>0</v>
      </c>
      <c r="H3627">
        <f t="shared" si="282"/>
        <v>0</v>
      </c>
      <c r="I3627" s="141">
        <f t="shared" si="283"/>
        <v>0</v>
      </c>
      <c r="J3627">
        <f t="shared" si="284"/>
        <v>0</v>
      </c>
      <c r="K3627" s="141">
        <f t="shared" si="285"/>
        <v>0</v>
      </c>
    </row>
    <row r="3628" spans="7:11" hidden="1" x14ac:dyDescent="0.25">
      <c r="G3628">
        <f t="shared" si="281"/>
        <v>0</v>
      </c>
      <c r="H3628">
        <f t="shared" si="282"/>
        <v>0</v>
      </c>
      <c r="I3628" s="141">
        <f t="shared" si="283"/>
        <v>0</v>
      </c>
      <c r="J3628">
        <f t="shared" si="284"/>
        <v>0</v>
      </c>
      <c r="K3628" s="141">
        <f t="shared" si="285"/>
        <v>0</v>
      </c>
    </row>
    <row r="3629" spans="7:11" hidden="1" x14ac:dyDescent="0.25">
      <c r="G3629">
        <f t="shared" si="281"/>
        <v>0</v>
      </c>
      <c r="H3629">
        <f t="shared" si="282"/>
        <v>0</v>
      </c>
      <c r="I3629" s="141">
        <f t="shared" si="283"/>
        <v>0</v>
      </c>
      <c r="J3629">
        <f t="shared" si="284"/>
        <v>0</v>
      </c>
      <c r="K3629" s="141">
        <f t="shared" si="285"/>
        <v>0</v>
      </c>
    </row>
    <row r="3630" spans="7:11" hidden="1" x14ac:dyDescent="0.25">
      <c r="G3630">
        <f t="shared" si="281"/>
        <v>0</v>
      </c>
      <c r="H3630">
        <f t="shared" si="282"/>
        <v>0</v>
      </c>
      <c r="I3630" s="141">
        <f t="shared" si="283"/>
        <v>0</v>
      </c>
      <c r="J3630">
        <f t="shared" si="284"/>
        <v>0</v>
      </c>
      <c r="K3630" s="141">
        <f t="shared" si="285"/>
        <v>0</v>
      </c>
    </row>
    <row r="3631" spans="7:11" hidden="1" x14ac:dyDescent="0.25">
      <c r="G3631">
        <f t="shared" si="281"/>
        <v>0</v>
      </c>
      <c r="H3631">
        <f t="shared" si="282"/>
        <v>0</v>
      </c>
      <c r="I3631" s="141">
        <f t="shared" si="283"/>
        <v>0</v>
      </c>
      <c r="J3631">
        <f t="shared" si="284"/>
        <v>0</v>
      </c>
      <c r="K3631" s="141">
        <f t="shared" si="285"/>
        <v>0</v>
      </c>
    </row>
    <row r="3632" spans="7:11" hidden="1" x14ac:dyDescent="0.25">
      <c r="G3632">
        <f t="shared" si="281"/>
        <v>0</v>
      </c>
      <c r="H3632">
        <f t="shared" si="282"/>
        <v>0</v>
      </c>
      <c r="I3632" s="141">
        <f t="shared" si="283"/>
        <v>0</v>
      </c>
      <c r="J3632">
        <f t="shared" si="284"/>
        <v>0</v>
      </c>
      <c r="K3632" s="141">
        <f t="shared" si="285"/>
        <v>0</v>
      </c>
    </row>
    <row r="3633" spans="7:11" hidden="1" x14ac:dyDescent="0.25">
      <c r="G3633">
        <f t="shared" si="281"/>
        <v>0</v>
      </c>
      <c r="H3633">
        <f t="shared" si="282"/>
        <v>0</v>
      </c>
      <c r="I3633" s="141">
        <f t="shared" si="283"/>
        <v>0</v>
      </c>
      <c r="J3633">
        <f t="shared" si="284"/>
        <v>0</v>
      </c>
      <c r="K3633" s="141">
        <f t="shared" si="285"/>
        <v>0</v>
      </c>
    </row>
    <row r="3634" spans="7:11" hidden="1" x14ac:dyDescent="0.25">
      <c r="G3634">
        <f t="shared" si="281"/>
        <v>0</v>
      </c>
      <c r="H3634">
        <f t="shared" si="282"/>
        <v>0</v>
      </c>
      <c r="I3634" s="141">
        <f t="shared" si="283"/>
        <v>0</v>
      </c>
      <c r="J3634">
        <f t="shared" si="284"/>
        <v>0</v>
      </c>
      <c r="K3634" s="141">
        <f t="shared" si="285"/>
        <v>0</v>
      </c>
    </row>
    <row r="3635" spans="7:11" hidden="1" x14ac:dyDescent="0.25">
      <c r="G3635">
        <f t="shared" si="281"/>
        <v>0</v>
      </c>
      <c r="H3635">
        <f t="shared" si="282"/>
        <v>0</v>
      </c>
      <c r="I3635" s="141">
        <f t="shared" si="283"/>
        <v>0</v>
      </c>
      <c r="J3635">
        <f t="shared" si="284"/>
        <v>0</v>
      </c>
      <c r="K3635" s="141">
        <f t="shared" si="285"/>
        <v>0</v>
      </c>
    </row>
    <row r="3636" spans="7:11" hidden="1" x14ac:dyDescent="0.25">
      <c r="G3636">
        <f t="shared" si="281"/>
        <v>0</v>
      </c>
      <c r="H3636">
        <f t="shared" si="282"/>
        <v>0</v>
      </c>
      <c r="I3636" s="141">
        <f t="shared" si="283"/>
        <v>0</v>
      </c>
      <c r="J3636">
        <f t="shared" si="284"/>
        <v>0</v>
      </c>
      <c r="K3636" s="141">
        <f t="shared" si="285"/>
        <v>0</v>
      </c>
    </row>
    <row r="3637" spans="7:11" hidden="1" x14ac:dyDescent="0.25">
      <c r="G3637">
        <f t="shared" si="281"/>
        <v>0</v>
      </c>
      <c r="H3637">
        <f t="shared" si="282"/>
        <v>0</v>
      </c>
      <c r="I3637" s="141">
        <f t="shared" si="283"/>
        <v>0</v>
      </c>
      <c r="J3637">
        <f t="shared" si="284"/>
        <v>0</v>
      </c>
      <c r="K3637" s="141">
        <f t="shared" si="285"/>
        <v>0</v>
      </c>
    </row>
    <row r="3638" spans="7:11" hidden="1" x14ac:dyDescent="0.25">
      <c r="G3638">
        <f t="shared" si="281"/>
        <v>0</v>
      </c>
      <c r="H3638">
        <f t="shared" si="282"/>
        <v>0</v>
      </c>
      <c r="I3638" s="141">
        <f t="shared" si="283"/>
        <v>0</v>
      </c>
      <c r="J3638">
        <f t="shared" si="284"/>
        <v>0</v>
      </c>
      <c r="K3638" s="141">
        <f t="shared" si="285"/>
        <v>0</v>
      </c>
    </row>
    <row r="3639" spans="7:11" hidden="1" x14ac:dyDescent="0.25">
      <c r="G3639">
        <f t="shared" si="281"/>
        <v>0</v>
      </c>
      <c r="H3639">
        <f t="shared" si="282"/>
        <v>0</v>
      </c>
      <c r="I3639" s="141">
        <f t="shared" si="283"/>
        <v>0</v>
      </c>
      <c r="J3639">
        <f t="shared" si="284"/>
        <v>0</v>
      </c>
      <c r="K3639" s="141">
        <f t="shared" si="285"/>
        <v>0</v>
      </c>
    </row>
    <row r="3640" spans="7:11" hidden="1" x14ac:dyDescent="0.25">
      <c r="G3640">
        <f t="shared" si="281"/>
        <v>0</v>
      </c>
      <c r="H3640">
        <f t="shared" si="282"/>
        <v>0</v>
      </c>
      <c r="I3640" s="141">
        <f t="shared" si="283"/>
        <v>0</v>
      </c>
      <c r="J3640">
        <f t="shared" si="284"/>
        <v>0</v>
      </c>
      <c r="K3640" s="141">
        <f t="shared" si="285"/>
        <v>0</v>
      </c>
    </row>
    <row r="3641" spans="7:11" hidden="1" x14ac:dyDescent="0.25">
      <c r="G3641">
        <f t="shared" si="281"/>
        <v>0</v>
      </c>
      <c r="H3641">
        <f t="shared" si="282"/>
        <v>0</v>
      </c>
      <c r="I3641" s="141">
        <f t="shared" si="283"/>
        <v>0</v>
      </c>
      <c r="J3641">
        <f t="shared" si="284"/>
        <v>0</v>
      </c>
      <c r="K3641" s="141">
        <f t="shared" si="285"/>
        <v>0</v>
      </c>
    </row>
    <row r="3642" spans="7:11" hidden="1" x14ac:dyDescent="0.25">
      <c r="G3642">
        <f t="shared" si="281"/>
        <v>0</v>
      </c>
      <c r="H3642">
        <f t="shared" si="282"/>
        <v>0</v>
      </c>
      <c r="I3642" s="141">
        <f t="shared" si="283"/>
        <v>0</v>
      </c>
      <c r="J3642">
        <f t="shared" si="284"/>
        <v>0</v>
      </c>
      <c r="K3642" s="141">
        <f t="shared" si="285"/>
        <v>0</v>
      </c>
    </row>
    <row r="3643" spans="7:11" hidden="1" x14ac:dyDescent="0.25">
      <c r="G3643">
        <f t="shared" si="281"/>
        <v>0</v>
      </c>
      <c r="H3643">
        <f t="shared" si="282"/>
        <v>0</v>
      </c>
      <c r="I3643" s="141">
        <f t="shared" si="283"/>
        <v>0</v>
      </c>
      <c r="J3643">
        <f t="shared" si="284"/>
        <v>0</v>
      </c>
      <c r="K3643" s="141">
        <f t="shared" si="285"/>
        <v>0</v>
      </c>
    </row>
    <row r="3644" spans="7:11" hidden="1" x14ac:dyDescent="0.25">
      <c r="G3644">
        <f t="shared" si="281"/>
        <v>0</v>
      </c>
      <c r="H3644">
        <f t="shared" si="282"/>
        <v>0</v>
      </c>
      <c r="I3644" s="141">
        <f t="shared" si="283"/>
        <v>0</v>
      </c>
      <c r="J3644">
        <f t="shared" si="284"/>
        <v>0</v>
      </c>
      <c r="K3644" s="141">
        <f t="shared" si="285"/>
        <v>0</v>
      </c>
    </row>
    <row r="3645" spans="7:11" hidden="1" x14ac:dyDescent="0.25">
      <c r="G3645">
        <f t="shared" si="281"/>
        <v>0</v>
      </c>
      <c r="H3645">
        <f t="shared" si="282"/>
        <v>0</v>
      </c>
      <c r="I3645" s="141">
        <f t="shared" si="283"/>
        <v>0</v>
      </c>
      <c r="J3645">
        <f t="shared" si="284"/>
        <v>0</v>
      </c>
      <c r="K3645" s="141">
        <f t="shared" si="285"/>
        <v>0</v>
      </c>
    </row>
    <row r="3646" spans="7:11" hidden="1" x14ac:dyDescent="0.25">
      <c r="G3646">
        <f t="shared" si="281"/>
        <v>0</v>
      </c>
      <c r="H3646">
        <f t="shared" si="282"/>
        <v>0</v>
      </c>
      <c r="I3646" s="141">
        <f t="shared" si="283"/>
        <v>0</v>
      </c>
      <c r="J3646">
        <f t="shared" si="284"/>
        <v>0</v>
      </c>
      <c r="K3646" s="141">
        <f t="shared" si="285"/>
        <v>0</v>
      </c>
    </row>
    <row r="3647" spans="7:11" hidden="1" x14ac:dyDescent="0.25">
      <c r="G3647">
        <f t="shared" si="281"/>
        <v>0</v>
      </c>
      <c r="H3647">
        <f t="shared" si="282"/>
        <v>0</v>
      </c>
      <c r="I3647" s="141">
        <f t="shared" si="283"/>
        <v>0</v>
      </c>
      <c r="J3647">
        <f t="shared" si="284"/>
        <v>0</v>
      </c>
      <c r="K3647" s="141">
        <f t="shared" si="285"/>
        <v>0</v>
      </c>
    </row>
    <row r="3648" spans="7:11" hidden="1" x14ac:dyDescent="0.25">
      <c r="G3648">
        <f t="shared" si="281"/>
        <v>0</v>
      </c>
      <c r="H3648">
        <f t="shared" si="282"/>
        <v>0</v>
      </c>
      <c r="I3648" s="141">
        <f t="shared" si="283"/>
        <v>0</v>
      </c>
      <c r="J3648">
        <f t="shared" si="284"/>
        <v>0</v>
      </c>
      <c r="K3648" s="141">
        <f t="shared" si="285"/>
        <v>0</v>
      </c>
    </row>
    <row r="3649" spans="7:11" hidden="1" x14ac:dyDescent="0.25">
      <c r="G3649">
        <f t="shared" si="281"/>
        <v>0</v>
      </c>
      <c r="H3649">
        <f t="shared" si="282"/>
        <v>0</v>
      </c>
      <c r="I3649" s="141">
        <f t="shared" si="283"/>
        <v>0</v>
      </c>
      <c r="J3649">
        <f t="shared" si="284"/>
        <v>0</v>
      </c>
      <c r="K3649" s="141">
        <f t="shared" si="285"/>
        <v>0</v>
      </c>
    </row>
    <row r="3650" spans="7:11" hidden="1" x14ac:dyDescent="0.25">
      <c r="G3650">
        <f t="shared" ref="G3650:G3713" si="286">A3650</f>
        <v>0</v>
      </c>
      <c r="H3650">
        <f t="shared" ref="H3650:H3713" si="287">B3650</f>
        <v>0</v>
      </c>
      <c r="I3650" s="141">
        <f t="shared" ref="I3650:I3713" si="288">C3650</f>
        <v>0</v>
      </c>
      <c r="J3650">
        <f t="shared" ref="J3650:J3713" si="289">D3650</f>
        <v>0</v>
      </c>
      <c r="K3650" s="141">
        <f t="shared" ref="K3650:K3713" si="290">E3650</f>
        <v>0</v>
      </c>
    </row>
    <row r="3651" spans="7:11" hidden="1" x14ac:dyDescent="0.25">
      <c r="G3651">
        <f t="shared" si="286"/>
        <v>0</v>
      </c>
      <c r="H3651">
        <f t="shared" si="287"/>
        <v>0</v>
      </c>
      <c r="I3651" s="141">
        <f t="shared" si="288"/>
        <v>0</v>
      </c>
      <c r="J3651">
        <f t="shared" si="289"/>
        <v>0</v>
      </c>
      <c r="K3651" s="141">
        <f t="shared" si="290"/>
        <v>0</v>
      </c>
    </row>
    <row r="3652" spans="7:11" hidden="1" x14ac:dyDescent="0.25">
      <c r="G3652">
        <f t="shared" si="286"/>
        <v>0</v>
      </c>
      <c r="H3652">
        <f t="shared" si="287"/>
        <v>0</v>
      </c>
      <c r="I3652" s="141">
        <f t="shared" si="288"/>
        <v>0</v>
      </c>
      <c r="J3652">
        <f t="shared" si="289"/>
        <v>0</v>
      </c>
      <c r="K3652" s="141">
        <f t="shared" si="290"/>
        <v>0</v>
      </c>
    </row>
    <row r="3653" spans="7:11" hidden="1" x14ac:dyDescent="0.25">
      <c r="G3653">
        <f t="shared" si="286"/>
        <v>0</v>
      </c>
      <c r="H3653">
        <f t="shared" si="287"/>
        <v>0</v>
      </c>
      <c r="I3653" s="141">
        <f t="shared" si="288"/>
        <v>0</v>
      </c>
      <c r="J3653">
        <f t="shared" si="289"/>
        <v>0</v>
      </c>
      <c r="K3653" s="141">
        <f t="shared" si="290"/>
        <v>0</v>
      </c>
    </row>
    <row r="3654" spans="7:11" hidden="1" x14ac:dyDescent="0.25">
      <c r="G3654">
        <f t="shared" si="286"/>
        <v>0</v>
      </c>
      <c r="H3654">
        <f t="shared" si="287"/>
        <v>0</v>
      </c>
      <c r="I3654" s="141">
        <f t="shared" si="288"/>
        <v>0</v>
      </c>
      <c r="J3654">
        <f t="shared" si="289"/>
        <v>0</v>
      </c>
      <c r="K3654" s="141">
        <f t="shared" si="290"/>
        <v>0</v>
      </c>
    </row>
    <row r="3655" spans="7:11" hidden="1" x14ac:dyDescent="0.25">
      <c r="G3655">
        <f t="shared" si="286"/>
        <v>0</v>
      </c>
      <c r="H3655">
        <f t="shared" si="287"/>
        <v>0</v>
      </c>
      <c r="I3655" s="141">
        <f t="shared" si="288"/>
        <v>0</v>
      </c>
      <c r="J3655">
        <f t="shared" si="289"/>
        <v>0</v>
      </c>
      <c r="K3655" s="141">
        <f t="shared" si="290"/>
        <v>0</v>
      </c>
    </row>
    <row r="3656" spans="7:11" hidden="1" x14ac:dyDescent="0.25">
      <c r="G3656">
        <f t="shared" si="286"/>
        <v>0</v>
      </c>
      <c r="H3656">
        <f t="shared" si="287"/>
        <v>0</v>
      </c>
      <c r="I3656" s="141">
        <f t="shared" si="288"/>
        <v>0</v>
      </c>
      <c r="J3656">
        <f t="shared" si="289"/>
        <v>0</v>
      </c>
      <c r="K3656" s="141">
        <f t="shared" si="290"/>
        <v>0</v>
      </c>
    </row>
    <row r="3657" spans="7:11" hidden="1" x14ac:dyDescent="0.25">
      <c r="G3657">
        <f t="shared" si="286"/>
        <v>0</v>
      </c>
      <c r="H3657">
        <f t="shared" si="287"/>
        <v>0</v>
      </c>
      <c r="I3657" s="141">
        <f t="shared" si="288"/>
        <v>0</v>
      </c>
      <c r="J3657">
        <f t="shared" si="289"/>
        <v>0</v>
      </c>
      <c r="K3657" s="141">
        <f t="shared" si="290"/>
        <v>0</v>
      </c>
    </row>
    <row r="3658" spans="7:11" hidden="1" x14ac:dyDescent="0.25">
      <c r="G3658">
        <f t="shared" si="286"/>
        <v>0</v>
      </c>
      <c r="H3658">
        <f t="shared" si="287"/>
        <v>0</v>
      </c>
      <c r="I3658" s="141">
        <f t="shared" si="288"/>
        <v>0</v>
      </c>
      <c r="J3658">
        <f t="shared" si="289"/>
        <v>0</v>
      </c>
      <c r="K3658" s="141">
        <f t="shared" si="290"/>
        <v>0</v>
      </c>
    </row>
    <row r="3659" spans="7:11" hidden="1" x14ac:dyDescent="0.25">
      <c r="G3659">
        <f t="shared" si="286"/>
        <v>0</v>
      </c>
      <c r="H3659">
        <f t="shared" si="287"/>
        <v>0</v>
      </c>
      <c r="I3659" s="141">
        <f t="shared" si="288"/>
        <v>0</v>
      </c>
      <c r="J3659">
        <f t="shared" si="289"/>
        <v>0</v>
      </c>
      <c r="K3659" s="141">
        <f t="shared" si="290"/>
        <v>0</v>
      </c>
    </row>
    <row r="3660" spans="7:11" hidden="1" x14ac:dyDescent="0.25">
      <c r="G3660">
        <f t="shared" si="286"/>
        <v>0</v>
      </c>
      <c r="H3660">
        <f t="shared" si="287"/>
        <v>0</v>
      </c>
      <c r="I3660" s="141">
        <f t="shared" si="288"/>
        <v>0</v>
      </c>
      <c r="J3660">
        <f t="shared" si="289"/>
        <v>0</v>
      </c>
      <c r="K3660" s="141">
        <f t="shared" si="290"/>
        <v>0</v>
      </c>
    </row>
    <row r="3661" spans="7:11" hidden="1" x14ac:dyDescent="0.25">
      <c r="G3661">
        <f t="shared" si="286"/>
        <v>0</v>
      </c>
      <c r="H3661">
        <f t="shared" si="287"/>
        <v>0</v>
      </c>
      <c r="I3661" s="141">
        <f t="shared" si="288"/>
        <v>0</v>
      </c>
      <c r="J3661">
        <f t="shared" si="289"/>
        <v>0</v>
      </c>
      <c r="K3661" s="141">
        <f t="shared" si="290"/>
        <v>0</v>
      </c>
    </row>
    <row r="3662" spans="7:11" hidden="1" x14ac:dyDescent="0.25">
      <c r="G3662">
        <f t="shared" si="286"/>
        <v>0</v>
      </c>
      <c r="H3662">
        <f t="shared" si="287"/>
        <v>0</v>
      </c>
      <c r="I3662" s="141">
        <f t="shared" si="288"/>
        <v>0</v>
      </c>
      <c r="J3662">
        <f t="shared" si="289"/>
        <v>0</v>
      </c>
      <c r="K3662" s="141">
        <f t="shared" si="290"/>
        <v>0</v>
      </c>
    </row>
    <row r="3663" spans="7:11" hidden="1" x14ac:dyDescent="0.25">
      <c r="G3663">
        <f t="shared" si="286"/>
        <v>0</v>
      </c>
      <c r="H3663">
        <f t="shared" si="287"/>
        <v>0</v>
      </c>
      <c r="I3663" s="141">
        <f t="shared" si="288"/>
        <v>0</v>
      </c>
      <c r="J3663">
        <f t="shared" si="289"/>
        <v>0</v>
      </c>
      <c r="K3663" s="141">
        <f t="shared" si="290"/>
        <v>0</v>
      </c>
    </row>
    <row r="3664" spans="7:11" hidden="1" x14ac:dyDescent="0.25">
      <c r="G3664">
        <f t="shared" si="286"/>
        <v>0</v>
      </c>
      <c r="H3664">
        <f t="shared" si="287"/>
        <v>0</v>
      </c>
      <c r="I3664" s="141">
        <f t="shared" si="288"/>
        <v>0</v>
      </c>
      <c r="J3664">
        <f t="shared" si="289"/>
        <v>0</v>
      </c>
      <c r="K3664" s="141">
        <f t="shared" si="290"/>
        <v>0</v>
      </c>
    </row>
    <row r="3665" spans="7:11" hidden="1" x14ac:dyDescent="0.25">
      <c r="G3665">
        <f t="shared" si="286"/>
        <v>0</v>
      </c>
      <c r="H3665">
        <f t="shared" si="287"/>
        <v>0</v>
      </c>
      <c r="I3665" s="141">
        <f t="shared" si="288"/>
        <v>0</v>
      </c>
      <c r="J3665">
        <f t="shared" si="289"/>
        <v>0</v>
      </c>
      <c r="K3665" s="141">
        <f t="shared" si="290"/>
        <v>0</v>
      </c>
    </row>
    <row r="3666" spans="7:11" hidden="1" x14ac:dyDescent="0.25">
      <c r="G3666">
        <f t="shared" si="286"/>
        <v>0</v>
      </c>
      <c r="H3666">
        <f t="shared" si="287"/>
        <v>0</v>
      </c>
      <c r="I3666" s="141">
        <f t="shared" si="288"/>
        <v>0</v>
      </c>
      <c r="J3666">
        <f t="shared" si="289"/>
        <v>0</v>
      </c>
      <c r="K3666" s="141">
        <f t="shared" si="290"/>
        <v>0</v>
      </c>
    </row>
    <row r="3667" spans="7:11" hidden="1" x14ac:dyDescent="0.25">
      <c r="G3667">
        <f t="shared" si="286"/>
        <v>0</v>
      </c>
      <c r="H3667">
        <f t="shared" si="287"/>
        <v>0</v>
      </c>
      <c r="I3667" s="141">
        <f t="shared" si="288"/>
        <v>0</v>
      </c>
      <c r="J3667">
        <f t="shared" si="289"/>
        <v>0</v>
      </c>
      <c r="K3667" s="141">
        <f t="shared" si="290"/>
        <v>0</v>
      </c>
    </row>
    <row r="3668" spans="7:11" hidden="1" x14ac:dyDescent="0.25">
      <c r="G3668">
        <f t="shared" si="286"/>
        <v>0</v>
      </c>
      <c r="H3668">
        <f t="shared" si="287"/>
        <v>0</v>
      </c>
      <c r="I3668" s="141">
        <f t="shared" si="288"/>
        <v>0</v>
      </c>
      <c r="J3668">
        <f t="shared" si="289"/>
        <v>0</v>
      </c>
      <c r="K3668" s="141">
        <f t="shared" si="290"/>
        <v>0</v>
      </c>
    </row>
    <row r="3669" spans="7:11" hidden="1" x14ac:dyDescent="0.25">
      <c r="G3669">
        <f t="shared" si="286"/>
        <v>0</v>
      </c>
      <c r="H3669">
        <f t="shared" si="287"/>
        <v>0</v>
      </c>
      <c r="I3669" s="141">
        <f t="shared" si="288"/>
        <v>0</v>
      </c>
      <c r="J3669">
        <f t="shared" si="289"/>
        <v>0</v>
      </c>
      <c r="K3669" s="141">
        <f t="shared" si="290"/>
        <v>0</v>
      </c>
    </row>
    <row r="3670" spans="7:11" hidden="1" x14ac:dyDescent="0.25">
      <c r="G3670">
        <f t="shared" si="286"/>
        <v>0</v>
      </c>
      <c r="H3670">
        <f t="shared" si="287"/>
        <v>0</v>
      </c>
      <c r="I3670" s="141">
        <f t="shared" si="288"/>
        <v>0</v>
      </c>
      <c r="J3670">
        <f t="shared" si="289"/>
        <v>0</v>
      </c>
      <c r="K3670" s="141">
        <f t="shared" si="290"/>
        <v>0</v>
      </c>
    </row>
    <row r="3671" spans="7:11" hidden="1" x14ac:dyDescent="0.25">
      <c r="G3671">
        <f t="shared" si="286"/>
        <v>0</v>
      </c>
      <c r="H3671">
        <f t="shared" si="287"/>
        <v>0</v>
      </c>
      <c r="I3671" s="141">
        <f t="shared" si="288"/>
        <v>0</v>
      </c>
      <c r="J3671">
        <f t="shared" si="289"/>
        <v>0</v>
      </c>
      <c r="K3671" s="141">
        <f t="shared" si="290"/>
        <v>0</v>
      </c>
    </row>
    <row r="3672" spans="7:11" hidden="1" x14ac:dyDescent="0.25">
      <c r="G3672">
        <f t="shared" si="286"/>
        <v>0</v>
      </c>
      <c r="H3672">
        <f t="shared" si="287"/>
        <v>0</v>
      </c>
      <c r="I3672" s="141">
        <f t="shared" si="288"/>
        <v>0</v>
      </c>
      <c r="J3672">
        <f t="shared" si="289"/>
        <v>0</v>
      </c>
      <c r="K3672" s="141">
        <f t="shared" si="290"/>
        <v>0</v>
      </c>
    </row>
    <row r="3673" spans="7:11" hidden="1" x14ac:dyDescent="0.25">
      <c r="G3673">
        <f t="shared" si="286"/>
        <v>0</v>
      </c>
      <c r="H3673">
        <f t="shared" si="287"/>
        <v>0</v>
      </c>
      <c r="I3673" s="141">
        <f t="shared" si="288"/>
        <v>0</v>
      </c>
      <c r="J3673">
        <f t="shared" si="289"/>
        <v>0</v>
      </c>
      <c r="K3673" s="141">
        <f t="shared" si="290"/>
        <v>0</v>
      </c>
    </row>
    <row r="3674" spans="7:11" hidden="1" x14ac:dyDescent="0.25">
      <c r="G3674">
        <f t="shared" si="286"/>
        <v>0</v>
      </c>
      <c r="H3674">
        <f t="shared" si="287"/>
        <v>0</v>
      </c>
      <c r="I3674" s="141">
        <f t="shared" si="288"/>
        <v>0</v>
      </c>
      <c r="J3674">
        <f t="shared" si="289"/>
        <v>0</v>
      </c>
      <c r="K3674" s="141">
        <f t="shared" si="290"/>
        <v>0</v>
      </c>
    </row>
    <row r="3675" spans="7:11" hidden="1" x14ac:dyDescent="0.25">
      <c r="G3675">
        <f t="shared" si="286"/>
        <v>0</v>
      </c>
      <c r="H3675">
        <f t="shared" si="287"/>
        <v>0</v>
      </c>
      <c r="I3675" s="141">
        <f t="shared" si="288"/>
        <v>0</v>
      </c>
      <c r="J3675">
        <f t="shared" si="289"/>
        <v>0</v>
      </c>
      <c r="K3675" s="141">
        <f t="shared" si="290"/>
        <v>0</v>
      </c>
    </row>
    <row r="3676" spans="7:11" hidden="1" x14ac:dyDescent="0.25">
      <c r="G3676">
        <f t="shared" si="286"/>
        <v>0</v>
      </c>
      <c r="H3676">
        <f t="shared" si="287"/>
        <v>0</v>
      </c>
      <c r="I3676" s="141">
        <f t="shared" si="288"/>
        <v>0</v>
      </c>
      <c r="J3676">
        <f t="shared" si="289"/>
        <v>0</v>
      </c>
      <c r="K3676" s="141">
        <f t="shared" si="290"/>
        <v>0</v>
      </c>
    </row>
    <row r="3677" spans="7:11" hidden="1" x14ac:dyDescent="0.25">
      <c r="G3677">
        <f t="shared" si="286"/>
        <v>0</v>
      </c>
      <c r="H3677">
        <f t="shared" si="287"/>
        <v>0</v>
      </c>
      <c r="I3677" s="141">
        <f t="shared" si="288"/>
        <v>0</v>
      </c>
      <c r="J3677">
        <f t="shared" si="289"/>
        <v>0</v>
      </c>
      <c r="K3677" s="141">
        <f t="shared" si="290"/>
        <v>0</v>
      </c>
    </row>
    <row r="3678" spans="7:11" hidden="1" x14ac:dyDescent="0.25">
      <c r="G3678">
        <f t="shared" si="286"/>
        <v>0</v>
      </c>
      <c r="H3678">
        <f t="shared" si="287"/>
        <v>0</v>
      </c>
      <c r="I3678" s="141">
        <f t="shared" si="288"/>
        <v>0</v>
      </c>
      <c r="J3678">
        <f t="shared" si="289"/>
        <v>0</v>
      </c>
      <c r="K3678" s="141">
        <f t="shared" si="290"/>
        <v>0</v>
      </c>
    </row>
    <row r="3679" spans="7:11" hidden="1" x14ac:dyDescent="0.25">
      <c r="G3679">
        <f t="shared" si="286"/>
        <v>0</v>
      </c>
      <c r="H3679">
        <f t="shared" si="287"/>
        <v>0</v>
      </c>
      <c r="I3679" s="141">
        <f t="shared" si="288"/>
        <v>0</v>
      </c>
      <c r="J3679">
        <f t="shared" si="289"/>
        <v>0</v>
      </c>
      <c r="K3679" s="141">
        <f t="shared" si="290"/>
        <v>0</v>
      </c>
    </row>
    <row r="3680" spans="7:11" hidden="1" x14ac:dyDescent="0.25">
      <c r="G3680">
        <f t="shared" si="286"/>
        <v>0</v>
      </c>
      <c r="H3680">
        <f t="shared" si="287"/>
        <v>0</v>
      </c>
      <c r="I3680" s="141">
        <f t="shared" si="288"/>
        <v>0</v>
      </c>
      <c r="J3680">
        <f t="shared" si="289"/>
        <v>0</v>
      </c>
      <c r="K3680" s="141">
        <f t="shared" si="290"/>
        <v>0</v>
      </c>
    </row>
    <row r="3681" spans="7:11" hidden="1" x14ac:dyDescent="0.25">
      <c r="G3681">
        <f t="shared" si="286"/>
        <v>0</v>
      </c>
      <c r="H3681">
        <f t="shared" si="287"/>
        <v>0</v>
      </c>
      <c r="I3681" s="141">
        <f t="shared" si="288"/>
        <v>0</v>
      </c>
      <c r="J3681">
        <f t="shared" si="289"/>
        <v>0</v>
      </c>
      <c r="K3681" s="141">
        <f t="shared" si="290"/>
        <v>0</v>
      </c>
    </row>
    <row r="3682" spans="7:11" hidden="1" x14ac:dyDescent="0.25">
      <c r="G3682">
        <f t="shared" si="286"/>
        <v>0</v>
      </c>
      <c r="H3682">
        <f t="shared" si="287"/>
        <v>0</v>
      </c>
      <c r="I3682" s="141">
        <f t="shared" si="288"/>
        <v>0</v>
      </c>
      <c r="J3682">
        <f t="shared" si="289"/>
        <v>0</v>
      </c>
      <c r="K3682" s="141">
        <f t="shared" si="290"/>
        <v>0</v>
      </c>
    </row>
    <row r="3683" spans="7:11" hidden="1" x14ac:dyDescent="0.25">
      <c r="G3683">
        <f t="shared" si="286"/>
        <v>0</v>
      </c>
      <c r="H3683">
        <f t="shared" si="287"/>
        <v>0</v>
      </c>
      <c r="I3683" s="141">
        <f t="shared" si="288"/>
        <v>0</v>
      </c>
      <c r="J3683">
        <f t="shared" si="289"/>
        <v>0</v>
      </c>
      <c r="K3683" s="141">
        <f t="shared" si="290"/>
        <v>0</v>
      </c>
    </row>
    <row r="3684" spans="7:11" hidden="1" x14ac:dyDescent="0.25">
      <c r="G3684">
        <f t="shared" si="286"/>
        <v>0</v>
      </c>
      <c r="H3684">
        <f t="shared" si="287"/>
        <v>0</v>
      </c>
      <c r="I3684" s="141">
        <f t="shared" si="288"/>
        <v>0</v>
      </c>
      <c r="J3684">
        <f t="shared" si="289"/>
        <v>0</v>
      </c>
      <c r="K3684" s="141">
        <f t="shared" si="290"/>
        <v>0</v>
      </c>
    </row>
    <row r="3685" spans="7:11" hidden="1" x14ac:dyDescent="0.25">
      <c r="G3685">
        <f t="shared" si="286"/>
        <v>0</v>
      </c>
      <c r="H3685">
        <f t="shared" si="287"/>
        <v>0</v>
      </c>
      <c r="I3685" s="141">
        <f t="shared" si="288"/>
        <v>0</v>
      </c>
      <c r="J3685">
        <f t="shared" si="289"/>
        <v>0</v>
      </c>
      <c r="K3685" s="141">
        <f t="shared" si="290"/>
        <v>0</v>
      </c>
    </row>
    <row r="3686" spans="7:11" hidden="1" x14ac:dyDescent="0.25">
      <c r="G3686">
        <f t="shared" si="286"/>
        <v>0</v>
      </c>
      <c r="H3686">
        <f t="shared" si="287"/>
        <v>0</v>
      </c>
      <c r="I3686" s="141">
        <f t="shared" si="288"/>
        <v>0</v>
      </c>
      <c r="J3686">
        <f t="shared" si="289"/>
        <v>0</v>
      </c>
      <c r="K3686" s="141">
        <f t="shared" si="290"/>
        <v>0</v>
      </c>
    </row>
    <row r="3687" spans="7:11" hidden="1" x14ac:dyDescent="0.25">
      <c r="G3687">
        <f t="shared" si="286"/>
        <v>0</v>
      </c>
      <c r="H3687">
        <f t="shared" si="287"/>
        <v>0</v>
      </c>
      <c r="I3687" s="141">
        <f t="shared" si="288"/>
        <v>0</v>
      </c>
      <c r="J3687">
        <f t="shared" si="289"/>
        <v>0</v>
      </c>
      <c r="K3687" s="141">
        <f t="shared" si="290"/>
        <v>0</v>
      </c>
    </row>
    <row r="3688" spans="7:11" hidden="1" x14ac:dyDescent="0.25">
      <c r="G3688">
        <f t="shared" si="286"/>
        <v>0</v>
      </c>
      <c r="H3688">
        <f t="shared" si="287"/>
        <v>0</v>
      </c>
      <c r="I3688" s="141">
        <f t="shared" si="288"/>
        <v>0</v>
      </c>
      <c r="J3688">
        <f t="shared" si="289"/>
        <v>0</v>
      </c>
      <c r="K3688" s="141">
        <f t="shared" si="290"/>
        <v>0</v>
      </c>
    </row>
    <row r="3689" spans="7:11" hidden="1" x14ac:dyDescent="0.25">
      <c r="G3689">
        <f t="shared" si="286"/>
        <v>0</v>
      </c>
      <c r="H3689">
        <f t="shared" si="287"/>
        <v>0</v>
      </c>
      <c r="I3689" s="141">
        <f t="shared" si="288"/>
        <v>0</v>
      </c>
      <c r="J3689">
        <f t="shared" si="289"/>
        <v>0</v>
      </c>
      <c r="K3689" s="141">
        <f t="shared" si="290"/>
        <v>0</v>
      </c>
    </row>
    <row r="3690" spans="7:11" hidden="1" x14ac:dyDescent="0.25">
      <c r="G3690">
        <f t="shared" si="286"/>
        <v>0</v>
      </c>
      <c r="H3690">
        <f t="shared" si="287"/>
        <v>0</v>
      </c>
      <c r="I3690" s="141">
        <f t="shared" si="288"/>
        <v>0</v>
      </c>
      <c r="J3690">
        <f t="shared" si="289"/>
        <v>0</v>
      </c>
      <c r="K3690" s="141">
        <f t="shared" si="290"/>
        <v>0</v>
      </c>
    </row>
    <row r="3691" spans="7:11" hidden="1" x14ac:dyDescent="0.25">
      <c r="G3691">
        <f t="shared" si="286"/>
        <v>0</v>
      </c>
      <c r="H3691">
        <f t="shared" si="287"/>
        <v>0</v>
      </c>
      <c r="I3691" s="141">
        <f t="shared" si="288"/>
        <v>0</v>
      </c>
      <c r="J3691">
        <f t="shared" si="289"/>
        <v>0</v>
      </c>
      <c r="K3691" s="141">
        <f t="shared" si="290"/>
        <v>0</v>
      </c>
    </row>
    <row r="3692" spans="7:11" hidden="1" x14ac:dyDescent="0.25">
      <c r="G3692">
        <f t="shared" si="286"/>
        <v>0</v>
      </c>
      <c r="H3692">
        <f t="shared" si="287"/>
        <v>0</v>
      </c>
      <c r="I3692" s="141">
        <f t="shared" si="288"/>
        <v>0</v>
      </c>
      <c r="J3692">
        <f t="shared" si="289"/>
        <v>0</v>
      </c>
      <c r="K3692" s="141">
        <f t="shared" si="290"/>
        <v>0</v>
      </c>
    </row>
    <row r="3693" spans="7:11" hidden="1" x14ac:dyDescent="0.25">
      <c r="G3693">
        <f t="shared" si="286"/>
        <v>0</v>
      </c>
      <c r="H3693">
        <f t="shared" si="287"/>
        <v>0</v>
      </c>
      <c r="I3693" s="141">
        <f t="shared" si="288"/>
        <v>0</v>
      </c>
      <c r="J3693">
        <f t="shared" si="289"/>
        <v>0</v>
      </c>
      <c r="K3693" s="141">
        <f t="shared" si="290"/>
        <v>0</v>
      </c>
    </row>
    <row r="3694" spans="7:11" hidden="1" x14ac:dyDescent="0.25">
      <c r="G3694">
        <f t="shared" si="286"/>
        <v>0</v>
      </c>
      <c r="H3694">
        <f t="shared" si="287"/>
        <v>0</v>
      </c>
      <c r="I3694" s="141">
        <f t="shared" si="288"/>
        <v>0</v>
      </c>
      <c r="J3694">
        <f t="shared" si="289"/>
        <v>0</v>
      </c>
      <c r="K3694" s="141">
        <f t="shared" si="290"/>
        <v>0</v>
      </c>
    </row>
    <row r="3695" spans="7:11" hidden="1" x14ac:dyDescent="0.25">
      <c r="G3695">
        <f t="shared" si="286"/>
        <v>0</v>
      </c>
      <c r="H3695">
        <f t="shared" si="287"/>
        <v>0</v>
      </c>
      <c r="I3695" s="141">
        <f t="shared" si="288"/>
        <v>0</v>
      </c>
      <c r="J3695">
        <f t="shared" si="289"/>
        <v>0</v>
      </c>
      <c r="K3695" s="141">
        <f t="shared" si="290"/>
        <v>0</v>
      </c>
    </row>
    <row r="3696" spans="7:11" hidden="1" x14ac:dyDescent="0.25">
      <c r="G3696">
        <f t="shared" si="286"/>
        <v>0</v>
      </c>
      <c r="H3696">
        <f t="shared" si="287"/>
        <v>0</v>
      </c>
      <c r="I3696" s="141">
        <f t="shared" si="288"/>
        <v>0</v>
      </c>
      <c r="J3696">
        <f t="shared" si="289"/>
        <v>0</v>
      </c>
      <c r="K3696" s="141">
        <f t="shared" si="290"/>
        <v>0</v>
      </c>
    </row>
    <row r="3697" spans="7:11" hidden="1" x14ac:dyDescent="0.25">
      <c r="G3697">
        <f t="shared" si="286"/>
        <v>0</v>
      </c>
      <c r="H3697">
        <f t="shared" si="287"/>
        <v>0</v>
      </c>
      <c r="I3697" s="141">
        <f t="shared" si="288"/>
        <v>0</v>
      </c>
      <c r="J3697">
        <f t="shared" si="289"/>
        <v>0</v>
      </c>
      <c r="K3697" s="141">
        <f t="shared" si="290"/>
        <v>0</v>
      </c>
    </row>
    <row r="3698" spans="7:11" hidden="1" x14ac:dyDescent="0.25">
      <c r="G3698">
        <f t="shared" si="286"/>
        <v>0</v>
      </c>
      <c r="H3698">
        <f t="shared" si="287"/>
        <v>0</v>
      </c>
      <c r="I3698" s="141">
        <f t="shared" si="288"/>
        <v>0</v>
      </c>
      <c r="J3698">
        <f t="shared" si="289"/>
        <v>0</v>
      </c>
      <c r="K3698" s="141">
        <f t="shared" si="290"/>
        <v>0</v>
      </c>
    </row>
    <row r="3699" spans="7:11" hidden="1" x14ac:dyDescent="0.25">
      <c r="G3699">
        <f t="shared" si="286"/>
        <v>0</v>
      </c>
      <c r="H3699">
        <f t="shared" si="287"/>
        <v>0</v>
      </c>
      <c r="I3699" s="141">
        <f t="shared" si="288"/>
        <v>0</v>
      </c>
      <c r="J3699">
        <f t="shared" si="289"/>
        <v>0</v>
      </c>
      <c r="K3699" s="141">
        <f t="shared" si="290"/>
        <v>0</v>
      </c>
    </row>
    <row r="3700" spans="7:11" hidden="1" x14ac:dyDescent="0.25">
      <c r="G3700">
        <f t="shared" si="286"/>
        <v>0</v>
      </c>
      <c r="H3700">
        <f t="shared" si="287"/>
        <v>0</v>
      </c>
      <c r="I3700" s="141">
        <f t="shared" si="288"/>
        <v>0</v>
      </c>
      <c r="J3700">
        <f t="shared" si="289"/>
        <v>0</v>
      </c>
      <c r="K3700" s="141">
        <f t="shared" si="290"/>
        <v>0</v>
      </c>
    </row>
    <row r="3701" spans="7:11" hidden="1" x14ac:dyDescent="0.25">
      <c r="G3701">
        <f t="shared" si="286"/>
        <v>0</v>
      </c>
      <c r="H3701">
        <f t="shared" si="287"/>
        <v>0</v>
      </c>
      <c r="I3701" s="141">
        <f t="shared" si="288"/>
        <v>0</v>
      </c>
      <c r="J3701">
        <f t="shared" si="289"/>
        <v>0</v>
      </c>
      <c r="K3701" s="141">
        <f t="shared" si="290"/>
        <v>0</v>
      </c>
    </row>
    <row r="3702" spans="7:11" hidden="1" x14ac:dyDescent="0.25">
      <c r="G3702">
        <f t="shared" si="286"/>
        <v>0</v>
      </c>
      <c r="H3702">
        <f t="shared" si="287"/>
        <v>0</v>
      </c>
      <c r="I3702" s="141">
        <f t="shared" si="288"/>
        <v>0</v>
      </c>
      <c r="J3702">
        <f t="shared" si="289"/>
        <v>0</v>
      </c>
      <c r="K3702" s="141">
        <f t="shared" si="290"/>
        <v>0</v>
      </c>
    </row>
    <row r="3703" spans="7:11" hidden="1" x14ac:dyDescent="0.25">
      <c r="G3703">
        <f t="shared" si="286"/>
        <v>0</v>
      </c>
      <c r="H3703">
        <f t="shared" si="287"/>
        <v>0</v>
      </c>
      <c r="I3703" s="141">
        <f t="shared" si="288"/>
        <v>0</v>
      </c>
      <c r="J3703">
        <f t="shared" si="289"/>
        <v>0</v>
      </c>
      <c r="K3703" s="141">
        <f t="shared" si="290"/>
        <v>0</v>
      </c>
    </row>
    <row r="3704" spans="7:11" hidden="1" x14ac:dyDescent="0.25">
      <c r="G3704">
        <f t="shared" si="286"/>
        <v>0</v>
      </c>
      <c r="H3704">
        <f t="shared" si="287"/>
        <v>0</v>
      </c>
      <c r="I3704" s="141">
        <f t="shared" si="288"/>
        <v>0</v>
      </c>
      <c r="J3704">
        <f t="shared" si="289"/>
        <v>0</v>
      </c>
      <c r="K3704" s="141">
        <f t="shared" si="290"/>
        <v>0</v>
      </c>
    </row>
    <row r="3705" spans="7:11" hidden="1" x14ac:dyDescent="0.25">
      <c r="G3705">
        <f t="shared" si="286"/>
        <v>0</v>
      </c>
      <c r="H3705">
        <f t="shared" si="287"/>
        <v>0</v>
      </c>
      <c r="I3705" s="141">
        <f t="shared" si="288"/>
        <v>0</v>
      </c>
      <c r="J3705">
        <f t="shared" si="289"/>
        <v>0</v>
      </c>
      <c r="K3705" s="141">
        <f t="shared" si="290"/>
        <v>0</v>
      </c>
    </row>
    <row r="3706" spans="7:11" hidden="1" x14ac:dyDescent="0.25">
      <c r="G3706">
        <f t="shared" si="286"/>
        <v>0</v>
      </c>
      <c r="H3706">
        <f t="shared" si="287"/>
        <v>0</v>
      </c>
      <c r="I3706" s="141">
        <f t="shared" si="288"/>
        <v>0</v>
      </c>
      <c r="J3706">
        <f t="shared" si="289"/>
        <v>0</v>
      </c>
      <c r="K3706" s="141">
        <f t="shared" si="290"/>
        <v>0</v>
      </c>
    </row>
    <row r="3707" spans="7:11" hidden="1" x14ac:dyDescent="0.25">
      <c r="G3707">
        <f t="shared" si="286"/>
        <v>0</v>
      </c>
      <c r="H3707">
        <f t="shared" si="287"/>
        <v>0</v>
      </c>
      <c r="I3707" s="141">
        <f t="shared" si="288"/>
        <v>0</v>
      </c>
      <c r="J3707">
        <f t="shared" si="289"/>
        <v>0</v>
      </c>
      <c r="K3707" s="141">
        <f t="shared" si="290"/>
        <v>0</v>
      </c>
    </row>
    <row r="3708" spans="7:11" hidden="1" x14ac:dyDescent="0.25">
      <c r="G3708">
        <f t="shared" si="286"/>
        <v>0</v>
      </c>
      <c r="H3708">
        <f t="shared" si="287"/>
        <v>0</v>
      </c>
      <c r="I3708" s="141">
        <f t="shared" si="288"/>
        <v>0</v>
      </c>
      <c r="J3708">
        <f t="shared" si="289"/>
        <v>0</v>
      </c>
      <c r="K3708" s="141">
        <f t="shared" si="290"/>
        <v>0</v>
      </c>
    </row>
    <row r="3709" spans="7:11" hidden="1" x14ac:dyDescent="0.25">
      <c r="G3709">
        <f t="shared" si="286"/>
        <v>0</v>
      </c>
      <c r="H3709">
        <f t="shared" si="287"/>
        <v>0</v>
      </c>
      <c r="I3709" s="141">
        <f t="shared" si="288"/>
        <v>0</v>
      </c>
      <c r="J3709">
        <f t="shared" si="289"/>
        <v>0</v>
      </c>
      <c r="K3709" s="141">
        <f t="shared" si="290"/>
        <v>0</v>
      </c>
    </row>
    <row r="3710" spans="7:11" hidden="1" x14ac:dyDescent="0.25">
      <c r="G3710">
        <f t="shared" si="286"/>
        <v>0</v>
      </c>
      <c r="H3710">
        <f t="shared" si="287"/>
        <v>0</v>
      </c>
      <c r="I3710" s="141">
        <f t="shared" si="288"/>
        <v>0</v>
      </c>
      <c r="J3710">
        <f t="shared" si="289"/>
        <v>0</v>
      </c>
      <c r="K3710" s="141">
        <f t="shared" si="290"/>
        <v>0</v>
      </c>
    </row>
    <row r="3711" spans="7:11" hidden="1" x14ac:dyDescent="0.25">
      <c r="G3711">
        <f t="shared" si="286"/>
        <v>0</v>
      </c>
      <c r="H3711">
        <f t="shared" si="287"/>
        <v>0</v>
      </c>
      <c r="I3711" s="141">
        <f t="shared" si="288"/>
        <v>0</v>
      </c>
      <c r="J3711">
        <f t="shared" si="289"/>
        <v>0</v>
      </c>
      <c r="K3711" s="141">
        <f t="shared" si="290"/>
        <v>0</v>
      </c>
    </row>
    <row r="3712" spans="7:11" hidden="1" x14ac:dyDescent="0.25">
      <c r="G3712">
        <f t="shared" si="286"/>
        <v>0</v>
      </c>
      <c r="H3712">
        <f t="shared" si="287"/>
        <v>0</v>
      </c>
      <c r="I3712" s="141">
        <f t="shared" si="288"/>
        <v>0</v>
      </c>
      <c r="J3712">
        <f t="shared" si="289"/>
        <v>0</v>
      </c>
      <c r="K3712" s="141">
        <f t="shared" si="290"/>
        <v>0</v>
      </c>
    </row>
    <row r="3713" spans="7:11" hidden="1" x14ac:dyDescent="0.25">
      <c r="G3713">
        <f t="shared" si="286"/>
        <v>0</v>
      </c>
      <c r="H3713">
        <f t="shared" si="287"/>
        <v>0</v>
      </c>
      <c r="I3713" s="141">
        <f t="shared" si="288"/>
        <v>0</v>
      </c>
      <c r="J3713">
        <f t="shared" si="289"/>
        <v>0</v>
      </c>
      <c r="K3713" s="141">
        <f t="shared" si="290"/>
        <v>0</v>
      </c>
    </row>
    <row r="3714" spans="7:11" hidden="1" x14ac:dyDescent="0.25">
      <c r="G3714">
        <f t="shared" ref="G3714:G3777" si="291">A3714</f>
        <v>0</v>
      </c>
      <c r="H3714">
        <f t="shared" ref="H3714:H3777" si="292">B3714</f>
        <v>0</v>
      </c>
      <c r="I3714" s="141">
        <f t="shared" ref="I3714:I3777" si="293">C3714</f>
        <v>0</v>
      </c>
      <c r="J3714">
        <f t="shared" ref="J3714:J3777" si="294">D3714</f>
        <v>0</v>
      </c>
      <c r="K3714" s="141">
        <f t="shared" ref="K3714:K3777" si="295">E3714</f>
        <v>0</v>
      </c>
    </row>
    <row r="3715" spans="7:11" hidden="1" x14ac:dyDescent="0.25">
      <c r="G3715">
        <f t="shared" si="291"/>
        <v>0</v>
      </c>
      <c r="H3715">
        <f t="shared" si="292"/>
        <v>0</v>
      </c>
      <c r="I3715" s="141">
        <f t="shared" si="293"/>
        <v>0</v>
      </c>
      <c r="J3715">
        <f t="shared" si="294"/>
        <v>0</v>
      </c>
      <c r="K3715" s="141">
        <f t="shared" si="295"/>
        <v>0</v>
      </c>
    </row>
    <row r="3716" spans="7:11" hidden="1" x14ac:dyDescent="0.25">
      <c r="G3716">
        <f t="shared" si="291"/>
        <v>0</v>
      </c>
      <c r="H3716">
        <f t="shared" si="292"/>
        <v>0</v>
      </c>
      <c r="I3716" s="141">
        <f t="shared" si="293"/>
        <v>0</v>
      </c>
      <c r="J3716">
        <f t="shared" si="294"/>
        <v>0</v>
      </c>
      <c r="K3716" s="141">
        <f t="shared" si="295"/>
        <v>0</v>
      </c>
    </row>
    <row r="3717" spans="7:11" hidden="1" x14ac:dyDescent="0.25">
      <c r="G3717">
        <f t="shared" si="291"/>
        <v>0</v>
      </c>
      <c r="H3717">
        <f t="shared" si="292"/>
        <v>0</v>
      </c>
      <c r="I3717" s="141">
        <f t="shared" si="293"/>
        <v>0</v>
      </c>
      <c r="J3717">
        <f t="shared" si="294"/>
        <v>0</v>
      </c>
      <c r="K3717" s="141">
        <f t="shared" si="295"/>
        <v>0</v>
      </c>
    </row>
    <row r="3718" spans="7:11" hidden="1" x14ac:dyDescent="0.25">
      <c r="G3718">
        <f t="shared" si="291"/>
        <v>0</v>
      </c>
      <c r="H3718">
        <f t="shared" si="292"/>
        <v>0</v>
      </c>
      <c r="I3718" s="141">
        <f t="shared" si="293"/>
        <v>0</v>
      </c>
      <c r="J3718">
        <f t="shared" si="294"/>
        <v>0</v>
      </c>
      <c r="K3718" s="141">
        <f t="shared" si="295"/>
        <v>0</v>
      </c>
    </row>
    <row r="3719" spans="7:11" hidden="1" x14ac:dyDescent="0.25">
      <c r="G3719">
        <f t="shared" si="291"/>
        <v>0</v>
      </c>
      <c r="H3719">
        <f t="shared" si="292"/>
        <v>0</v>
      </c>
      <c r="I3719" s="141">
        <f t="shared" si="293"/>
        <v>0</v>
      </c>
      <c r="J3719">
        <f t="shared" si="294"/>
        <v>0</v>
      </c>
      <c r="K3719" s="141">
        <f t="shared" si="295"/>
        <v>0</v>
      </c>
    </row>
    <row r="3720" spans="7:11" hidden="1" x14ac:dyDescent="0.25">
      <c r="G3720">
        <f t="shared" si="291"/>
        <v>0</v>
      </c>
      <c r="H3720">
        <f t="shared" si="292"/>
        <v>0</v>
      </c>
      <c r="I3720" s="141">
        <f t="shared" si="293"/>
        <v>0</v>
      </c>
      <c r="J3720">
        <f t="shared" si="294"/>
        <v>0</v>
      </c>
      <c r="K3720" s="141">
        <f t="shared" si="295"/>
        <v>0</v>
      </c>
    </row>
    <row r="3721" spans="7:11" hidden="1" x14ac:dyDescent="0.25">
      <c r="G3721">
        <f t="shared" si="291"/>
        <v>0</v>
      </c>
      <c r="H3721">
        <f t="shared" si="292"/>
        <v>0</v>
      </c>
      <c r="I3721" s="141">
        <f t="shared" si="293"/>
        <v>0</v>
      </c>
      <c r="J3721">
        <f t="shared" si="294"/>
        <v>0</v>
      </c>
      <c r="K3721" s="141">
        <f t="shared" si="295"/>
        <v>0</v>
      </c>
    </row>
    <row r="3722" spans="7:11" hidden="1" x14ac:dyDescent="0.25">
      <c r="G3722">
        <f t="shared" si="291"/>
        <v>0</v>
      </c>
      <c r="H3722">
        <f t="shared" si="292"/>
        <v>0</v>
      </c>
      <c r="I3722" s="141">
        <f t="shared" si="293"/>
        <v>0</v>
      </c>
      <c r="J3722">
        <f t="shared" si="294"/>
        <v>0</v>
      </c>
      <c r="K3722" s="141">
        <f t="shared" si="295"/>
        <v>0</v>
      </c>
    </row>
    <row r="3723" spans="7:11" hidden="1" x14ac:dyDescent="0.25">
      <c r="G3723">
        <f t="shared" si="291"/>
        <v>0</v>
      </c>
      <c r="H3723">
        <f t="shared" si="292"/>
        <v>0</v>
      </c>
      <c r="I3723" s="141">
        <f t="shared" si="293"/>
        <v>0</v>
      </c>
      <c r="J3723">
        <f t="shared" si="294"/>
        <v>0</v>
      </c>
      <c r="K3723" s="141">
        <f t="shared" si="295"/>
        <v>0</v>
      </c>
    </row>
    <row r="3724" spans="7:11" hidden="1" x14ac:dyDescent="0.25">
      <c r="G3724">
        <f t="shared" si="291"/>
        <v>0</v>
      </c>
      <c r="H3724">
        <f t="shared" si="292"/>
        <v>0</v>
      </c>
      <c r="I3724" s="141">
        <f t="shared" si="293"/>
        <v>0</v>
      </c>
      <c r="J3724">
        <f t="shared" si="294"/>
        <v>0</v>
      </c>
      <c r="K3724" s="141">
        <f t="shared" si="295"/>
        <v>0</v>
      </c>
    </row>
    <row r="3725" spans="7:11" hidden="1" x14ac:dyDescent="0.25">
      <c r="G3725">
        <f t="shared" si="291"/>
        <v>0</v>
      </c>
      <c r="H3725">
        <f t="shared" si="292"/>
        <v>0</v>
      </c>
      <c r="I3725" s="141">
        <f t="shared" si="293"/>
        <v>0</v>
      </c>
      <c r="J3725">
        <f t="shared" si="294"/>
        <v>0</v>
      </c>
      <c r="K3725" s="141">
        <f t="shared" si="295"/>
        <v>0</v>
      </c>
    </row>
    <row r="3726" spans="7:11" hidden="1" x14ac:dyDescent="0.25">
      <c r="G3726">
        <f t="shared" si="291"/>
        <v>0</v>
      </c>
      <c r="H3726">
        <f t="shared" si="292"/>
        <v>0</v>
      </c>
      <c r="I3726" s="141">
        <f t="shared" si="293"/>
        <v>0</v>
      </c>
      <c r="J3726">
        <f t="shared" si="294"/>
        <v>0</v>
      </c>
      <c r="K3726" s="141">
        <f t="shared" si="295"/>
        <v>0</v>
      </c>
    </row>
    <row r="3727" spans="7:11" hidden="1" x14ac:dyDescent="0.25">
      <c r="G3727">
        <f t="shared" si="291"/>
        <v>0</v>
      </c>
      <c r="H3727">
        <f t="shared" si="292"/>
        <v>0</v>
      </c>
      <c r="I3727" s="141">
        <f t="shared" si="293"/>
        <v>0</v>
      </c>
      <c r="J3727">
        <f t="shared" si="294"/>
        <v>0</v>
      </c>
      <c r="K3727" s="141">
        <f t="shared" si="295"/>
        <v>0</v>
      </c>
    </row>
    <row r="3728" spans="7:11" hidden="1" x14ac:dyDescent="0.25">
      <c r="G3728">
        <f t="shared" si="291"/>
        <v>0</v>
      </c>
      <c r="H3728">
        <f t="shared" si="292"/>
        <v>0</v>
      </c>
      <c r="I3728" s="141">
        <f t="shared" si="293"/>
        <v>0</v>
      </c>
      <c r="J3728">
        <f t="shared" si="294"/>
        <v>0</v>
      </c>
      <c r="K3728" s="141">
        <f t="shared" si="295"/>
        <v>0</v>
      </c>
    </row>
    <row r="3729" spans="7:11" hidden="1" x14ac:dyDescent="0.25">
      <c r="G3729">
        <f t="shared" si="291"/>
        <v>0</v>
      </c>
      <c r="H3729">
        <f t="shared" si="292"/>
        <v>0</v>
      </c>
      <c r="I3729" s="141">
        <f t="shared" si="293"/>
        <v>0</v>
      </c>
      <c r="J3729">
        <f t="shared" si="294"/>
        <v>0</v>
      </c>
      <c r="K3729" s="141">
        <f t="shared" si="295"/>
        <v>0</v>
      </c>
    </row>
    <row r="3730" spans="7:11" hidden="1" x14ac:dyDescent="0.25">
      <c r="G3730">
        <f t="shared" si="291"/>
        <v>0</v>
      </c>
      <c r="H3730">
        <f t="shared" si="292"/>
        <v>0</v>
      </c>
      <c r="I3730" s="141">
        <f t="shared" si="293"/>
        <v>0</v>
      </c>
      <c r="J3730">
        <f t="shared" si="294"/>
        <v>0</v>
      </c>
      <c r="K3730" s="141">
        <f t="shared" si="295"/>
        <v>0</v>
      </c>
    </row>
    <row r="3731" spans="7:11" hidden="1" x14ac:dyDescent="0.25">
      <c r="G3731">
        <f t="shared" si="291"/>
        <v>0</v>
      </c>
      <c r="H3731">
        <f t="shared" si="292"/>
        <v>0</v>
      </c>
      <c r="I3731" s="141">
        <f t="shared" si="293"/>
        <v>0</v>
      </c>
      <c r="J3731">
        <f t="shared" si="294"/>
        <v>0</v>
      </c>
      <c r="K3731" s="141">
        <f t="shared" si="295"/>
        <v>0</v>
      </c>
    </row>
    <row r="3732" spans="7:11" hidden="1" x14ac:dyDescent="0.25">
      <c r="G3732">
        <f t="shared" si="291"/>
        <v>0</v>
      </c>
      <c r="H3732">
        <f t="shared" si="292"/>
        <v>0</v>
      </c>
      <c r="I3732" s="141">
        <f t="shared" si="293"/>
        <v>0</v>
      </c>
      <c r="J3732">
        <f t="shared" si="294"/>
        <v>0</v>
      </c>
      <c r="K3732" s="141">
        <f t="shared" si="295"/>
        <v>0</v>
      </c>
    </row>
    <row r="3733" spans="7:11" hidden="1" x14ac:dyDescent="0.25">
      <c r="G3733">
        <f t="shared" si="291"/>
        <v>0</v>
      </c>
      <c r="H3733">
        <f t="shared" si="292"/>
        <v>0</v>
      </c>
      <c r="I3733" s="141">
        <f t="shared" si="293"/>
        <v>0</v>
      </c>
      <c r="J3733">
        <f t="shared" si="294"/>
        <v>0</v>
      </c>
      <c r="K3733" s="141">
        <f t="shared" si="295"/>
        <v>0</v>
      </c>
    </row>
    <row r="3734" spans="7:11" hidden="1" x14ac:dyDescent="0.25">
      <c r="G3734">
        <f t="shared" si="291"/>
        <v>0</v>
      </c>
      <c r="H3734">
        <f t="shared" si="292"/>
        <v>0</v>
      </c>
      <c r="I3734" s="141">
        <f t="shared" si="293"/>
        <v>0</v>
      </c>
      <c r="J3734">
        <f t="shared" si="294"/>
        <v>0</v>
      </c>
      <c r="K3734" s="141">
        <f t="shared" si="295"/>
        <v>0</v>
      </c>
    </row>
    <row r="3735" spans="7:11" hidden="1" x14ac:dyDescent="0.25">
      <c r="G3735">
        <f t="shared" si="291"/>
        <v>0</v>
      </c>
      <c r="H3735">
        <f t="shared" si="292"/>
        <v>0</v>
      </c>
      <c r="I3735" s="141">
        <f t="shared" si="293"/>
        <v>0</v>
      </c>
      <c r="J3735">
        <f t="shared" si="294"/>
        <v>0</v>
      </c>
      <c r="K3735" s="141">
        <f t="shared" si="295"/>
        <v>0</v>
      </c>
    </row>
    <row r="3736" spans="7:11" hidden="1" x14ac:dyDescent="0.25">
      <c r="G3736">
        <f t="shared" si="291"/>
        <v>0</v>
      </c>
      <c r="H3736">
        <f t="shared" si="292"/>
        <v>0</v>
      </c>
      <c r="I3736" s="141">
        <f t="shared" si="293"/>
        <v>0</v>
      </c>
      <c r="J3736">
        <f t="shared" si="294"/>
        <v>0</v>
      </c>
      <c r="K3736" s="141">
        <f t="shared" si="295"/>
        <v>0</v>
      </c>
    </row>
    <row r="3737" spans="7:11" hidden="1" x14ac:dyDescent="0.25">
      <c r="G3737">
        <f t="shared" si="291"/>
        <v>0</v>
      </c>
      <c r="H3737">
        <f t="shared" si="292"/>
        <v>0</v>
      </c>
      <c r="I3737" s="141">
        <f t="shared" si="293"/>
        <v>0</v>
      </c>
      <c r="J3737">
        <f t="shared" si="294"/>
        <v>0</v>
      </c>
      <c r="K3737" s="141">
        <f t="shared" si="295"/>
        <v>0</v>
      </c>
    </row>
    <row r="3738" spans="7:11" hidden="1" x14ac:dyDescent="0.25">
      <c r="G3738">
        <f t="shared" si="291"/>
        <v>0</v>
      </c>
      <c r="H3738">
        <f t="shared" si="292"/>
        <v>0</v>
      </c>
      <c r="I3738" s="141">
        <f t="shared" si="293"/>
        <v>0</v>
      </c>
      <c r="J3738">
        <f t="shared" si="294"/>
        <v>0</v>
      </c>
      <c r="K3738" s="141">
        <f t="shared" si="295"/>
        <v>0</v>
      </c>
    </row>
    <row r="3739" spans="7:11" hidden="1" x14ac:dyDescent="0.25">
      <c r="G3739">
        <f t="shared" si="291"/>
        <v>0</v>
      </c>
      <c r="H3739">
        <f t="shared" si="292"/>
        <v>0</v>
      </c>
      <c r="I3739" s="141">
        <f t="shared" si="293"/>
        <v>0</v>
      </c>
      <c r="J3739">
        <f t="shared" si="294"/>
        <v>0</v>
      </c>
      <c r="K3739" s="141">
        <f t="shared" si="295"/>
        <v>0</v>
      </c>
    </row>
    <row r="3740" spans="7:11" hidden="1" x14ac:dyDescent="0.25">
      <c r="G3740">
        <f t="shared" si="291"/>
        <v>0</v>
      </c>
      <c r="H3740">
        <f t="shared" si="292"/>
        <v>0</v>
      </c>
      <c r="I3740" s="141">
        <f t="shared" si="293"/>
        <v>0</v>
      </c>
      <c r="J3740">
        <f t="shared" si="294"/>
        <v>0</v>
      </c>
      <c r="K3740" s="141">
        <f t="shared" si="295"/>
        <v>0</v>
      </c>
    </row>
    <row r="3741" spans="7:11" hidden="1" x14ac:dyDescent="0.25">
      <c r="G3741">
        <f t="shared" si="291"/>
        <v>0</v>
      </c>
      <c r="H3741">
        <f t="shared" si="292"/>
        <v>0</v>
      </c>
      <c r="I3741" s="141">
        <f t="shared" si="293"/>
        <v>0</v>
      </c>
      <c r="J3741">
        <f t="shared" si="294"/>
        <v>0</v>
      </c>
      <c r="K3741" s="141">
        <f t="shared" si="295"/>
        <v>0</v>
      </c>
    </row>
    <row r="3742" spans="7:11" hidden="1" x14ac:dyDescent="0.25">
      <c r="G3742">
        <f t="shared" si="291"/>
        <v>0</v>
      </c>
      <c r="H3742">
        <f t="shared" si="292"/>
        <v>0</v>
      </c>
      <c r="I3742" s="141">
        <f t="shared" si="293"/>
        <v>0</v>
      </c>
      <c r="J3742">
        <f t="shared" si="294"/>
        <v>0</v>
      </c>
      <c r="K3742" s="141">
        <f t="shared" si="295"/>
        <v>0</v>
      </c>
    </row>
    <row r="3743" spans="7:11" hidden="1" x14ac:dyDescent="0.25">
      <c r="G3743">
        <f t="shared" si="291"/>
        <v>0</v>
      </c>
      <c r="H3743">
        <f t="shared" si="292"/>
        <v>0</v>
      </c>
      <c r="I3743" s="141">
        <f t="shared" si="293"/>
        <v>0</v>
      </c>
      <c r="J3743">
        <f t="shared" si="294"/>
        <v>0</v>
      </c>
      <c r="K3743" s="141">
        <f t="shared" si="295"/>
        <v>0</v>
      </c>
    </row>
    <row r="3744" spans="7:11" hidden="1" x14ac:dyDescent="0.25">
      <c r="G3744">
        <f t="shared" si="291"/>
        <v>0</v>
      </c>
      <c r="H3744">
        <f t="shared" si="292"/>
        <v>0</v>
      </c>
      <c r="I3744" s="141">
        <f t="shared" si="293"/>
        <v>0</v>
      </c>
      <c r="J3744">
        <f t="shared" si="294"/>
        <v>0</v>
      </c>
      <c r="K3744" s="141">
        <f t="shared" si="295"/>
        <v>0</v>
      </c>
    </row>
    <row r="3745" spans="7:11" hidden="1" x14ac:dyDescent="0.25">
      <c r="G3745">
        <f t="shared" si="291"/>
        <v>0</v>
      </c>
      <c r="H3745">
        <f t="shared" si="292"/>
        <v>0</v>
      </c>
      <c r="I3745" s="141">
        <f t="shared" si="293"/>
        <v>0</v>
      </c>
      <c r="J3745">
        <f t="shared" si="294"/>
        <v>0</v>
      </c>
      <c r="K3745" s="141">
        <f t="shared" si="295"/>
        <v>0</v>
      </c>
    </row>
    <row r="3746" spans="7:11" hidden="1" x14ac:dyDescent="0.25">
      <c r="G3746">
        <f t="shared" si="291"/>
        <v>0</v>
      </c>
      <c r="H3746">
        <f t="shared" si="292"/>
        <v>0</v>
      </c>
      <c r="I3746" s="141">
        <f t="shared" si="293"/>
        <v>0</v>
      </c>
      <c r="J3746">
        <f t="shared" si="294"/>
        <v>0</v>
      </c>
      <c r="K3746" s="141">
        <f t="shared" si="295"/>
        <v>0</v>
      </c>
    </row>
    <row r="3747" spans="7:11" hidden="1" x14ac:dyDescent="0.25">
      <c r="G3747">
        <f t="shared" si="291"/>
        <v>0</v>
      </c>
      <c r="H3747">
        <f t="shared" si="292"/>
        <v>0</v>
      </c>
      <c r="I3747" s="141">
        <f t="shared" si="293"/>
        <v>0</v>
      </c>
      <c r="J3747">
        <f t="shared" si="294"/>
        <v>0</v>
      </c>
      <c r="K3747" s="141">
        <f t="shared" si="295"/>
        <v>0</v>
      </c>
    </row>
    <row r="3748" spans="7:11" hidden="1" x14ac:dyDescent="0.25">
      <c r="G3748">
        <f t="shared" si="291"/>
        <v>0</v>
      </c>
      <c r="H3748">
        <f t="shared" si="292"/>
        <v>0</v>
      </c>
      <c r="I3748" s="141">
        <f t="shared" si="293"/>
        <v>0</v>
      </c>
      <c r="J3748">
        <f t="shared" si="294"/>
        <v>0</v>
      </c>
      <c r="K3748" s="141">
        <f t="shared" si="295"/>
        <v>0</v>
      </c>
    </row>
    <row r="3749" spans="7:11" hidden="1" x14ac:dyDescent="0.25">
      <c r="G3749">
        <f t="shared" si="291"/>
        <v>0</v>
      </c>
      <c r="H3749">
        <f t="shared" si="292"/>
        <v>0</v>
      </c>
      <c r="I3749" s="141">
        <f t="shared" si="293"/>
        <v>0</v>
      </c>
      <c r="J3749">
        <f t="shared" si="294"/>
        <v>0</v>
      </c>
      <c r="K3749" s="141">
        <f t="shared" si="295"/>
        <v>0</v>
      </c>
    </row>
    <row r="3750" spans="7:11" hidden="1" x14ac:dyDescent="0.25">
      <c r="G3750">
        <f t="shared" si="291"/>
        <v>0</v>
      </c>
      <c r="H3750">
        <f t="shared" si="292"/>
        <v>0</v>
      </c>
      <c r="I3750" s="141">
        <f t="shared" si="293"/>
        <v>0</v>
      </c>
      <c r="J3750">
        <f t="shared" si="294"/>
        <v>0</v>
      </c>
      <c r="K3750" s="141">
        <f t="shared" si="295"/>
        <v>0</v>
      </c>
    </row>
    <row r="3751" spans="7:11" hidden="1" x14ac:dyDescent="0.25">
      <c r="G3751">
        <f t="shared" si="291"/>
        <v>0</v>
      </c>
      <c r="H3751">
        <f t="shared" si="292"/>
        <v>0</v>
      </c>
      <c r="I3751" s="141">
        <f t="shared" si="293"/>
        <v>0</v>
      </c>
      <c r="J3751">
        <f t="shared" si="294"/>
        <v>0</v>
      </c>
      <c r="K3751" s="141">
        <f t="shared" si="295"/>
        <v>0</v>
      </c>
    </row>
    <row r="3752" spans="7:11" hidden="1" x14ac:dyDescent="0.25">
      <c r="G3752">
        <f t="shared" si="291"/>
        <v>0</v>
      </c>
      <c r="H3752">
        <f t="shared" si="292"/>
        <v>0</v>
      </c>
      <c r="I3752" s="141">
        <f t="shared" si="293"/>
        <v>0</v>
      </c>
      <c r="J3752">
        <f t="shared" si="294"/>
        <v>0</v>
      </c>
      <c r="K3752" s="141">
        <f t="shared" si="295"/>
        <v>0</v>
      </c>
    </row>
    <row r="3753" spans="7:11" hidden="1" x14ac:dyDescent="0.25">
      <c r="G3753">
        <f t="shared" si="291"/>
        <v>0</v>
      </c>
      <c r="H3753">
        <f t="shared" si="292"/>
        <v>0</v>
      </c>
      <c r="I3753" s="141">
        <f t="shared" si="293"/>
        <v>0</v>
      </c>
      <c r="J3753">
        <f t="shared" si="294"/>
        <v>0</v>
      </c>
      <c r="K3753" s="141">
        <f t="shared" si="295"/>
        <v>0</v>
      </c>
    </row>
    <row r="3754" spans="7:11" hidden="1" x14ac:dyDescent="0.25">
      <c r="G3754">
        <f t="shared" si="291"/>
        <v>0</v>
      </c>
      <c r="H3754">
        <f t="shared" si="292"/>
        <v>0</v>
      </c>
      <c r="I3754" s="141">
        <f t="shared" si="293"/>
        <v>0</v>
      </c>
      <c r="J3754">
        <f t="shared" si="294"/>
        <v>0</v>
      </c>
      <c r="K3754" s="141">
        <f t="shared" si="295"/>
        <v>0</v>
      </c>
    </row>
    <row r="3755" spans="7:11" hidden="1" x14ac:dyDescent="0.25">
      <c r="G3755">
        <f t="shared" si="291"/>
        <v>0</v>
      </c>
      <c r="H3755">
        <f t="shared" si="292"/>
        <v>0</v>
      </c>
      <c r="I3755" s="141">
        <f t="shared" si="293"/>
        <v>0</v>
      </c>
      <c r="J3755">
        <f t="shared" si="294"/>
        <v>0</v>
      </c>
      <c r="K3755" s="141">
        <f t="shared" si="295"/>
        <v>0</v>
      </c>
    </row>
    <row r="3756" spans="7:11" hidden="1" x14ac:dyDescent="0.25">
      <c r="G3756">
        <f t="shared" si="291"/>
        <v>0</v>
      </c>
      <c r="H3756">
        <f t="shared" si="292"/>
        <v>0</v>
      </c>
      <c r="I3756" s="141">
        <f t="shared" si="293"/>
        <v>0</v>
      </c>
      <c r="J3756">
        <f t="shared" si="294"/>
        <v>0</v>
      </c>
      <c r="K3756" s="141">
        <f t="shared" si="295"/>
        <v>0</v>
      </c>
    </row>
    <row r="3757" spans="7:11" hidden="1" x14ac:dyDescent="0.25">
      <c r="G3757">
        <f t="shared" si="291"/>
        <v>0</v>
      </c>
      <c r="H3757">
        <f t="shared" si="292"/>
        <v>0</v>
      </c>
      <c r="I3757" s="141">
        <f t="shared" si="293"/>
        <v>0</v>
      </c>
      <c r="J3757">
        <f t="shared" si="294"/>
        <v>0</v>
      </c>
      <c r="K3757" s="141">
        <f t="shared" si="295"/>
        <v>0</v>
      </c>
    </row>
    <row r="3758" spans="7:11" hidden="1" x14ac:dyDescent="0.25">
      <c r="G3758">
        <f t="shared" si="291"/>
        <v>0</v>
      </c>
      <c r="H3758">
        <f t="shared" si="292"/>
        <v>0</v>
      </c>
      <c r="I3758" s="141">
        <f t="shared" si="293"/>
        <v>0</v>
      </c>
      <c r="J3758">
        <f t="shared" si="294"/>
        <v>0</v>
      </c>
      <c r="K3758" s="141">
        <f t="shared" si="295"/>
        <v>0</v>
      </c>
    </row>
    <row r="3759" spans="7:11" hidden="1" x14ac:dyDescent="0.25">
      <c r="G3759">
        <f t="shared" si="291"/>
        <v>0</v>
      </c>
      <c r="H3759">
        <f t="shared" si="292"/>
        <v>0</v>
      </c>
      <c r="I3759" s="141">
        <f t="shared" si="293"/>
        <v>0</v>
      </c>
      <c r="J3759">
        <f t="shared" si="294"/>
        <v>0</v>
      </c>
      <c r="K3759" s="141">
        <f t="shared" si="295"/>
        <v>0</v>
      </c>
    </row>
    <row r="3760" spans="7:11" hidden="1" x14ac:dyDescent="0.25">
      <c r="G3760">
        <f t="shared" si="291"/>
        <v>0</v>
      </c>
      <c r="H3760">
        <f t="shared" si="292"/>
        <v>0</v>
      </c>
      <c r="I3760" s="141">
        <f t="shared" si="293"/>
        <v>0</v>
      </c>
      <c r="J3760">
        <f t="shared" si="294"/>
        <v>0</v>
      </c>
      <c r="K3760" s="141">
        <f t="shared" si="295"/>
        <v>0</v>
      </c>
    </row>
    <row r="3761" spans="7:11" hidden="1" x14ac:dyDescent="0.25">
      <c r="G3761">
        <f t="shared" si="291"/>
        <v>0</v>
      </c>
      <c r="H3761">
        <f t="shared" si="292"/>
        <v>0</v>
      </c>
      <c r="I3761" s="141">
        <f t="shared" si="293"/>
        <v>0</v>
      </c>
      <c r="J3761">
        <f t="shared" si="294"/>
        <v>0</v>
      </c>
      <c r="K3761" s="141">
        <f t="shared" si="295"/>
        <v>0</v>
      </c>
    </row>
    <row r="3762" spans="7:11" hidden="1" x14ac:dyDescent="0.25">
      <c r="G3762">
        <f t="shared" si="291"/>
        <v>0</v>
      </c>
      <c r="H3762">
        <f t="shared" si="292"/>
        <v>0</v>
      </c>
      <c r="I3762" s="141">
        <f t="shared" si="293"/>
        <v>0</v>
      </c>
      <c r="J3762">
        <f t="shared" si="294"/>
        <v>0</v>
      </c>
      <c r="K3762" s="141">
        <f t="shared" si="295"/>
        <v>0</v>
      </c>
    </row>
    <row r="3763" spans="7:11" hidden="1" x14ac:dyDescent="0.25">
      <c r="G3763">
        <f t="shared" si="291"/>
        <v>0</v>
      </c>
      <c r="H3763">
        <f t="shared" si="292"/>
        <v>0</v>
      </c>
      <c r="I3763" s="141">
        <f t="shared" si="293"/>
        <v>0</v>
      </c>
      <c r="J3763">
        <f t="shared" si="294"/>
        <v>0</v>
      </c>
      <c r="K3763" s="141">
        <f t="shared" si="295"/>
        <v>0</v>
      </c>
    </row>
    <row r="3764" spans="7:11" hidden="1" x14ac:dyDescent="0.25">
      <c r="G3764">
        <f t="shared" si="291"/>
        <v>0</v>
      </c>
      <c r="H3764">
        <f t="shared" si="292"/>
        <v>0</v>
      </c>
      <c r="I3764" s="141">
        <f t="shared" si="293"/>
        <v>0</v>
      </c>
      <c r="J3764">
        <f t="shared" si="294"/>
        <v>0</v>
      </c>
      <c r="K3764" s="141">
        <f t="shared" si="295"/>
        <v>0</v>
      </c>
    </row>
    <row r="3765" spans="7:11" hidden="1" x14ac:dyDescent="0.25">
      <c r="G3765">
        <f t="shared" si="291"/>
        <v>0</v>
      </c>
      <c r="H3765">
        <f t="shared" si="292"/>
        <v>0</v>
      </c>
      <c r="I3765" s="141">
        <f t="shared" si="293"/>
        <v>0</v>
      </c>
      <c r="J3765">
        <f t="shared" si="294"/>
        <v>0</v>
      </c>
      <c r="K3765" s="141">
        <f t="shared" si="295"/>
        <v>0</v>
      </c>
    </row>
    <row r="3766" spans="7:11" hidden="1" x14ac:dyDescent="0.25">
      <c r="G3766">
        <f t="shared" si="291"/>
        <v>0</v>
      </c>
      <c r="H3766">
        <f t="shared" si="292"/>
        <v>0</v>
      </c>
      <c r="I3766" s="141">
        <f t="shared" si="293"/>
        <v>0</v>
      </c>
      <c r="J3766">
        <f t="shared" si="294"/>
        <v>0</v>
      </c>
      <c r="K3766" s="141">
        <f t="shared" si="295"/>
        <v>0</v>
      </c>
    </row>
    <row r="3767" spans="7:11" hidden="1" x14ac:dyDescent="0.25">
      <c r="G3767">
        <f t="shared" si="291"/>
        <v>0</v>
      </c>
      <c r="H3767">
        <f t="shared" si="292"/>
        <v>0</v>
      </c>
      <c r="I3767" s="141">
        <f t="shared" si="293"/>
        <v>0</v>
      </c>
      <c r="J3767">
        <f t="shared" si="294"/>
        <v>0</v>
      </c>
      <c r="K3767" s="141">
        <f t="shared" si="295"/>
        <v>0</v>
      </c>
    </row>
    <row r="3768" spans="7:11" hidden="1" x14ac:dyDescent="0.25">
      <c r="G3768">
        <f t="shared" si="291"/>
        <v>0</v>
      </c>
      <c r="H3768">
        <f t="shared" si="292"/>
        <v>0</v>
      </c>
      <c r="I3768" s="141">
        <f t="shared" si="293"/>
        <v>0</v>
      </c>
      <c r="J3768">
        <f t="shared" si="294"/>
        <v>0</v>
      </c>
      <c r="K3768" s="141">
        <f t="shared" si="295"/>
        <v>0</v>
      </c>
    </row>
    <row r="3769" spans="7:11" hidden="1" x14ac:dyDescent="0.25">
      <c r="G3769">
        <f t="shared" si="291"/>
        <v>0</v>
      </c>
      <c r="H3769">
        <f t="shared" si="292"/>
        <v>0</v>
      </c>
      <c r="I3769" s="141">
        <f t="shared" si="293"/>
        <v>0</v>
      </c>
      <c r="J3769">
        <f t="shared" si="294"/>
        <v>0</v>
      </c>
      <c r="K3769" s="141">
        <f t="shared" si="295"/>
        <v>0</v>
      </c>
    </row>
    <row r="3770" spans="7:11" hidden="1" x14ac:dyDescent="0.25">
      <c r="G3770">
        <f t="shared" si="291"/>
        <v>0</v>
      </c>
      <c r="H3770">
        <f t="shared" si="292"/>
        <v>0</v>
      </c>
      <c r="I3770" s="141">
        <f t="shared" si="293"/>
        <v>0</v>
      </c>
      <c r="J3770">
        <f t="shared" si="294"/>
        <v>0</v>
      </c>
      <c r="K3770" s="141">
        <f t="shared" si="295"/>
        <v>0</v>
      </c>
    </row>
    <row r="3771" spans="7:11" hidden="1" x14ac:dyDescent="0.25">
      <c r="G3771">
        <f t="shared" si="291"/>
        <v>0</v>
      </c>
      <c r="H3771">
        <f t="shared" si="292"/>
        <v>0</v>
      </c>
      <c r="I3771" s="141">
        <f t="shared" si="293"/>
        <v>0</v>
      </c>
      <c r="J3771">
        <f t="shared" si="294"/>
        <v>0</v>
      </c>
      <c r="K3771" s="141">
        <f t="shared" si="295"/>
        <v>0</v>
      </c>
    </row>
    <row r="3772" spans="7:11" hidden="1" x14ac:dyDescent="0.25">
      <c r="G3772">
        <f t="shared" si="291"/>
        <v>0</v>
      </c>
      <c r="H3772">
        <f t="shared" si="292"/>
        <v>0</v>
      </c>
      <c r="I3772" s="141">
        <f t="shared" si="293"/>
        <v>0</v>
      </c>
      <c r="J3772">
        <f t="shared" si="294"/>
        <v>0</v>
      </c>
      <c r="K3772" s="141">
        <f t="shared" si="295"/>
        <v>0</v>
      </c>
    </row>
    <row r="3773" spans="7:11" hidden="1" x14ac:dyDescent="0.25">
      <c r="G3773">
        <f t="shared" si="291"/>
        <v>0</v>
      </c>
      <c r="H3773">
        <f t="shared" si="292"/>
        <v>0</v>
      </c>
      <c r="I3773" s="141">
        <f t="shared" si="293"/>
        <v>0</v>
      </c>
      <c r="J3773">
        <f t="shared" si="294"/>
        <v>0</v>
      </c>
      <c r="K3773" s="141">
        <f t="shared" si="295"/>
        <v>0</v>
      </c>
    </row>
    <row r="3774" spans="7:11" hidden="1" x14ac:dyDescent="0.25">
      <c r="G3774">
        <f t="shared" si="291"/>
        <v>0</v>
      </c>
      <c r="H3774">
        <f t="shared" si="292"/>
        <v>0</v>
      </c>
      <c r="I3774" s="141">
        <f t="shared" si="293"/>
        <v>0</v>
      </c>
      <c r="J3774">
        <f t="shared" si="294"/>
        <v>0</v>
      </c>
      <c r="K3774" s="141">
        <f t="shared" si="295"/>
        <v>0</v>
      </c>
    </row>
    <row r="3775" spans="7:11" hidden="1" x14ac:dyDescent="0.25">
      <c r="G3775">
        <f t="shared" si="291"/>
        <v>0</v>
      </c>
      <c r="H3775">
        <f t="shared" si="292"/>
        <v>0</v>
      </c>
      <c r="I3775" s="141">
        <f t="shared" si="293"/>
        <v>0</v>
      </c>
      <c r="J3775">
        <f t="shared" si="294"/>
        <v>0</v>
      </c>
      <c r="K3775" s="141">
        <f t="shared" si="295"/>
        <v>0</v>
      </c>
    </row>
    <row r="3776" spans="7:11" hidden="1" x14ac:dyDescent="0.25">
      <c r="G3776">
        <f t="shared" si="291"/>
        <v>0</v>
      </c>
      <c r="H3776">
        <f t="shared" si="292"/>
        <v>0</v>
      </c>
      <c r="I3776" s="141">
        <f t="shared" si="293"/>
        <v>0</v>
      </c>
      <c r="J3776">
        <f t="shared" si="294"/>
        <v>0</v>
      </c>
      <c r="K3776" s="141">
        <f t="shared" si="295"/>
        <v>0</v>
      </c>
    </row>
    <row r="3777" spans="7:11" hidden="1" x14ac:dyDescent="0.25">
      <c r="G3777">
        <f t="shared" si="291"/>
        <v>0</v>
      </c>
      <c r="H3777">
        <f t="shared" si="292"/>
        <v>0</v>
      </c>
      <c r="I3777" s="141">
        <f t="shared" si="293"/>
        <v>0</v>
      </c>
      <c r="J3777">
        <f t="shared" si="294"/>
        <v>0</v>
      </c>
      <c r="K3777" s="141">
        <f t="shared" si="295"/>
        <v>0</v>
      </c>
    </row>
    <row r="3778" spans="7:11" hidden="1" x14ac:dyDescent="0.25">
      <c r="G3778">
        <f t="shared" ref="G3778:G3841" si="296">A3778</f>
        <v>0</v>
      </c>
      <c r="H3778">
        <f t="shared" ref="H3778:H3841" si="297">B3778</f>
        <v>0</v>
      </c>
      <c r="I3778" s="141">
        <f t="shared" ref="I3778:I3841" si="298">C3778</f>
        <v>0</v>
      </c>
      <c r="J3778">
        <f t="shared" ref="J3778:J3841" si="299">D3778</f>
        <v>0</v>
      </c>
      <c r="K3778" s="141">
        <f t="shared" ref="K3778:K3841" si="300">E3778</f>
        <v>0</v>
      </c>
    </row>
    <row r="3779" spans="7:11" hidden="1" x14ac:dyDescent="0.25">
      <c r="G3779">
        <f t="shared" si="296"/>
        <v>0</v>
      </c>
      <c r="H3779">
        <f t="shared" si="297"/>
        <v>0</v>
      </c>
      <c r="I3779" s="141">
        <f t="shared" si="298"/>
        <v>0</v>
      </c>
      <c r="J3779">
        <f t="shared" si="299"/>
        <v>0</v>
      </c>
      <c r="K3779" s="141">
        <f t="shared" si="300"/>
        <v>0</v>
      </c>
    </row>
    <row r="3780" spans="7:11" hidden="1" x14ac:dyDescent="0.25">
      <c r="G3780">
        <f t="shared" si="296"/>
        <v>0</v>
      </c>
      <c r="H3780">
        <f t="shared" si="297"/>
        <v>0</v>
      </c>
      <c r="I3780" s="141">
        <f t="shared" si="298"/>
        <v>0</v>
      </c>
      <c r="J3780">
        <f t="shared" si="299"/>
        <v>0</v>
      </c>
      <c r="K3780" s="141">
        <f t="shared" si="300"/>
        <v>0</v>
      </c>
    </row>
    <row r="3781" spans="7:11" hidden="1" x14ac:dyDescent="0.25">
      <c r="G3781">
        <f t="shared" si="296"/>
        <v>0</v>
      </c>
      <c r="H3781">
        <f t="shared" si="297"/>
        <v>0</v>
      </c>
      <c r="I3781" s="141">
        <f t="shared" si="298"/>
        <v>0</v>
      </c>
      <c r="J3781">
        <f t="shared" si="299"/>
        <v>0</v>
      </c>
      <c r="K3781" s="141">
        <f t="shared" si="300"/>
        <v>0</v>
      </c>
    </row>
    <row r="3782" spans="7:11" hidden="1" x14ac:dyDescent="0.25">
      <c r="G3782">
        <f t="shared" si="296"/>
        <v>0</v>
      </c>
      <c r="H3782">
        <f t="shared" si="297"/>
        <v>0</v>
      </c>
      <c r="I3782" s="141">
        <f t="shared" si="298"/>
        <v>0</v>
      </c>
      <c r="J3782">
        <f t="shared" si="299"/>
        <v>0</v>
      </c>
      <c r="K3782" s="141">
        <f t="shared" si="300"/>
        <v>0</v>
      </c>
    </row>
    <row r="3783" spans="7:11" hidden="1" x14ac:dyDescent="0.25">
      <c r="G3783">
        <f t="shared" si="296"/>
        <v>0</v>
      </c>
      <c r="H3783">
        <f t="shared" si="297"/>
        <v>0</v>
      </c>
      <c r="I3783" s="141">
        <f t="shared" si="298"/>
        <v>0</v>
      </c>
      <c r="J3783">
        <f t="shared" si="299"/>
        <v>0</v>
      </c>
      <c r="K3783" s="141">
        <f t="shared" si="300"/>
        <v>0</v>
      </c>
    </row>
    <row r="3784" spans="7:11" hidden="1" x14ac:dyDescent="0.25">
      <c r="G3784">
        <f t="shared" si="296"/>
        <v>0</v>
      </c>
      <c r="H3784">
        <f t="shared" si="297"/>
        <v>0</v>
      </c>
      <c r="I3784" s="141">
        <f t="shared" si="298"/>
        <v>0</v>
      </c>
      <c r="J3784">
        <f t="shared" si="299"/>
        <v>0</v>
      </c>
      <c r="K3784" s="141">
        <f t="shared" si="300"/>
        <v>0</v>
      </c>
    </row>
    <row r="3785" spans="7:11" hidden="1" x14ac:dyDescent="0.25">
      <c r="G3785">
        <f t="shared" si="296"/>
        <v>0</v>
      </c>
      <c r="H3785">
        <f t="shared" si="297"/>
        <v>0</v>
      </c>
      <c r="I3785" s="141">
        <f t="shared" si="298"/>
        <v>0</v>
      </c>
      <c r="J3785">
        <f t="shared" si="299"/>
        <v>0</v>
      </c>
      <c r="K3785" s="141">
        <f t="shared" si="300"/>
        <v>0</v>
      </c>
    </row>
    <row r="3786" spans="7:11" hidden="1" x14ac:dyDescent="0.25">
      <c r="G3786">
        <f t="shared" si="296"/>
        <v>0</v>
      </c>
      <c r="H3786">
        <f t="shared" si="297"/>
        <v>0</v>
      </c>
      <c r="I3786" s="141">
        <f t="shared" si="298"/>
        <v>0</v>
      </c>
      <c r="J3786">
        <f t="shared" si="299"/>
        <v>0</v>
      </c>
      <c r="K3786" s="141">
        <f t="shared" si="300"/>
        <v>0</v>
      </c>
    </row>
    <row r="3787" spans="7:11" hidden="1" x14ac:dyDescent="0.25">
      <c r="G3787">
        <f t="shared" si="296"/>
        <v>0</v>
      </c>
      <c r="H3787">
        <f t="shared" si="297"/>
        <v>0</v>
      </c>
      <c r="I3787" s="141">
        <f t="shared" si="298"/>
        <v>0</v>
      </c>
      <c r="J3787">
        <f t="shared" si="299"/>
        <v>0</v>
      </c>
      <c r="K3787" s="141">
        <f t="shared" si="300"/>
        <v>0</v>
      </c>
    </row>
    <row r="3788" spans="7:11" hidden="1" x14ac:dyDescent="0.25">
      <c r="G3788">
        <f t="shared" si="296"/>
        <v>0</v>
      </c>
      <c r="H3788">
        <f t="shared" si="297"/>
        <v>0</v>
      </c>
      <c r="I3788" s="141">
        <f t="shared" si="298"/>
        <v>0</v>
      </c>
      <c r="J3788">
        <f t="shared" si="299"/>
        <v>0</v>
      </c>
      <c r="K3788" s="141">
        <f t="shared" si="300"/>
        <v>0</v>
      </c>
    </row>
    <row r="3789" spans="7:11" hidden="1" x14ac:dyDescent="0.25">
      <c r="G3789">
        <f t="shared" si="296"/>
        <v>0</v>
      </c>
      <c r="H3789">
        <f t="shared" si="297"/>
        <v>0</v>
      </c>
      <c r="I3789" s="141">
        <f t="shared" si="298"/>
        <v>0</v>
      </c>
      <c r="J3789">
        <f t="shared" si="299"/>
        <v>0</v>
      </c>
      <c r="K3789" s="141">
        <f t="shared" si="300"/>
        <v>0</v>
      </c>
    </row>
    <row r="3790" spans="7:11" hidden="1" x14ac:dyDescent="0.25">
      <c r="G3790">
        <f t="shared" si="296"/>
        <v>0</v>
      </c>
      <c r="H3790">
        <f t="shared" si="297"/>
        <v>0</v>
      </c>
      <c r="I3790" s="141">
        <f t="shared" si="298"/>
        <v>0</v>
      </c>
      <c r="J3790">
        <f t="shared" si="299"/>
        <v>0</v>
      </c>
      <c r="K3790" s="141">
        <f t="shared" si="300"/>
        <v>0</v>
      </c>
    </row>
    <row r="3791" spans="7:11" hidden="1" x14ac:dyDescent="0.25">
      <c r="G3791">
        <f t="shared" si="296"/>
        <v>0</v>
      </c>
      <c r="H3791">
        <f t="shared" si="297"/>
        <v>0</v>
      </c>
      <c r="I3791" s="141">
        <f t="shared" si="298"/>
        <v>0</v>
      </c>
      <c r="J3791">
        <f t="shared" si="299"/>
        <v>0</v>
      </c>
      <c r="K3791" s="141">
        <f t="shared" si="300"/>
        <v>0</v>
      </c>
    </row>
    <row r="3792" spans="7:11" hidden="1" x14ac:dyDescent="0.25">
      <c r="G3792">
        <f t="shared" si="296"/>
        <v>0</v>
      </c>
      <c r="H3792">
        <f t="shared" si="297"/>
        <v>0</v>
      </c>
      <c r="I3792" s="141">
        <f t="shared" si="298"/>
        <v>0</v>
      </c>
      <c r="J3792">
        <f t="shared" si="299"/>
        <v>0</v>
      </c>
      <c r="K3792" s="141">
        <f t="shared" si="300"/>
        <v>0</v>
      </c>
    </row>
    <row r="3793" spans="7:11" hidden="1" x14ac:dyDescent="0.25">
      <c r="G3793">
        <f t="shared" si="296"/>
        <v>0</v>
      </c>
      <c r="H3793">
        <f t="shared" si="297"/>
        <v>0</v>
      </c>
      <c r="I3793" s="141">
        <f t="shared" si="298"/>
        <v>0</v>
      </c>
      <c r="J3793">
        <f t="shared" si="299"/>
        <v>0</v>
      </c>
      <c r="K3793" s="141">
        <f t="shared" si="300"/>
        <v>0</v>
      </c>
    </row>
    <row r="3794" spans="7:11" hidden="1" x14ac:dyDescent="0.25">
      <c r="G3794">
        <f t="shared" si="296"/>
        <v>0</v>
      </c>
      <c r="H3794">
        <f t="shared" si="297"/>
        <v>0</v>
      </c>
      <c r="I3794" s="141">
        <f t="shared" si="298"/>
        <v>0</v>
      </c>
      <c r="J3794">
        <f t="shared" si="299"/>
        <v>0</v>
      </c>
      <c r="K3794" s="141">
        <f t="shared" si="300"/>
        <v>0</v>
      </c>
    </row>
    <row r="3795" spans="7:11" hidden="1" x14ac:dyDescent="0.25">
      <c r="G3795">
        <f t="shared" si="296"/>
        <v>0</v>
      </c>
      <c r="H3795">
        <f t="shared" si="297"/>
        <v>0</v>
      </c>
      <c r="I3795" s="141">
        <f t="shared" si="298"/>
        <v>0</v>
      </c>
      <c r="J3795">
        <f t="shared" si="299"/>
        <v>0</v>
      </c>
      <c r="K3795" s="141">
        <f t="shared" si="300"/>
        <v>0</v>
      </c>
    </row>
    <row r="3796" spans="7:11" hidden="1" x14ac:dyDescent="0.25">
      <c r="G3796">
        <f t="shared" si="296"/>
        <v>0</v>
      </c>
      <c r="H3796">
        <f t="shared" si="297"/>
        <v>0</v>
      </c>
      <c r="I3796" s="141">
        <f t="shared" si="298"/>
        <v>0</v>
      </c>
      <c r="J3796">
        <f t="shared" si="299"/>
        <v>0</v>
      </c>
      <c r="K3796" s="141">
        <f t="shared" si="300"/>
        <v>0</v>
      </c>
    </row>
    <row r="3797" spans="7:11" hidden="1" x14ac:dyDescent="0.25">
      <c r="G3797">
        <f t="shared" si="296"/>
        <v>0</v>
      </c>
      <c r="H3797">
        <f t="shared" si="297"/>
        <v>0</v>
      </c>
      <c r="I3797" s="141">
        <f t="shared" si="298"/>
        <v>0</v>
      </c>
      <c r="J3797">
        <f t="shared" si="299"/>
        <v>0</v>
      </c>
      <c r="K3797" s="141">
        <f t="shared" si="300"/>
        <v>0</v>
      </c>
    </row>
    <row r="3798" spans="7:11" hidden="1" x14ac:dyDescent="0.25">
      <c r="G3798">
        <f t="shared" si="296"/>
        <v>0</v>
      </c>
      <c r="H3798">
        <f t="shared" si="297"/>
        <v>0</v>
      </c>
      <c r="I3798" s="141">
        <f t="shared" si="298"/>
        <v>0</v>
      </c>
      <c r="J3798">
        <f t="shared" si="299"/>
        <v>0</v>
      </c>
      <c r="K3798" s="141">
        <f t="shared" si="300"/>
        <v>0</v>
      </c>
    </row>
    <row r="3799" spans="7:11" hidden="1" x14ac:dyDescent="0.25">
      <c r="G3799">
        <f t="shared" si="296"/>
        <v>0</v>
      </c>
      <c r="H3799">
        <f t="shared" si="297"/>
        <v>0</v>
      </c>
      <c r="I3799" s="141">
        <f t="shared" si="298"/>
        <v>0</v>
      </c>
      <c r="J3799">
        <f t="shared" si="299"/>
        <v>0</v>
      </c>
      <c r="K3799" s="141">
        <f t="shared" si="300"/>
        <v>0</v>
      </c>
    </row>
    <row r="3800" spans="7:11" hidden="1" x14ac:dyDescent="0.25">
      <c r="G3800">
        <f t="shared" si="296"/>
        <v>0</v>
      </c>
      <c r="H3800">
        <f t="shared" si="297"/>
        <v>0</v>
      </c>
      <c r="I3800" s="141">
        <f t="shared" si="298"/>
        <v>0</v>
      </c>
      <c r="J3800">
        <f t="shared" si="299"/>
        <v>0</v>
      </c>
      <c r="K3800" s="141">
        <f t="shared" si="300"/>
        <v>0</v>
      </c>
    </row>
    <row r="3801" spans="7:11" hidden="1" x14ac:dyDescent="0.25">
      <c r="G3801">
        <f t="shared" si="296"/>
        <v>0</v>
      </c>
      <c r="H3801">
        <f t="shared" si="297"/>
        <v>0</v>
      </c>
      <c r="I3801" s="141">
        <f t="shared" si="298"/>
        <v>0</v>
      </c>
      <c r="J3801">
        <f t="shared" si="299"/>
        <v>0</v>
      </c>
      <c r="K3801" s="141">
        <f t="shared" si="300"/>
        <v>0</v>
      </c>
    </row>
    <row r="3802" spans="7:11" hidden="1" x14ac:dyDescent="0.25">
      <c r="G3802">
        <f t="shared" si="296"/>
        <v>0</v>
      </c>
      <c r="H3802">
        <f t="shared" si="297"/>
        <v>0</v>
      </c>
      <c r="I3802" s="141">
        <f t="shared" si="298"/>
        <v>0</v>
      </c>
      <c r="J3802">
        <f t="shared" si="299"/>
        <v>0</v>
      </c>
      <c r="K3802" s="141">
        <f t="shared" si="300"/>
        <v>0</v>
      </c>
    </row>
    <row r="3803" spans="7:11" hidden="1" x14ac:dyDescent="0.25">
      <c r="G3803">
        <f t="shared" si="296"/>
        <v>0</v>
      </c>
      <c r="H3803">
        <f t="shared" si="297"/>
        <v>0</v>
      </c>
      <c r="I3803" s="141">
        <f t="shared" si="298"/>
        <v>0</v>
      </c>
      <c r="J3803">
        <f t="shared" si="299"/>
        <v>0</v>
      </c>
      <c r="K3803" s="141">
        <f t="shared" si="300"/>
        <v>0</v>
      </c>
    </row>
    <row r="3804" spans="7:11" hidden="1" x14ac:dyDescent="0.25">
      <c r="G3804">
        <f t="shared" si="296"/>
        <v>0</v>
      </c>
      <c r="H3804">
        <f t="shared" si="297"/>
        <v>0</v>
      </c>
      <c r="I3804" s="141">
        <f t="shared" si="298"/>
        <v>0</v>
      </c>
      <c r="J3804">
        <f t="shared" si="299"/>
        <v>0</v>
      </c>
      <c r="K3804" s="141">
        <f t="shared" si="300"/>
        <v>0</v>
      </c>
    </row>
    <row r="3805" spans="7:11" hidden="1" x14ac:dyDescent="0.25">
      <c r="G3805">
        <f t="shared" si="296"/>
        <v>0</v>
      </c>
      <c r="H3805">
        <f t="shared" si="297"/>
        <v>0</v>
      </c>
      <c r="I3805" s="141">
        <f t="shared" si="298"/>
        <v>0</v>
      </c>
      <c r="J3805">
        <f t="shared" si="299"/>
        <v>0</v>
      </c>
      <c r="K3805" s="141">
        <f t="shared" si="300"/>
        <v>0</v>
      </c>
    </row>
    <row r="3806" spans="7:11" hidden="1" x14ac:dyDescent="0.25">
      <c r="G3806">
        <f t="shared" si="296"/>
        <v>0</v>
      </c>
      <c r="H3806">
        <f t="shared" si="297"/>
        <v>0</v>
      </c>
      <c r="I3806" s="141">
        <f t="shared" si="298"/>
        <v>0</v>
      </c>
      <c r="J3806">
        <f t="shared" si="299"/>
        <v>0</v>
      </c>
      <c r="K3806" s="141">
        <f t="shared" si="300"/>
        <v>0</v>
      </c>
    </row>
    <row r="3807" spans="7:11" hidden="1" x14ac:dyDescent="0.25">
      <c r="G3807">
        <f t="shared" si="296"/>
        <v>0</v>
      </c>
      <c r="H3807">
        <f t="shared" si="297"/>
        <v>0</v>
      </c>
      <c r="I3807" s="141">
        <f t="shared" si="298"/>
        <v>0</v>
      </c>
      <c r="J3807">
        <f t="shared" si="299"/>
        <v>0</v>
      </c>
      <c r="K3807" s="141">
        <f t="shared" si="300"/>
        <v>0</v>
      </c>
    </row>
    <row r="3808" spans="7:11" hidden="1" x14ac:dyDescent="0.25">
      <c r="G3808">
        <f t="shared" si="296"/>
        <v>0</v>
      </c>
      <c r="H3808">
        <f t="shared" si="297"/>
        <v>0</v>
      </c>
      <c r="I3808" s="141">
        <f t="shared" si="298"/>
        <v>0</v>
      </c>
      <c r="J3808">
        <f t="shared" si="299"/>
        <v>0</v>
      </c>
      <c r="K3808" s="141">
        <f t="shared" si="300"/>
        <v>0</v>
      </c>
    </row>
    <row r="3809" spans="7:11" hidden="1" x14ac:dyDescent="0.25">
      <c r="G3809">
        <f t="shared" si="296"/>
        <v>0</v>
      </c>
      <c r="H3809">
        <f t="shared" si="297"/>
        <v>0</v>
      </c>
      <c r="I3809" s="141">
        <f t="shared" si="298"/>
        <v>0</v>
      </c>
      <c r="J3809">
        <f t="shared" si="299"/>
        <v>0</v>
      </c>
      <c r="K3809" s="141">
        <f t="shared" si="300"/>
        <v>0</v>
      </c>
    </row>
    <row r="3810" spans="7:11" hidden="1" x14ac:dyDescent="0.25">
      <c r="G3810">
        <f t="shared" si="296"/>
        <v>0</v>
      </c>
      <c r="H3810">
        <f t="shared" si="297"/>
        <v>0</v>
      </c>
      <c r="I3810" s="141">
        <f t="shared" si="298"/>
        <v>0</v>
      </c>
      <c r="J3810">
        <f t="shared" si="299"/>
        <v>0</v>
      </c>
      <c r="K3810" s="141">
        <f t="shared" si="300"/>
        <v>0</v>
      </c>
    </row>
    <row r="3811" spans="7:11" hidden="1" x14ac:dyDescent="0.25">
      <c r="G3811">
        <f t="shared" si="296"/>
        <v>0</v>
      </c>
      <c r="H3811">
        <f t="shared" si="297"/>
        <v>0</v>
      </c>
      <c r="I3811" s="141">
        <f t="shared" si="298"/>
        <v>0</v>
      </c>
      <c r="J3811">
        <f t="shared" si="299"/>
        <v>0</v>
      </c>
      <c r="K3811" s="141">
        <f t="shared" si="300"/>
        <v>0</v>
      </c>
    </row>
    <row r="3812" spans="7:11" hidden="1" x14ac:dyDescent="0.25">
      <c r="G3812">
        <f t="shared" si="296"/>
        <v>0</v>
      </c>
      <c r="H3812">
        <f t="shared" si="297"/>
        <v>0</v>
      </c>
      <c r="I3812" s="141">
        <f t="shared" si="298"/>
        <v>0</v>
      </c>
      <c r="J3812">
        <f t="shared" si="299"/>
        <v>0</v>
      </c>
      <c r="K3812" s="141">
        <f t="shared" si="300"/>
        <v>0</v>
      </c>
    </row>
    <row r="3813" spans="7:11" hidden="1" x14ac:dyDescent="0.25">
      <c r="G3813">
        <f t="shared" si="296"/>
        <v>0</v>
      </c>
      <c r="H3813">
        <f t="shared" si="297"/>
        <v>0</v>
      </c>
      <c r="I3813" s="141">
        <f t="shared" si="298"/>
        <v>0</v>
      </c>
      <c r="J3813">
        <f t="shared" si="299"/>
        <v>0</v>
      </c>
      <c r="K3813" s="141">
        <f t="shared" si="300"/>
        <v>0</v>
      </c>
    </row>
    <row r="3814" spans="7:11" hidden="1" x14ac:dyDescent="0.25">
      <c r="G3814">
        <f t="shared" si="296"/>
        <v>0</v>
      </c>
      <c r="H3814">
        <f t="shared" si="297"/>
        <v>0</v>
      </c>
      <c r="I3814" s="141">
        <f t="shared" si="298"/>
        <v>0</v>
      </c>
      <c r="J3814">
        <f t="shared" si="299"/>
        <v>0</v>
      </c>
      <c r="K3814" s="141">
        <f t="shared" si="300"/>
        <v>0</v>
      </c>
    </row>
    <row r="3815" spans="7:11" hidden="1" x14ac:dyDescent="0.25">
      <c r="G3815">
        <f t="shared" si="296"/>
        <v>0</v>
      </c>
      <c r="H3815">
        <f t="shared" si="297"/>
        <v>0</v>
      </c>
      <c r="I3815" s="141">
        <f t="shared" si="298"/>
        <v>0</v>
      </c>
      <c r="J3815">
        <f t="shared" si="299"/>
        <v>0</v>
      </c>
      <c r="K3815" s="141">
        <f t="shared" si="300"/>
        <v>0</v>
      </c>
    </row>
    <row r="3816" spans="7:11" hidden="1" x14ac:dyDescent="0.25">
      <c r="G3816">
        <f t="shared" si="296"/>
        <v>0</v>
      </c>
      <c r="H3816">
        <f t="shared" si="297"/>
        <v>0</v>
      </c>
      <c r="I3816" s="141">
        <f t="shared" si="298"/>
        <v>0</v>
      </c>
      <c r="J3816">
        <f t="shared" si="299"/>
        <v>0</v>
      </c>
      <c r="K3816" s="141">
        <f t="shared" si="300"/>
        <v>0</v>
      </c>
    </row>
    <row r="3817" spans="7:11" hidden="1" x14ac:dyDescent="0.25">
      <c r="G3817">
        <f t="shared" si="296"/>
        <v>0</v>
      </c>
      <c r="H3817">
        <f t="shared" si="297"/>
        <v>0</v>
      </c>
      <c r="I3817" s="141">
        <f t="shared" si="298"/>
        <v>0</v>
      </c>
      <c r="J3817">
        <f t="shared" si="299"/>
        <v>0</v>
      </c>
      <c r="K3817" s="141">
        <f t="shared" si="300"/>
        <v>0</v>
      </c>
    </row>
    <row r="3818" spans="7:11" hidden="1" x14ac:dyDescent="0.25">
      <c r="G3818">
        <f t="shared" si="296"/>
        <v>0</v>
      </c>
      <c r="H3818">
        <f t="shared" si="297"/>
        <v>0</v>
      </c>
      <c r="I3818" s="141">
        <f t="shared" si="298"/>
        <v>0</v>
      </c>
      <c r="J3818">
        <f t="shared" si="299"/>
        <v>0</v>
      </c>
      <c r="K3818" s="141">
        <f t="shared" si="300"/>
        <v>0</v>
      </c>
    </row>
    <row r="3819" spans="7:11" hidden="1" x14ac:dyDescent="0.25">
      <c r="G3819">
        <f t="shared" si="296"/>
        <v>0</v>
      </c>
      <c r="H3819">
        <f t="shared" si="297"/>
        <v>0</v>
      </c>
      <c r="I3819" s="141">
        <f t="shared" si="298"/>
        <v>0</v>
      </c>
      <c r="J3819">
        <f t="shared" si="299"/>
        <v>0</v>
      </c>
      <c r="K3819" s="141">
        <f t="shared" si="300"/>
        <v>0</v>
      </c>
    </row>
    <row r="3820" spans="7:11" hidden="1" x14ac:dyDescent="0.25">
      <c r="G3820">
        <f t="shared" si="296"/>
        <v>0</v>
      </c>
      <c r="H3820">
        <f t="shared" si="297"/>
        <v>0</v>
      </c>
      <c r="I3820" s="141">
        <f t="shared" si="298"/>
        <v>0</v>
      </c>
      <c r="J3820">
        <f t="shared" si="299"/>
        <v>0</v>
      </c>
      <c r="K3820" s="141">
        <f t="shared" si="300"/>
        <v>0</v>
      </c>
    </row>
    <row r="3821" spans="7:11" hidden="1" x14ac:dyDescent="0.25">
      <c r="G3821">
        <f t="shared" si="296"/>
        <v>0</v>
      </c>
      <c r="H3821">
        <f t="shared" si="297"/>
        <v>0</v>
      </c>
      <c r="I3821" s="141">
        <f t="shared" si="298"/>
        <v>0</v>
      </c>
      <c r="J3821">
        <f t="shared" si="299"/>
        <v>0</v>
      </c>
      <c r="K3821" s="141">
        <f t="shared" si="300"/>
        <v>0</v>
      </c>
    </row>
    <row r="3822" spans="7:11" hidden="1" x14ac:dyDescent="0.25">
      <c r="G3822">
        <f t="shared" si="296"/>
        <v>0</v>
      </c>
      <c r="H3822">
        <f t="shared" si="297"/>
        <v>0</v>
      </c>
      <c r="I3822" s="141">
        <f t="shared" si="298"/>
        <v>0</v>
      </c>
      <c r="J3822">
        <f t="shared" si="299"/>
        <v>0</v>
      </c>
      <c r="K3822" s="141">
        <f t="shared" si="300"/>
        <v>0</v>
      </c>
    </row>
    <row r="3823" spans="7:11" hidden="1" x14ac:dyDescent="0.25">
      <c r="G3823">
        <f t="shared" si="296"/>
        <v>0</v>
      </c>
      <c r="H3823">
        <f t="shared" si="297"/>
        <v>0</v>
      </c>
      <c r="I3823" s="141">
        <f t="shared" si="298"/>
        <v>0</v>
      </c>
      <c r="J3823">
        <f t="shared" si="299"/>
        <v>0</v>
      </c>
      <c r="K3823" s="141">
        <f t="shared" si="300"/>
        <v>0</v>
      </c>
    </row>
    <row r="3824" spans="7:11" hidden="1" x14ac:dyDescent="0.25">
      <c r="G3824">
        <f t="shared" si="296"/>
        <v>0</v>
      </c>
      <c r="H3824">
        <f t="shared" si="297"/>
        <v>0</v>
      </c>
      <c r="I3824" s="141">
        <f t="shared" si="298"/>
        <v>0</v>
      </c>
      <c r="J3824">
        <f t="shared" si="299"/>
        <v>0</v>
      </c>
      <c r="K3824" s="141">
        <f t="shared" si="300"/>
        <v>0</v>
      </c>
    </row>
    <row r="3825" spans="7:11" hidden="1" x14ac:dyDescent="0.25">
      <c r="G3825">
        <f t="shared" si="296"/>
        <v>0</v>
      </c>
      <c r="H3825">
        <f t="shared" si="297"/>
        <v>0</v>
      </c>
      <c r="I3825" s="141">
        <f t="shared" si="298"/>
        <v>0</v>
      </c>
      <c r="J3825">
        <f t="shared" si="299"/>
        <v>0</v>
      </c>
      <c r="K3825" s="141">
        <f t="shared" si="300"/>
        <v>0</v>
      </c>
    </row>
    <row r="3826" spans="7:11" hidden="1" x14ac:dyDescent="0.25">
      <c r="G3826">
        <f t="shared" si="296"/>
        <v>0</v>
      </c>
      <c r="H3826">
        <f t="shared" si="297"/>
        <v>0</v>
      </c>
      <c r="I3826" s="141">
        <f t="shared" si="298"/>
        <v>0</v>
      </c>
      <c r="J3826">
        <f t="shared" si="299"/>
        <v>0</v>
      </c>
      <c r="K3826" s="141">
        <f t="shared" si="300"/>
        <v>0</v>
      </c>
    </row>
    <row r="3827" spans="7:11" hidden="1" x14ac:dyDescent="0.25">
      <c r="G3827">
        <f t="shared" si="296"/>
        <v>0</v>
      </c>
      <c r="H3827">
        <f t="shared" si="297"/>
        <v>0</v>
      </c>
      <c r="I3827" s="141">
        <f t="shared" si="298"/>
        <v>0</v>
      </c>
      <c r="J3827">
        <f t="shared" si="299"/>
        <v>0</v>
      </c>
      <c r="K3827" s="141">
        <f t="shared" si="300"/>
        <v>0</v>
      </c>
    </row>
    <row r="3828" spans="7:11" hidden="1" x14ac:dyDescent="0.25">
      <c r="G3828">
        <f t="shared" si="296"/>
        <v>0</v>
      </c>
      <c r="H3828">
        <f t="shared" si="297"/>
        <v>0</v>
      </c>
      <c r="I3828" s="141">
        <f t="shared" si="298"/>
        <v>0</v>
      </c>
      <c r="J3828">
        <f t="shared" si="299"/>
        <v>0</v>
      </c>
      <c r="K3828" s="141">
        <f t="shared" si="300"/>
        <v>0</v>
      </c>
    </row>
    <row r="3829" spans="7:11" hidden="1" x14ac:dyDescent="0.25">
      <c r="G3829">
        <f t="shared" si="296"/>
        <v>0</v>
      </c>
      <c r="H3829">
        <f t="shared" si="297"/>
        <v>0</v>
      </c>
      <c r="I3829" s="141">
        <f t="shared" si="298"/>
        <v>0</v>
      </c>
      <c r="J3829">
        <f t="shared" si="299"/>
        <v>0</v>
      </c>
      <c r="K3829" s="141">
        <f t="shared" si="300"/>
        <v>0</v>
      </c>
    </row>
    <row r="3830" spans="7:11" hidden="1" x14ac:dyDescent="0.25">
      <c r="G3830">
        <f t="shared" si="296"/>
        <v>0</v>
      </c>
      <c r="H3830">
        <f t="shared" si="297"/>
        <v>0</v>
      </c>
      <c r="I3830" s="141">
        <f t="shared" si="298"/>
        <v>0</v>
      </c>
      <c r="J3830">
        <f t="shared" si="299"/>
        <v>0</v>
      </c>
      <c r="K3830" s="141">
        <f t="shared" si="300"/>
        <v>0</v>
      </c>
    </row>
    <row r="3831" spans="7:11" hidden="1" x14ac:dyDescent="0.25">
      <c r="G3831">
        <f t="shared" si="296"/>
        <v>0</v>
      </c>
      <c r="H3831">
        <f t="shared" si="297"/>
        <v>0</v>
      </c>
      <c r="I3831" s="141">
        <f t="shared" si="298"/>
        <v>0</v>
      </c>
      <c r="J3831">
        <f t="shared" si="299"/>
        <v>0</v>
      </c>
      <c r="K3831" s="141">
        <f t="shared" si="300"/>
        <v>0</v>
      </c>
    </row>
    <row r="3832" spans="7:11" hidden="1" x14ac:dyDescent="0.25">
      <c r="G3832">
        <f t="shared" si="296"/>
        <v>0</v>
      </c>
      <c r="H3832">
        <f t="shared" si="297"/>
        <v>0</v>
      </c>
      <c r="I3832" s="141">
        <f t="shared" si="298"/>
        <v>0</v>
      </c>
      <c r="J3832">
        <f t="shared" si="299"/>
        <v>0</v>
      </c>
      <c r="K3832" s="141">
        <f t="shared" si="300"/>
        <v>0</v>
      </c>
    </row>
    <row r="3833" spans="7:11" hidden="1" x14ac:dyDescent="0.25">
      <c r="G3833">
        <f t="shared" si="296"/>
        <v>0</v>
      </c>
      <c r="H3833">
        <f t="shared" si="297"/>
        <v>0</v>
      </c>
      <c r="I3833" s="141">
        <f t="shared" si="298"/>
        <v>0</v>
      </c>
      <c r="J3833">
        <f t="shared" si="299"/>
        <v>0</v>
      </c>
      <c r="K3833" s="141">
        <f t="shared" si="300"/>
        <v>0</v>
      </c>
    </row>
    <row r="3834" spans="7:11" hidden="1" x14ac:dyDescent="0.25">
      <c r="G3834">
        <f t="shared" si="296"/>
        <v>0</v>
      </c>
      <c r="H3834">
        <f t="shared" si="297"/>
        <v>0</v>
      </c>
      <c r="I3834" s="141">
        <f t="shared" si="298"/>
        <v>0</v>
      </c>
      <c r="J3834">
        <f t="shared" si="299"/>
        <v>0</v>
      </c>
      <c r="K3834" s="141">
        <f t="shared" si="300"/>
        <v>0</v>
      </c>
    </row>
    <row r="3835" spans="7:11" hidden="1" x14ac:dyDescent="0.25">
      <c r="G3835">
        <f t="shared" si="296"/>
        <v>0</v>
      </c>
      <c r="H3835">
        <f t="shared" si="297"/>
        <v>0</v>
      </c>
      <c r="I3835" s="141">
        <f t="shared" si="298"/>
        <v>0</v>
      </c>
      <c r="J3835">
        <f t="shared" si="299"/>
        <v>0</v>
      </c>
      <c r="K3835" s="141">
        <f t="shared" si="300"/>
        <v>0</v>
      </c>
    </row>
    <row r="3836" spans="7:11" hidden="1" x14ac:dyDescent="0.25">
      <c r="G3836">
        <f t="shared" si="296"/>
        <v>0</v>
      </c>
      <c r="H3836">
        <f t="shared" si="297"/>
        <v>0</v>
      </c>
      <c r="I3836" s="141">
        <f t="shared" si="298"/>
        <v>0</v>
      </c>
      <c r="J3836">
        <f t="shared" si="299"/>
        <v>0</v>
      </c>
      <c r="K3836" s="141">
        <f t="shared" si="300"/>
        <v>0</v>
      </c>
    </row>
    <row r="3837" spans="7:11" hidden="1" x14ac:dyDescent="0.25">
      <c r="G3837">
        <f t="shared" si="296"/>
        <v>0</v>
      </c>
      <c r="H3837">
        <f t="shared" si="297"/>
        <v>0</v>
      </c>
      <c r="I3837" s="141">
        <f t="shared" si="298"/>
        <v>0</v>
      </c>
      <c r="J3837">
        <f t="shared" si="299"/>
        <v>0</v>
      </c>
      <c r="K3837" s="141">
        <f t="shared" si="300"/>
        <v>0</v>
      </c>
    </row>
    <row r="3838" spans="7:11" hidden="1" x14ac:dyDescent="0.25">
      <c r="G3838">
        <f t="shared" si="296"/>
        <v>0</v>
      </c>
      <c r="H3838">
        <f t="shared" si="297"/>
        <v>0</v>
      </c>
      <c r="I3838" s="141">
        <f t="shared" si="298"/>
        <v>0</v>
      </c>
      <c r="J3838">
        <f t="shared" si="299"/>
        <v>0</v>
      </c>
      <c r="K3838" s="141">
        <f t="shared" si="300"/>
        <v>0</v>
      </c>
    </row>
    <row r="3839" spans="7:11" hidden="1" x14ac:dyDescent="0.25">
      <c r="G3839">
        <f t="shared" si="296"/>
        <v>0</v>
      </c>
      <c r="H3839">
        <f t="shared" si="297"/>
        <v>0</v>
      </c>
      <c r="I3839" s="141">
        <f t="shared" si="298"/>
        <v>0</v>
      </c>
      <c r="J3839">
        <f t="shared" si="299"/>
        <v>0</v>
      </c>
      <c r="K3839" s="141">
        <f t="shared" si="300"/>
        <v>0</v>
      </c>
    </row>
    <row r="3840" spans="7:11" hidden="1" x14ac:dyDescent="0.25">
      <c r="G3840">
        <f t="shared" si="296"/>
        <v>0</v>
      </c>
      <c r="H3840">
        <f t="shared" si="297"/>
        <v>0</v>
      </c>
      <c r="I3840" s="141">
        <f t="shared" si="298"/>
        <v>0</v>
      </c>
      <c r="J3840">
        <f t="shared" si="299"/>
        <v>0</v>
      </c>
      <c r="K3840" s="141">
        <f t="shared" si="300"/>
        <v>0</v>
      </c>
    </row>
    <row r="3841" spans="7:11" hidden="1" x14ac:dyDescent="0.25">
      <c r="G3841">
        <f t="shared" si="296"/>
        <v>0</v>
      </c>
      <c r="H3841">
        <f t="shared" si="297"/>
        <v>0</v>
      </c>
      <c r="I3841" s="141">
        <f t="shared" si="298"/>
        <v>0</v>
      </c>
      <c r="J3841">
        <f t="shared" si="299"/>
        <v>0</v>
      </c>
      <c r="K3841" s="141">
        <f t="shared" si="300"/>
        <v>0</v>
      </c>
    </row>
    <row r="3842" spans="7:11" hidden="1" x14ac:dyDescent="0.25">
      <c r="G3842">
        <f t="shared" ref="G3842:G3905" si="301">A3842</f>
        <v>0</v>
      </c>
      <c r="H3842">
        <f t="shared" ref="H3842:H3905" si="302">B3842</f>
        <v>0</v>
      </c>
      <c r="I3842" s="141">
        <f t="shared" ref="I3842:I3905" si="303">C3842</f>
        <v>0</v>
      </c>
      <c r="J3842">
        <f t="shared" ref="J3842:J3905" si="304">D3842</f>
        <v>0</v>
      </c>
      <c r="K3842" s="141">
        <f t="shared" ref="K3842:K3905" si="305">E3842</f>
        <v>0</v>
      </c>
    </row>
    <row r="3843" spans="7:11" hidden="1" x14ac:dyDescent="0.25">
      <c r="G3843">
        <f t="shared" si="301"/>
        <v>0</v>
      </c>
      <c r="H3843">
        <f t="shared" si="302"/>
        <v>0</v>
      </c>
      <c r="I3843" s="141">
        <f t="shared" si="303"/>
        <v>0</v>
      </c>
      <c r="J3843">
        <f t="shared" si="304"/>
        <v>0</v>
      </c>
      <c r="K3843" s="141">
        <f t="shared" si="305"/>
        <v>0</v>
      </c>
    </row>
    <row r="3844" spans="7:11" hidden="1" x14ac:dyDescent="0.25">
      <c r="G3844">
        <f t="shared" si="301"/>
        <v>0</v>
      </c>
      <c r="H3844">
        <f t="shared" si="302"/>
        <v>0</v>
      </c>
      <c r="I3844" s="141">
        <f t="shared" si="303"/>
        <v>0</v>
      </c>
      <c r="J3844">
        <f t="shared" si="304"/>
        <v>0</v>
      </c>
      <c r="K3844" s="141">
        <f t="shared" si="305"/>
        <v>0</v>
      </c>
    </row>
    <row r="3845" spans="7:11" hidden="1" x14ac:dyDescent="0.25">
      <c r="G3845">
        <f t="shared" si="301"/>
        <v>0</v>
      </c>
      <c r="H3845">
        <f t="shared" si="302"/>
        <v>0</v>
      </c>
      <c r="I3845" s="141">
        <f t="shared" si="303"/>
        <v>0</v>
      </c>
      <c r="J3845">
        <f t="shared" si="304"/>
        <v>0</v>
      </c>
      <c r="K3845" s="141">
        <f t="shared" si="305"/>
        <v>0</v>
      </c>
    </row>
    <row r="3846" spans="7:11" hidden="1" x14ac:dyDescent="0.25">
      <c r="G3846">
        <f t="shared" si="301"/>
        <v>0</v>
      </c>
      <c r="H3846">
        <f t="shared" si="302"/>
        <v>0</v>
      </c>
      <c r="I3846" s="141">
        <f t="shared" si="303"/>
        <v>0</v>
      </c>
      <c r="J3846">
        <f t="shared" si="304"/>
        <v>0</v>
      </c>
      <c r="K3846" s="141">
        <f t="shared" si="305"/>
        <v>0</v>
      </c>
    </row>
    <row r="3847" spans="7:11" hidden="1" x14ac:dyDescent="0.25">
      <c r="G3847">
        <f t="shared" si="301"/>
        <v>0</v>
      </c>
      <c r="H3847">
        <f t="shared" si="302"/>
        <v>0</v>
      </c>
      <c r="I3847" s="141">
        <f t="shared" si="303"/>
        <v>0</v>
      </c>
      <c r="J3847">
        <f t="shared" si="304"/>
        <v>0</v>
      </c>
      <c r="K3847" s="141">
        <f t="shared" si="305"/>
        <v>0</v>
      </c>
    </row>
    <row r="3848" spans="7:11" hidden="1" x14ac:dyDescent="0.25">
      <c r="G3848">
        <f t="shared" si="301"/>
        <v>0</v>
      </c>
      <c r="H3848">
        <f t="shared" si="302"/>
        <v>0</v>
      </c>
      <c r="I3848" s="141">
        <f t="shared" si="303"/>
        <v>0</v>
      </c>
      <c r="J3848">
        <f t="shared" si="304"/>
        <v>0</v>
      </c>
      <c r="K3848" s="141">
        <f t="shared" si="305"/>
        <v>0</v>
      </c>
    </row>
    <row r="3849" spans="7:11" hidden="1" x14ac:dyDescent="0.25">
      <c r="G3849">
        <f t="shared" si="301"/>
        <v>0</v>
      </c>
      <c r="H3849">
        <f t="shared" si="302"/>
        <v>0</v>
      </c>
      <c r="I3849" s="141">
        <f t="shared" si="303"/>
        <v>0</v>
      </c>
      <c r="J3849">
        <f t="shared" si="304"/>
        <v>0</v>
      </c>
      <c r="K3849" s="141">
        <f t="shared" si="305"/>
        <v>0</v>
      </c>
    </row>
    <row r="3850" spans="7:11" hidden="1" x14ac:dyDescent="0.25">
      <c r="G3850">
        <f t="shared" si="301"/>
        <v>0</v>
      </c>
      <c r="H3850">
        <f t="shared" si="302"/>
        <v>0</v>
      </c>
      <c r="I3850" s="141">
        <f t="shared" si="303"/>
        <v>0</v>
      </c>
      <c r="J3850">
        <f t="shared" si="304"/>
        <v>0</v>
      </c>
      <c r="K3850" s="141">
        <f t="shared" si="305"/>
        <v>0</v>
      </c>
    </row>
    <row r="3851" spans="7:11" hidden="1" x14ac:dyDescent="0.25">
      <c r="G3851">
        <f t="shared" si="301"/>
        <v>0</v>
      </c>
      <c r="H3851">
        <f t="shared" si="302"/>
        <v>0</v>
      </c>
      <c r="I3851" s="141">
        <f t="shared" si="303"/>
        <v>0</v>
      </c>
      <c r="J3851">
        <f t="shared" si="304"/>
        <v>0</v>
      </c>
      <c r="K3851" s="141">
        <f t="shared" si="305"/>
        <v>0</v>
      </c>
    </row>
    <row r="3852" spans="7:11" hidden="1" x14ac:dyDescent="0.25">
      <c r="G3852">
        <f t="shared" si="301"/>
        <v>0</v>
      </c>
      <c r="H3852">
        <f t="shared" si="302"/>
        <v>0</v>
      </c>
      <c r="I3852" s="141">
        <f t="shared" si="303"/>
        <v>0</v>
      </c>
      <c r="J3852">
        <f t="shared" si="304"/>
        <v>0</v>
      </c>
      <c r="K3852" s="141">
        <f t="shared" si="305"/>
        <v>0</v>
      </c>
    </row>
    <row r="3853" spans="7:11" hidden="1" x14ac:dyDescent="0.25">
      <c r="G3853">
        <f t="shared" si="301"/>
        <v>0</v>
      </c>
      <c r="H3853">
        <f t="shared" si="302"/>
        <v>0</v>
      </c>
      <c r="I3853" s="141">
        <f t="shared" si="303"/>
        <v>0</v>
      </c>
      <c r="J3853">
        <f t="shared" si="304"/>
        <v>0</v>
      </c>
      <c r="K3853" s="141">
        <f t="shared" si="305"/>
        <v>0</v>
      </c>
    </row>
    <row r="3854" spans="7:11" hidden="1" x14ac:dyDescent="0.25">
      <c r="G3854">
        <f t="shared" si="301"/>
        <v>0</v>
      </c>
      <c r="H3854">
        <f t="shared" si="302"/>
        <v>0</v>
      </c>
      <c r="I3854" s="141">
        <f t="shared" si="303"/>
        <v>0</v>
      </c>
      <c r="J3854">
        <f t="shared" si="304"/>
        <v>0</v>
      </c>
      <c r="K3854" s="141">
        <f t="shared" si="305"/>
        <v>0</v>
      </c>
    </row>
    <row r="3855" spans="7:11" hidden="1" x14ac:dyDescent="0.25">
      <c r="G3855">
        <f t="shared" si="301"/>
        <v>0</v>
      </c>
      <c r="H3855">
        <f t="shared" si="302"/>
        <v>0</v>
      </c>
      <c r="I3855" s="141">
        <f t="shared" si="303"/>
        <v>0</v>
      </c>
      <c r="J3855">
        <f t="shared" si="304"/>
        <v>0</v>
      </c>
      <c r="K3855" s="141">
        <f t="shared" si="305"/>
        <v>0</v>
      </c>
    </row>
    <row r="3856" spans="7:11" hidden="1" x14ac:dyDescent="0.25">
      <c r="G3856">
        <f t="shared" si="301"/>
        <v>0</v>
      </c>
      <c r="H3856">
        <f t="shared" si="302"/>
        <v>0</v>
      </c>
      <c r="I3856" s="141">
        <f t="shared" si="303"/>
        <v>0</v>
      </c>
      <c r="J3856">
        <f t="shared" si="304"/>
        <v>0</v>
      </c>
      <c r="K3856" s="141">
        <f t="shared" si="305"/>
        <v>0</v>
      </c>
    </row>
    <row r="3857" spans="7:11" hidden="1" x14ac:dyDescent="0.25">
      <c r="G3857">
        <f t="shared" si="301"/>
        <v>0</v>
      </c>
      <c r="H3857">
        <f t="shared" si="302"/>
        <v>0</v>
      </c>
      <c r="I3857" s="141">
        <f t="shared" si="303"/>
        <v>0</v>
      </c>
      <c r="J3857">
        <f t="shared" si="304"/>
        <v>0</v>
      </c>
      <c r="K3857" s="141">
        <f t="shared" si="305"/>
        <v>0</v>
      </c>
    </row>
    <row r="3858" spans="7:11" hidden="1" x14ac:dyDescent="0.25">
      <c r="G3858">
        <f t="shared" si="301"/>
        <v>0</v>
      </c>
      <c r="H3858">
        <f t="shared" si="302"/>
        <v>0</v>
      </c>
      <c r="I3858" s="141">
        <f t="shared" si="303"/>
        <v>0</v>
      </c>
      <c r="J3858">
        <f t="shared" si="304"/>
        <v>0</v>
      </c>
      <c r="K3858" s="141">
        <f t="shared" si="305"/>
        <v>0</v>
      </c>
    </row>
    <row r="3859" spans="7:11" hidden="1" x14ac:dyDescent="0.25">
      <c r="G3859">
        <f t="shared" si="301"/>
        <v>0</v>
      </c>
      <c r="H3859">
        <f t="shared" si="302"/>
        <v>0</v>
      </c>
      <c r="I3859" s="141">
        <f t="shared" si="303"/>
        <v>0</v>
      </c>
      <c r="J3859">
        <f t="shared" si="304"/>
        <v>0</v>
      </c>
      <c r="K3859" s="141">
        <f t="shared" si="305"/>
        <v>0</v>
      </c>
    </row>
    <row r="3860" spans="7:11" hidden="1" x14ac:dyDescent="0.25">
      <c r="G3860">
        <f t="shared" si="301"/>
        <v>0</v>
      </c>
      <c r="H3860">
        <f t="shared" si="302"/>
        <v>0</v>
      </c>
      <c r="I3860" s="141">
        <f t="shared" si="303"/>
        <v>0</v>
      </c>
      <c r="J3860">
        <f t="shared" si="304"/>
        <v>0</v>
      </c>
      <c r="K3860" s="141">
        <f t="shared" si="305"/>
        <v>0</v>
      </c>
    </row>
    <row r="3861" spans="7:11" hidden="1" x14ac:dyDescent="0.25">
      <c r="G3861">
        <f t="shared" si="301"/>
        <v>0</v>
      </c>
      <c r="H3861">
        <f t="shared" si="302"/>
        <v>0</v>
      </c>
      <c r="I3861" s="141">
        <f t="shared" si="303"/>
        <v>0</v>
      </c>
      <c r="J3861">
        <f t="shared" si="304"/>
        <v>0</v>
      </c>
      <c r="K3861" s="141">
        <f t="shared" si="305"/>
        <v>0</v>
      </c>
    </row>
    <row r="3862" spans="7:11" hidden="1" x14ac:dyDescent="0.25">
      <c r="G3862">
        <f t="shared" si="301"/>
        <v>0</v>
      </c>
      <c r="H3862">
        <f t="shared" si="302"/>
        <v>0</v>
      </c>
      <c r="I3862" s="141">
        <f t="shared" si="303"/>
        <v>0</v>
      </c>
      <c r="J3862">
        <f t="shared" si="304"/>
        <v>0</v>
      </c>
      <c r="K3862" s="141">
        <f t="shared" si="305"/>
        <v>0</v>
      </c>
    </row>
    <row r="3863" spans="7:11" hidden="1" x14ac:dyDescent="0.25">
      <c r="G3863">
        <f t="shared" si="301"/>
        <v>0</v>
      </c>
      <c r="H3863">
        <f t="shared" si="302"/>
        <v>0</v>
      </c>
      <c r="I3863" s="141">
        <f t="shared" si="303"/>
        <v>0</v>
      </c>
      <c r="J3863">
        <f t="shared" si="304"/>
        <v>0</v>
      </c>
      <c r="K3863" s="141">
        <f t="shared" si="305"/>
        <v>0</v>
      </c>
    </row>
    <row r="3864" spans="7:11" hidden="1" x14ac:dyDescent="0.25">
      <c r="G3864">
        <f t="shared" si="301"/>
        <v>0</v>
      </c>
      <c r="H3864">
        <f t="shared" si="302"/>
        <v>0</v>
      </c>
      <c r="I3864" s="141">
        <f t="shared" si="303"/>
        <v>0</v>
      </c>
      <c r="J3864">
        <f t="shared" si="304"/>
        <v>0</v>
      </c>
      <c r="K3864" s="141">
        <f t="shared" si="305"/>
        <v>0</v>
      </c>
    </row>
    <row r="3865" spans="7:11" hidden="1" x14ac:dyDescent="0.25">
      <c r="G3865">
        <f t="shared" si="301"/>
        <v>0</v>
      </c>
      <c r="H3865">
        <f t="shared" si="302"/>
        <v>0</v>
      </c>
      <c r="I3865" s="141">
        <f t="shared" si="303"/>
        <v>0</v>
      </c>
      <c r="J3865">
        <f t="shared" si="304"/>
        <v>0</v>
      </c>
      <c r="K3865" s="141">
        <f t="shared" si="305"/>
        <v>0</v>
      </c>
    </row>
    <row r="3866" spans="7:11" hidden="1" x14ac:dyDescent="0.25">
      <c r="G3866">
        <f t="shared" si="301"/>
        <v>0</v>
      </c>
      <c r="H3866">
        <f t="shared" si="302"/>
        <v>0</v>
      </c>
      <c r="I3866" s="141">
        <f t="shared" si="303"/>
        <v>0</v>
      </c>
      <c r="J3866">
        <f t="shared" si="304"/>
        <v>0</v>
      </c>
      <c r="K3866" s="141">
        <f t="shared" si="305"/>
        <v>0</v>
      </c>
    </row>
    <row r="3867" spans="7:11" hidden="1" x14ac:dyDescent="0.25">
      <c r="G3867">
        <f t="shared" si="301"/>
        <v>0</v>
      </c>
      <c r="H3867">
        <f t="shared" si="302"/>
        <v>0</v>
      </c>
      <c r="I3867" s="141">
        <f t="shared" si="303"/>
        <v>0</v>
      </c>
      <c r="J3867">
        <f t="shared" si="304"/>
        <v>0</v>
      </c>
      <c r="K3867" s="141">
        <f t="shared" si="305"/>
        <v>0</v>
      </c>
    </row>
    <row r="3868" spans="7:11" hidden="1" x14ac:dyDescent="0.25">
      <c r="G3868">
        <f t="shared" si="301"/>
        <v>0</v>
      </c>
      <c r="H3868">
        <f t="shared" si="302"/>
        <v>0</v>
      </c>
      <c r="I3868" s="141">
        <f t="shared" si="303"/>
        <v>0</v>
      </c>
      <c r="J3868">
        <f t="shared" si="304"/>
        <v>0</v>
      </c>
      <c r="K3868" s="141">
        <f t="shared" si="305"/>
        <v>0</v>
      </c>
    </row>
    <row r="3869" spans="7:11" hidden="1" x14ac:dyDescent="0.25">
      <c r="G3869">
        <f t="shared" si="301"/>
        <v>0</v>
      </c>
      <c r="H3869">
        <f t="shared" si="302"/>
        <v>0</v>
      </c>
      <c r="I3869" s="141">
        <f t="shared" si="303"/>
        <v>0</v>
      </c>
      <c r="J3869">
        <f t="shared" si="304"/>
        <v>0</v>
      </c>
      <c r="K3869" s="141">
        <f t="shared" si="305"/>
        <v>0</v>
      </c>
    </row>
    <row r="3870" spans="7:11" hidden="1" x14ac:dyDescent="0.25">
      <c r="G3870">
        <f t="shared" si="301"/>
        <v>0</v>
      </c>
      <c r="H3870">
        <f t="shared" si="302"/>
        <v>0</v>
      </c>
      <c r="I3870" s="141">
        <f t="shared" si="303"/>
        <v>0</v>
      </c>
      <c r="J3870">
        <f t="shared" si="304"/>
        <v>0</v>
      </c>
      <c r="K3870" s="141">
        <f t="shared" si="305"/>
        <v>0</v>
      </c>
    </row>
    <row r="3871" spans="7:11" hidden="1" x14ac:dyDescent="0.25">
      <c r="G3871">
        <f t="shared" si="301"/>
        <v>0</v>
      </c>
      <c r="H3871">
        <f t="shared" si="302"/>
        <v>0</v>
      </c>
      <c r="I3871" s="141">
        <f t="shared" si="303"/>
        <v>0</v>
      </c>
      <c r="J3871">
        <f t="shared" si="304"/>
        <v>0</v>
      </c>
      <c r="K3871" s="141">
        <f t="shared" si="305"/>
        <v>0</v>
      </c>
    </row>
    <row r="3872" spans="7:11" hidden="1" x14ac:dyDescent="0.25">
      <c r="G3872">
        <f t="shared" si="301"/>
        <v>0</v>
      </c>
      <c r="H3872">
        <f t="shared" si="302"/>
        <v>0</v>
      </c>
      <c r="I3872" s="141">
        <f t="shared" si="303"/>
        <v>0</v>
      </c>
      <c r="J3872">
        <f t="shared" si="304"/>
        <v>0</v>
      </c>
      <c r="K3872" s="141">
        <f t="shared" si="305"/>
        <v>0</v>
      </c>
    </row>
    <row r="3873" spans="7:11" hidden="1" x14ac:dyDescent="0.25">
      <c r="G3873">
        <f t="shared" si="301"/>
        <v>0</v>
      </c>
      <c r="H3873">
        <f t="shared" si="302"/>
        <v>0</v>
      </c>
      <c r="I3873" s="141">
        <f t="shared" si="303"/>
        <v>0</v>
      </c>
      <c r="J3873">
        <f t="shared" si="304"/>
        <v>0</v>
      </c>
      <c r="K3873" s="141">
        <f t="shared" si="305"/>
        <v>0</v>
      </c>
    </row>
    <row r="3874" spans="7:11" hidden="1" x14ac:dyDescent="0.25">
      <c r="G3874">
        <f t="shared" si="301"/>
        <v>0</v>
      </c>
      <c r="H3874">
        <f t="shared" si="302"/>
        <v>0</v>
      </c>
      <c r="I3874" s="141">
        <f t="shared" si="303"/>
        <v>0</v>
      </c>
      <c r="J3874">
        <f t="shared" si="304"/>
        <v>0</v>
      </c>
      <c r="K3874" s="141">
        <f t="shared" si="305"/>
        <v>0</v>
      </c>
    </row>
    <row r="3875" spans="7:11" hidden="1" x14ac:dyDescent="0.25">
      <c r="G3875">
        <f t="shared" si="301"/>
        <v>0</v>
      </c>
      <c r="H3875">
        <f t="shared" si="302"/>
        <v>0</v>
      </c>
      <c r="I3875" s="141">
        <f t="shared" si="303"/>
        <v>0</v>
      </c>
      <c r="J3875">
        <f t="shared" si="304"/>
        <v>0</v>
      </c>
      <c r="K3875" s="141">
        <f t="shared" si="305"/>
        <v>0</v>
      </c>
    </row>
    <row r="3876" spans="7:11" hidden="1" x14ac:dyDescent="0.25">
      <c r="G3876">
        <f t="shared" si="301"/>
        <v>0</v>
      </c>
      <c r="H3876">
        <f t="shared" si="302"/>
        <v>0</v>
      </c>
      <c r="I3876" s="141">
        <f t="shared" si="303"/>
        <v>0</v>
      </c>
      <c r="J3876">
        <f t="shared" si="304"/>
        <v>0</v>
      </c>
      <c r="K3876" s="141">
        <f t="shared" si="305"/>
        <v>0</v>
      </c>
    </row>
    <row r="3877" spans="7:11" hidden="1" x14ac:dyDescent="0.25">
      <c r="G3877">
        <f t="shared" si="301"/>
        <v>0</v>
      </c>
      <c r="H3877">
        <f t="shared" si="302"/>
        <v>0</v>
      </c>
      <c r="I3877" s="141">
        <f t="shared" si="303"/>
        <v>0</v>
      </c>
      <c r="J3877">
        <f t="shared" si="304"/>
        <v>0</v>
      </c>
      <c r="K3877" s="141">
        <f t="shared" si="305"/>
        <v>0</v>
      </c>
    </row>
    <row r="3878" spans="7:11" hidden="1" x14ac:dyDescent="0.25">
      <c r="G3878">
        <f t="shared" si="301"/>
        <v>0</v>
      </c>
      <c r="H3878">
        <f t="shared" si="302"/>
        <v>0</v>
      </c>
      <c r="I3878" s="141">
        <f t="shared" si="303"/>
        <v>0</v>
      </c>
      <c r="J3878">
        <f t="shared" si="304"/>
        <v>0</v>
      </c>
      <c r="K3878" s="141">
        <f t="shared" si="305"/>
        <v>0</v>
      </c>
    </row>
    <row r="3879" spans="7:11" hidden="1" x14ac:dyDescent="0.25">
      <c r="G3879">
        <f t="shared" si="301"/>
        <v>0</v>
      </c>
      <c r="H3879">
        <f t="shared" si="302"/>
        <v>0</v>
      </c>
      <c r="I3879" s="141">
        <f t="shared" si="303"/>
        <v>0</v>
      </c>
      <c r="J3879">
        <f t="shared" si="304"/>
        <v>0</v>
      </c>
      <c r="K3879" s="141">
        <f t="shared" si="305"/>
        <v>0</v>
      </c>
    </row>
    <row r="3880" spans="7:11" hidden="1" x14ac:dyDescent="0.25">
      <c r="G3880">
        <f t="shared" si="301"/>
        <v>0</v>
      </c>
      <c r="H3880">
        <f t="shared" si="302"/>
        <v>0</v>
      </c>
      <c r="I3880" s="141">
        <f t="shared" si="303"/>
        <v>0</v>
      </c>
      <c r="J3880">
        <f t="shared" si="304"/>
        <v>0</v>
      </c>
      <c r="K3880" s="141">
        <f t="shared" si="305"/>
        <v>0</v>
      </c>
    </row>
    <row r="3881" spans="7:11" hidden="1" x14ac:dyDescent="0.25">
      <c r="G3881">
        <f t="shared" si="301"/>
        <v>0</v>
      </c>
      <c r="H3881">
        <f t="shared" si="302"/>
        <v>0</v>
      </c>
      <c r="I3881" s="141">
        <f t="shared" si="303"/>
        <v>0</v>
      </c>
      <c r="J3881">
        <f t="shared" si="304"/>
        <v>0</v>
      </c>
      <c r="K3881" s="141">
        <f t="shared" si="305"/>
        <v>0</v>
      </c>
    </row>
    <row r="3882" spans="7:11" hidden="1" x14ac:dyDescent="0.25">
      <c r="G3882">
        <f t="shared" si="301"/>
        <v>0</v>
      </c>
      <c r="H3882">
        <f t="shared" si="302"/>
        <v>0</v>
      </c>
      <c r="I3882" s="141">
        <f t="shared" si="303"/>
        <v>0</v>
      </c>
      <c r="J3882">
        <f t="shared" si="304"/>
        <v>0</v>
      </c>
      <c r="K3882" s="141">
        <f t="shared" si="305"/>
        <v>0</v>
      </c>
    </row>
    <row r="3883" spans="7:11" hidden="1" x14ac:dyDescent="0.25">
      <c r="G3883">
        <f t="shared" si="301"/>
        <v>0</v>
      </c>
      <c r="H3883">
        <f t="shared" si="302"/>
        <v>0</v>
      </c>
      <c r="I3883" s="141">
        <f t="shared" si="303"/>
        <v>0</v>
      </c>
      <c r="J3883">
        <f t="shared" si="304"/>
        <v>0</v>
      </c>
      <c r="K3883" s="141">
        <f t="shared" si="305"/>
        <v>0</v>
      </c>
    </row>
    <row r="3884" spans="7:11" hidden="1" x14ac:dyDescent="0.25">
      <c r="G3884">
        <f t="shared" si="301"/>
        <v>0</v>
      </c>
      <c r="H3884">
        <f t="shared" si="302"/>
        <v>0</v>
      </c>
      <c r="I3884" s="141">
        <f t="shared" si="303"/>
        <v>0</v>
      </c>
      <c r="J3884">
        <f t="shared" si="304"/>
        <v>0</v>
      </c>
      <c r="K3884" s="141">
        <f t="shared" si="305"/>
        <v>0</v>
      </c>
    </row>
    <row r="3885" spans="7:11" hidden="1" x14ac:dyDescent="0.25">
      <c r="G3885">
        <f t="shared" si="301"/>
        <v>0</v>
      </c>
      <c r="H3885">
        <f t="shared" si="302"/>
        <v>0</v>
      </c>
      <c r="I3885" s="141">
        <f t="shared" si="303"/>
        <v>0</v>
      </c>
      <c r="J3885">
        <f t="shared" si="304"/>
        <v>0</v>
      </c>
      <c r="K3885" s="141">
        <f t="shared" si="305"/>
        <v>0</v>
      </c>
    </row>
    <row r="3886" spans="7:11" hidden="1" x14ac:dyDescent="0.25">
      <c r="G3886">
        <f t="shared" si="301"/>
        <v>0</v>
      </c>
      <c r="H3886">
        <f t="shared" si="302"/>
        <v>0</v>
      </c>
      <c r="I3886" s="141">
        <f t="shared" si="303"/>
        <v>0</v>
      </c>
      <c r="J3886">
        <f t="shared" si="304"/>
        <v>0</v>
      </c>
      <c r="K3886" s="141">
        <f t="shared" si="305"/>
        <v>0</v>
      </c>
    </row>
    <row r="3887" spans="7:11" hidden="1" x14ac:dyDescent="0.25">
      <c r="G3887">
        <f t="shared" si="301"/>
        <v>0</v>
      </c>
      <c r="H3887">
        <f t="shared" si="302"/>
        <v>0</v>
      </c>
      <c r="I3887" s="141">
        <f t="shared" si="303"/>
        <v>0</v>
      </c>
      <c r="J3887">
        <f t="shared" si="304"/>
        <v>0</v>
      </c>
      <c r="K3887" s="141">
        <f t="shared" si="305"/>
        <v>0</v>
      </c>
    </row>
    <row r="3888" spans="7:11" hidden="1" x14ac:dyDescent="0.25">
      <c r="G3888">
        <f t="shared" si="301"/>
        <v>0</v>
      </c>
      <c r="H3888">
        <f t="shared" si="302"/>
        <v>0</v>
      </c>
      <c r="I3888" s="141">
        <f t="shared" si="303"/>
        <v>0</v>
      </c>
      <c r="J3888">
        <f t="shared" si="304"/>
        <v>0</v>
      </c>
      <c r="K3888" s="141">
        <f t="shared" si="305"/>
        <v>0</v>
      </c>
    </row>
    <row r="3889" spans="7:11" hidden="1" x14ac:dyDescent="0.25">
      <c r="G3889">
        <f t="shared" si="301"/>
        <v>0</v>
      </c>
      <c r="H3889">
        <f t="shared" si="302"/>
        <v>0</v>
      </c>
      <c r="I3889" s="141">
        <f t="shared" si="303"/>
        <v>0</v>
      </c>
      <c r="J3889">
        <f t="shared" si="304"/>
        <v>0</v>
      </c>
      <c r="K3889" s="141">
        <f t="shared" si="305"/>
        <v>0</v>
      </c>
    </row>
    <row r="3890" spans="7:11" hidden="1" x14ac:dyDescent="0.25">
      <c r="G3890">
        <f t="shared" si="301"/>
        <v>0</v>
      </c>
      <c r="H3890">
        <f t="shared" si="302"/>
        <v>0</v>
      </c>
      <c r="I3890" s="141">
        <f t="shared" si="303"/>
        <v>0</v>
      </c>
      <c r="J3890">
        <f t="shared" si="304"/>
        <v>0</v>
      </c>
      <c r="K3890" s="141">
        <f t="shared" si="305"/>
        <v>0</v>
      </c>
    </row>
    <row r="3891" spans="7:11" hidden="1" x14ac:dyDescent="0.25">
      <c r="G3891">
        <f t="shared" si="301"/>
        <v>0</v>
      </c>
      <c r="H3891">
        <f t="shared" si="302"/>
        <v>0</v>
      </c>
      <c r="I3891" s="141">
        <f t="shared" si="303"/>
        <v>0</v>
      </c>
      <c r="J3891">
        <f t="shared" si="304"/>
        <v>0</v>
      </c>
      <c r="K3891" s="141">
        <f t="shared" si="305"/>
        <v>0</v>
      </c>
    </row>
    <row r="3892" spans="7:11" hidden="1" x14ac:dyDescent="0.25">
      <c r="G3892">
        <f t="shared" si="301"/>
        <v>0</v>
      </c>
      <c r="H3892">
        <f t="shared" si="302"/>
        <v>0</v>
      </c>
      <c r="I3892" s="141">
        <f t="shared" si="303"/>
        <v>0</v>
      </c>
      <c r="J3892">
        <f t="shared" si="304"/>
        <v>0</v>
      </c>
      <c r="K3892" s="141">
        <f t="shared" si="305"/>
        <v>0</v>
      </c>
    </row>
    <row r="3893" spans="7:11" hidden="1" x14ac:dyDescent="0.25">
      <c r="G3893">
        <f t="shared" si="301"/>
        <v>0</v>
      </c>
      <c r="H3893">
        <f t="shared" si="302"/>
        <v>0</v>
      </c>
      <c r="I3893" s="141">
        <f t="shared" si="303"/>
        <v>0</v>
      </c>
      <c r="J3893">
        <f t="shared" si="304"/>
        <v>0</v>
      </c>
      <c r="K3893" s="141">
        <f t="shared" si="305"/>
        <v>0</v>
      </c>
    </row>
    <row r="3894" spans="7:11" hidden="1" x14ac:dyDescent="0.25">
      <c r="G3894">
        <f t="shared" si="301"/>
        <v>0</v>
      </c>
      <c r="H3894">
        <f t="shared" si="302"/>
        <v>0</v>
      </c>
      <c r="I3894" s="141">
        <f t="shared" si="303"/>
        <v>0</v>
      </c>
      <c r="J3894">
        <f t="shared" si="304"/>
        <v>0</v>
      </c>
      <c r="K3894" s="141">
        <f t="shared" si="305"/>
        <v>0</v>
      </c>
    </row>
    <row r="3895" spans="7:11" hidden="1" x14ac:dyDescent="0.25">
      <c r="G3895">
        <f t="shared" si="301"/>
        <v>0</v>
      </c>
      <c r="H3895">
        <f t="shared" si="302"/>
        <v>0</v>
      </c>
      <c r="I3895" s="141">
        <f t="shared" si="303"/>
        <v>0</v>
      </c>
      <c r="J3895">
        <f t="shared" si="304"/>
        <v>0</v>
      </c>
      <c r="K3895" s="141">
        <f t="shared" si="305"/>
        <v>0</v>
      </c>
    </row>
    <row r="3896" spans="7:11" hidden="1" x14ac:dyDescent="0.25">
      <c r="G3896">
        <f t="shared" si="301"/>
        <v>0</v>
      </c>
      <c r="H3896">
        <f t="shared" si="302"/>
        <v>0</v>
      </c>
      <c r="I3896" s="141">
        <f t="shared" si="303"/>
        <v>0</v>
      </c>
      <c r="J3896">
        <f t="shared" si="304"/>
        <v>0</v>
      </c>
      <c r="K3896" s="141">
        <f t="shared" si="305"/>
        <v>0</v>
      </c>
    </row>
    <row r="3897" spans="7:11" hidden="1" x14ac:dyDescent="0.25">
      <c r="G3897">
        <f t="shared" si="301"/>
        <v>0</v>
      </c>
      <c r="H3897">
        <f t="shared" si="302"/>
        <v>0</v>
      </c>
      <c r="I3897" s="141">
        <f t="shared" si="303"/>
        <v>0</v>
      </c>
      <c r="J3897">
        <f t="shared" si="304"/>
        <v>0</v>
      </c>
      <c r="K3897" s="141">
        <f t="shared" si="305"/>
        <v>0</v>
      </c>
    </row>
    <row r="3898" spans="7:11" hidden="1" x14ac:dyDescent="0.25">
      <c r="G3898">
        <f t="shared" si="301"/>
        <v>0</v>
      </c>
      <c r="H3898">
        <f t="shared" si="302"/>
        <v>0</v>
      </c>
      <c r="I3898" s="141">
        <f t="shared" si="303"/>
        <v>0</v>
      </c>
      <c r="J3898">
        <f t="shared" si="304"/>
        <v>0</v>
      </c>
      <c r="K3898" s="141">
        <f t="shared" si="305"/>
        <v>0</v>
      </c>
    </row>
    <row r="3899" spans="7:11" hidden="1" x14ac:dyDescent="0.25">
      <c r="G3899">
        <f t="shared" si="301"/>
        <v>0</v>
      </c>
      <c r="H3899">
        <f t="shared" si="302"/>
        <v>0</v>
      </c>
      <c r="I3899" s="141">
        <f t="shared" si="303"/>
        <v>0</v>
      </c>
      <c r="J3899">
        <f t="shared" si="304"/>
        <v>0</v>
      </c>
      <c r="K3899" s="141">
        <f t="shared" si="305"/>
        <v>0</v>
      </c>
    </row>
    <row r="3900" spans="7:11" hidden="1" x14ac:dyDescent="0.25">
      <c r="G3900">
        <f t="shared" si="301"/>
        <v>0</v>
      </c>
      <c r="H3900">
        <f t="shared" si="302"/>
        <v>0</v>
      </c>
      <c r="I3900" s="141">
        <f t="shared" si="303"/>
        <v>0</v>
      </c>
      <c r="J3900">
        <f t="shared" si="304"/>
        <v>0</v>
      </c>
      <c r="K3900" s="141">
        <f t="shared" si="305"/>
        <v>0</v>
      </c>
    </row>
    <row r="3901" spans="7:11" hidden="1" x14ac:dyDescent="0.25">
      <c r="G3901">
        <f t="shared" si="301"/>
        <v>0</v>
      </c>
      <c r="H3901">
        <f t="shared" si="302"/>
        <v>0</v>
      </c>
      <c r="I3901" s="141">
        <f t="shared" si="303"/>
        <v>0</v>
      </c>
      <c r="J3901">
        <f t="shared" si="304"/>
        <v>0</v>
      </c>
      <c r="K3901" s="141">
        <f t="shared" si="305"/>
        <v>0</v>
      </c>
    </row>
    <row r="3902" spans="7:11" hidden="1" x14ac:dyDescent="0.25">
      <c r="G3902">
        <f t="shared" si="301"/>
        <v>0</v>
      </c>
      <c r="H3902">
        <f t="shared" si="302"/>
        <v>0</v>
      </c>
      <c r="I3902" s="141">
        <f t="shared" si="303"/>
        <v>0</v>
      </c>
      <c r="J3902">
        <f t="shared" si="304"/>
        <v>0</v>
      </c>
      <c r="K3902" s="141">
        <f t="shared" si="305"/>
        <v>0</v>
      </c>
    </row>
    <row r="3903" spans="7:11" hidden="1" x14ac:dyDescent="0.25">
      <c r="G3903">
        <f t="shared" si="301"/>
        <v>0</v>
      </c>
      <c r="H3903">
        <f t="shared" si="302"/>
        <v>0</v>
      </c>
      <c r="I3903" s="141">
        <f t="shared" si="303"/>
        <v>0</v>
      </c>
      <c r="J3903">
        <f t="shared" si="304"/>
        <v>0</v>
      </c>
      <c r="K3903" s="141">
        <f t="shared" si="305"/>
        <v>0</v>
      </c>
    </row>
    <row r="3904" spans="7:11" hidden="1" x14ac:dyDescent="0.25">
      <c r="G3904">
        <f t="shared" si="301"/>
        <v>0</v>
      </c>
      <c r="H3904">
        <f t="shared" si="302"/>
        <v>0</v>
      </c>
      <c r="I3904" s="141">
        <f t="shared" si="303"/>
        <v>0</v>
      </c>
      <c r="J3904">
        <f t="shared" si="304"/>
        <v>0</v>
      </c>
      <c r="K3904" s="141">
        <f t="shared" si="305"/>
        <v>0</v>
      </c>
    </row>
    <row r="3905" spans="7:11" hidden="1" x14ac:dyDescent="0.25">
      <c r="G3905">
        <f t="shared" si="301"/>
        <v>0</v>
      </c>
      <c r="H3905">
        <f t="shared" si="302"/>
        <v>0</v>
      </c>
      <c r="I3905" s="141">
        <f t="shared" si="303"/>
        <v>0</v>
      </c>
      <c r="J3905">
        <f t="shared" si="304"/>
        <v>0</v>
      </c>
      <c r="K3905" s="141">
        <f t="shared" si="305"/>
        <v>0</v>
      </c>
    </row>
    <row r="3906" spans="7:11" hidden="1" x14ac:dyDescent="0.25">
      <c r="G3906">
        <f t="shared" ref="G3906:G3969" si="306">A3906</f>
        <v>0</v>
      </c>
      <c r="H3906">
        <f t="shared" ref="H3906:H3969" si="307">B3906</f>
        <v>0</v>
      </c>
      <c r="I3906" s="141">
        <f t="shared" ref="I3906:I3969" si="308">C3906</f>
        <v>0</v>
      </c>
      <c r="J3906">
        <f t="shared" ref="J3906:J3969" si="309">D3906</f>
        <v>0</v>
      </c>
      <c r="K3906" s="141">
        <f t="shared" ref="K3906:K3969" si="310">E3906</f>
        <v>0</v>
      </c>
    </row>
    <row r="3907" spans="7:11" hidden="1" x14ac:dyDescent="0.25">
      <c r="G3907">
        <f t="shared" si="306"/>
        <v>0</v>
      </c>
      <c r="H3907">
        <f t="shared" si="307"/>
        <v>0</v>
      </c>
      <c r="I3907" s="141">
        <f t="shared" si="308"/>
        <v>0</v>
      </c>
      <c r="J3907">
        <f t="shared" si="309"/>
        <v>0</v>
      </c>
      <c r="K3907" s="141">
        <f t="shared" si="310"/>
        <v>0</v>
      </c>
    </row>
    <row r="3908" spans="7:11" hidden="1" x14ac:dyDescent="0.25">
      <c r="G3908">
        <f t="shared" si="306"/>
        <v>0</v>
      </c>
      <c r="H3908">
        <f t="shared" si="307"/>
        <v>0</v>
      </c>
      <c r="I3908" s="141">
        <f t="shared" si="308"/>
        <v>0</v>
      </c>
      <c r="J3908">
        <f t="shared" si="309"/>
        <v>0</v>
      </c>
      <c r="K3908" s="141">
        <f t="shared" si="310"/>
        <v>0</v>
      </c>
    </row>
    <row r="3909" spans="7:11" hidden="1" x14ac:dyDescent="0.25">
      <c r="G3909">
        <f t="shared" si="306"/>
        <v>0</v>
      </c>
      <c r="H3909">
        <f t="shared" si="307"/>
        <v>0</v>
      </c>
      <c r="I3909" s="141">
        <f t="shared" si="308"/>
        <v>0</v>
      </c>
      <c r="J3909">
        <f t="shared" si="309"/>
        <v>0</v>
      </c>
      <c r="K3909" s="141">
        <f t="shared" si="310"/>
        <v>0</v>
      </c>
    </row>
    <row r="3910" spans="7:11" hidden="1" x14ac:dyDescent="0.25">
      <c r="G3910">
        <f t="shared" si="306"/>
        <v>0</v>
      </c>
      <c r="H3910">
        <f t="shared" si="307"/>
        <v>0</v>
      </c>
      <c r="I3910" s="141">
        <f t="shared" si="308"/>
        <v>0</v>
      </c>
      <c r="J3910">
        <f t="shared" si="309"/>
        <v>0</v>
      </c>
      <c r="K3910" s="141">
        <f t="shared" si="310"/>
        <v>0</v>
      </c>
    </row>
    <row r="3911" spans="7:11" hidden="1" x14ac:dyDescent="0.25">
      <c r="G3911">
        <f t="shared" si="306"/>
        <v>0</v>
      </c>
      <c r="H3911">
        <f t="shared" si="307"/>
        <v>0</v>
      </c>
      <c r="I3911" s="141">
        <f t="shared" si="308"/>
        <v>0</v>
      </c>
      <c r="J3911">
        <f t="shared" si="309"/>
        <v>0</v>
      </c>
      <c r="K3911" s="141">
        <f t="shared" si="310"/>
        <v>0</v>
      </c>
    </row>
    <row r="3912" spans="7:11" hidden="1" x14ac:dyDescent="0.25">
      <c r="G3912">
        <f t="shared" si="306"/>
        <v>0</v>
      </c>
      <c r="H3912">
        <f t="shared" si="307"/>
        <v>0</v>
      </c>
      <c r="I3912" s="141">
        <f t="shared" si="308"/>
        <v>0</v>
      </c>
      <c r="J3912">
        <f t="shared" si="309"/>
        <v>0</v>
      </c>
      <c r="K3912" s="141">
        <f t="shared" si="310"/>
        <v>0</v>
      </c>
    </row>
    <row r="3913" spans="7:11" hidden="1" x14ac:dyDescent="0.25">
      <c r="G3913">
        <f t="shared" si="306"/>
        <v>0</v>
      </c>
      <c r="H3913">
        <f t="shared" si="307"/>
        <v>0</v>
      </c>
      <c r="I3913" s="141">
        <f t="shared" si="308"/>
        <v>0</v>
      </c>
      <c r="J3913">
        <f t="shared" si="309"/>
        <v>0</v>
      </c>
      <c r="K3913" s="141">
        <f t="shared" si="310"/>
        <v>0</v>
      </c>
    </row>
    <row r="3914" spans="7:11" hidden="1" x14ac:dyDescent="0.25">
      <c r="G3914">
        <f t="shared" si="306"/>
        <v>0</v>
      </c>
      <c r="H3914">
        <f t="shared" si="307"/>
        <v>0</v>
      </c>
      <c r="I3914" s="141">
        <f t="shared" si="308"/>
        <v>0</v>
      </c>
      <c r="J3914">
        <f t="shared" si="309"/>
        <v>0</v>
      </c>
      <c r="K3914" s="141">
        <f t="shared" si="310"/>
        <v>0</v>
      </c>
    </row>
    <row r="3915" spans="7:11" hidden="1" x14ac:dyDescent="0.25">
      <c r="G3915">
        <f t="shared" si="306"/>
        <v>0</v>
      </c>
      <c r="H3915">
        <f t="shared" si="307"/>
        <v>0</v>
      </c>
      <c r="I3915" s="141">
        <f t="shared" si="308"/>
        <v>0</v>
      </c>
      <c r="J3915">
        <f t="shared" si="309"/>
        <v>0</v>
      </c>
      <c r="K3915" s="141">
        <f t="shared" si="310"/>
        <v>0</v>
      </c>
    </row>
    <row r="3916" spans="7:11" hidden="1" x14ac:dyDescent="0.25">
      <c r="G3916">
        <f t="shared" si="306"/>
        <v>0</v>
      </c>
      <c r="H3916">
        <f t="shared" si="307"/>
        <v>0</v>
      </c>
      <c r="I3916" s="141">
        <f t="shared" si="308"/>
        <v>0</v>
      </c>
      <c r="J3916">
        <f t="shared" si="309"/>
        <v>0</v>
      </c>
      <c r="K3916" s="141">
        <f t="shared" si="310"/>
        <v>0</v>
      </c>
    </row>
    <row r="3917" spans="7:11" hidden="1" x14ac:dyDescent="0.25">
      <c r="G3917">
        <f t="shared" si="306"/>
        <v>0</v>
      </c>
      <c r="H3917">
        <f t="shared" si="307"/>
        <v>0</v>
      </c>
      <c r="I3917" s="141">
        <f t="shared" si="308"/>
        <v>0</v>
      </c>
      <c r="J3917">
        <f t="shared" si="309"/>
        <v>0</v>
      </c>
      <c r="K3917" s="141">
        <f t="shared" si="310"/>
        <v>0</v>
      </c>
    </row>
    <row r="3918" spans="7:11" hidden="1" x14ac:dyDescent="0.25">
      <c r="G3918">
        <f t="shared" si="306"/>
        <v>0</v>
      </c>
      <c r="H3918">
        <f t="shared" si="307"/>
        <v>0</v>
      </c>
      <c r="I3918" s="141">
        <f t="shared" si="308"/>
        <v>0</v>
      </c>
      <c r="J3918">
        <f t="shared" si="309"/>
        <v>0</v>
      </c>
      <c r="K3918" s="141">
        <f t="shared" si="310"/>
        <v>0</v>
      </c>
    </row>
    <row r="3919" spans="7:11" hidden="1" x14ac:dyDescent="0.25">
      <c r="G3919">
        <f t="shared" si="306"/>
        <v>0</v>
      </c>
      <c r="H3919">
        <f t="shared" si="307"/>
        <v>0</v>
      </c>
      <c r="I3919" s="141">
        <f t="shared" si="308"/>
        <v>0</v>
      </c>
      <c r="J3919">
        <f t="shared" si="309"/>
        <v>0</v>
      </c>
      <c r="K3919" s="141">
        <f t="shared" si="310"/>
        <v>0</v>
      </c>
    </row>
    <row r="3920" spans="7:11" hidden="1" x14ac:dyDescent="0.25">
      <c r="G3920">
        <f t="shared" si="306"/>
        <v>0</v>
      </c>
      <c r="H3920">
        <f t="shared" si="307"/>
        <v>0</v>
      </c>
      <c r="I3920" s="141">
        <f t="shared" si="308"/>
        <v>0</v>
      </c>
      <c r="J3920">
        <f t="shared" si="309"/>
        <v>0</v>
      </c>
      <c r="K3920" s="141">
        <f t="shared" si="310"/>
        <v>0</v>
      </c>
    </row>
    <row r="3921" spans="7:11" hidden="1" x14ac:dyDescent="0.25">
      <c r="G3921">
        <f t="shared" si="306"/>
        <v>0</v>
      </c>
      <c r="H3921">
        <f t="shared" si="307"/>
        <v>0</v>
      </c>
      <c r="I3921" s="141">
        <f t="shared" si="308"/>
        <v>0</v>
      </c>
      <c r="J3921">
        <f t="shared" si="309"/>
        <v>0</v>
      </c>
      <c r="K3921" s="141">
        <f t="shared" si="310"/>
        <v>0</v>
      </c>
    </row>
    <row r="3922" spans="7:11" hidden="1" x14ac:dyDescent="0.25">
      <c r="G3922">
        <f t="shared" si="306"/>
        <v>0</v>
      </c>
      <c r="H3922">
        <f t="shared" si="307"/>
        <v>0</v>
      </c>
      <c r="I3922" s="141">
        <f t="shared" si="308"/>
        <v>0</v>
      </c>
      <c r="J3922">
        <f t="shared" si="309"/>
        <v>0</v>
      </c>
      <c r="K3922" s="141">
        <f t="shared" si="310"/>
        <v>0</v>
      </c>
    </row>
    <row r="3923" spans="7:11" hidden="1" x14ac:dyDescent="0.25">
      <c r="G3923">
        <f t="shared" si="306"/>
        <v>0</v>
      </c>
      <c r="H3923">
        <f t="shared" si="307"/>
        <v>0</v>
      </c>
      <c r="I3923" s="141">
        <f t="shared" si="308"/>
        <v>0</v>
      </c>
      <c r="J3923">
        <f t="shared" si="309"/>
        <v>0</v>
      </c>
      <c r="K3923" s="141">
        <f t="shared" si="310"/>
        <v>0</v>
      </c>
    </row>
    <row r="3924" spans="7:11" hidden="1" x14ac:dyDescent="0.25">
      <c r="G3924">
        <f t="shared" si="306"/>
        <v>0</v>
      </c>
      <c r="H3924">
        <f t="shared" si="307"/>
        <v>0</v>
      </c>
      <c r="I3924" s="141">
        <f t="shared" si="308"/>
        <v>0</v>
      </c>
      <c r="J3924">
        <f t="shared" si="309"/>
        <v>0</v>
      </c>
      <c r="K3924" s="141">
        <f t="shared" si="310"/>
        <v>0</v>
      </c>
    </row>
    <row r="3925" spans="7:11" hidden="1" x14ac:dyDescent="0.25">
      <c r="G3925">
        <f t="shared" si="306"/>
        <v>0</v>
      </c>
      <c r="H3925">
        <f t="shared" si="307"/>
        <v>0</v>
      </c>
      <c r="I3925" s="141">
        <f t="shared" si="308"/>
        <v>0</v>
      </c>
      <c r="J3925">
        <f t="shared" si="309"/>
        <v>0</v>
      </c>
      <c r="K3925" s="141">
        <f t="shared" si="310"/>
        <v>0</v>
      </c>
    </row>
    <row r="3926" spans="7:11" hidden="1" x14ac:dyDescent="0.25">
      <c r="G3926">
        <f t="shared" si="306"/>
        <v>0</v>
      </c>
      <c r="H3926">
        <f t="shared" si="307"/>
        <v>0</v>
      </c>
      <c r="I3926" s="141">
        <f t="shared" si="308"/>
        <v>0</v>
      </c>
      <c r="J3926">
        <f t="shared" si="309"/>
        <v>0</v>
      </c>
      <c r="K3926" s="141">
        <f t="shared" si="310"/>
        <v>0</v>
      </c>
    </row>
    <row r="3927" spans="7:11" hidden="1" x14ac:dyDescent="0.25">
      <c r="G3927">
        <f t="shared" si="306"/>
        <v>0</v>
      </c>
      <c r="H3927">
        <f t="shared" si="307"/>
        <v>0</v>
      </c>
      <c r="I3927" s="141">
        <f t="shared" si="308"/>
        <v>0</v>
      </c>
      <c r="J3927">
        <f t="shared" si="309"/>
        <v>0</v>
      </c>
      <c r="K3927" s="141">
        <f t="shared" si="310"/>
        <v>0</v>
      </c>
    </row>
    <row r="3928" spans="7:11" hidden="1" x14ac:dyDescent="0.25">
      <c r="G3928">
        <f t="shared" si="306"/>
        <v>0</v>
      </c>
      <c r="H3928">
        <f t="shared" si="307"/>
        <v>0</v>
      </c>
      <c r="I3928" s="141">
        <f t="shared" si="308"/>
        <v>0</v>
      </c>
      <c r="J3928">
        <f t="shared" si="309"/>
        <v>0</v>
      </c>
      <c r="K3928" s="141">
        <f t="shared" si="310"/>
        <v>0</v>
      </c>
    </row>
    <row r="3929" spans="7:11" hidden="1" x14ac:dyDescent="0.25">
      <c r="G3929">
        <f t="shared" si="306"/>
        <v>0</v>
      </c>
      <c r="H3929">
        <f t="shared" si="307"/>
        <v>0</v>
      </c>
      <c r="I3929" s="141">
        <f t="shared" si="308"/>
        <v>0</v>
      </c>
      <c r="J3929">
        <f t="shared" si="309"/>
        <v>0</v>
      </c>
      <c r="K3929" s="141">
        <f t="shared" si="310"/>
        <v>0</v>
      </c>
    </row>
    <row r="3930" spans="7:11" hidden="1" x14ac:dyDescent="0.25">
      <c r="G3930">
        <f t="shared" si="306"/>
        <v>0</v>
      </c>
      <c r="H3930">
        <f t="shared" si="307"/>
        <v>0</v>
      </c>
      <c r="I3930" s="141">
        <f t="shared" si="308"/>
        <v>0</v>
      </c>
      <c r="J3930">
        <f t="shared" si="309"/>
        <v>0</v>
      </c>
      <c r="K3930" s="141">
        <f t="shared" si="310"/>
        <v>0</v>
      </c>
    </row>
    <row r="3931" spans="7:11" hidden="1" x14ac:dyDescent="0.25">
      <c r="G3931">
        <f t="shared" si="306"/>
        <v>0</v>
      </c>
      <c r="H3931">
        <f t="shared" si="307"/>
        <v>0</v>
      </c>
      <c r="I3931" s="141">
        <f t="shared" si="308"/>
        <v>0</v>
      </c>
      <c r="J3931">
        <f t="shared" si="309"/>
        <v>0</v>
      </c>
      <c r="K3931" s="141">
        <f t="shared" si="310"/>
        <v>0</v>
      </c>
    </row>
    <row r="3932" spans="7:11" hidden="1" x14ac:dyDescent="0.25">
      <c r="G3932">
        <f t="shared" si="306"/>
        <v>0</v>
      </c>
      <c r="H3932">
        <f t="shared" si="307"/>
        <v>0</v>
      </c>
      <c r="I3932" s="141">
        <f t="shared" si="308"/>
        <v>0</v>
      </c>
      <c r="J3932">
        <f t="shared" si="309"/>
        <v>0</v>
      </c>
      <c r="K3932" s="141">
        <f t="shared" si="310"/>
        <v>0</v>
      </c>
    </row>
    <row r="3933" spans="7:11" hidden="1" x14ac:dyDescent="0.25">
      <c r="G3933">
        <f t="shared" si="306"/>
        <v>0</v>
      </c>
      <c r="H3933">
        <f t="shared" si="307"/>
        <v>0</v>
      </c>
      <c r="I3933" s="141">
        <f t="shared" si="308"/>
        <v>0</v>
      </c>
      <c r="J3933">
        <f t="shared" si="309"/>
        <v>0</v>
      </c>
      <c r="K3933" s="141">
        <f t="shared" si="310"/>
        <v>0</v>
      </c>
    </row>
    <row r="3934" spans="7:11" hidden="1" x14ac:dyDescent="0.25">
      <c r="G3934">
        <f t="shared" si="306"/>
        <v>0</v>
      </c>
      <c r="H3934">
        <f t="shared" si="307"/>
        <v>0</v>
      </c>
      <c r="I3934" s="141">
        <f t="shared" si="308"/>
        <v>0</v>
      </c>
      <c r="J3934">
        <f t="shared" si="309"/>
        <v>0</v>
      </c>
      <c r="K3934" s="141">
        <f t="shared" si="310"/>
        <v>0</v>
      </c>
    </row>
    <row r="3935" spans="7:11" hidden="1" x14ac:dyDescent="0.25">
      <c r="G3935">
        <f t="shared" si="306"/>
        <v>0</v>
      </c>
      <c r="H3935">
        <f t="shared" si="307"/>
        <v>0</v>
      </c>
      <c r="I3935" s="141">
        <f t="shared" si="308"/>
        <v>0</v>
      </c>
      <c r="J3935">
        <f t="shared" si="309"/>
        <v>0</v>
      </c>
      <c r="K3935" s="141">
        <f t="shared" si="310"/>
        <v>0</v>
      </c>
    </row>
    <row r="3936" spans="7:11" hidden="1" x14ac:dyDescent="0.25">
      <c r="G3936">
        <f t="shared" si="306"/>
        <v>0</v>
      </c>
      <c r="H3936">
        <f t="shared" si="307"/>
        <v>0</v>
      </c>
      <c r="I3936" s="141">
        <f t="shared" si="308"/>
        <v>0</v>
      </c>
      <c r="J3936">
        <f t="shared" si="309"/>
        <v>0</v>
      </c>
      <c r="K3936" s="141">
        <f t="shared" si="310"/>
        <v>0</v>
      </c>
    </row>
    <row r="3937" spans="7:11" hidden="1" x14ac:dyDescent="0.25">
      <c r="G3937">
        <f t="shared" si="306"/>
        <v>0</v>
      </c>
      <c r="H3937">
        <f t="shared" si="307"/>
        <v>0</v>
      </c>
      <c r="I3937" s="141">
        <f t="shared" si="308"/>
        <v>0</v>
      </c>
      <c r="J3937">
        <f t="shared" si="309"/>
        <v>0</v>
      </c>
      <c r="K3937" s="141">
        <f t="shared" si="310"/>
        <v>0</v>
      </c>
    </row>
    <row r="3938" spans="7:11" hidden="1" x14ac:dyDescent="0.25">
      <c r="G3938">
        <f t="shared" si="306"/>
        <v>0</v>
      </c>
      <c r="H3938">
        <f t="shared" si="307"/>
        <v>0</v>
      </c>
      <c r="I3938" s="141">
        <f t="shared" si="308"/>
        <v>0</v>
      </c>
      <c r="J3938">
        <f t="shared" si="309"/>
        <v>0</v>
      </c>
      <c r="K3938" s="141">
        <f t="shared" si="310"/>
        <v>0</v>
      </c>
    </row>
    <row r="3939" spans="7:11" hidden="1" x14ac:dyDescent="0.25">
      <c r="G3939">
        <f t="shared" si="306"/>
        <v>0</v>
      </c>
      <c r="H3939">
        <f t="shared" si="307"/>
        <v>0</v>
      </c>
      <c r="I3939" s="141">
        <f t="shared" si="308"/>
        <v>0</v>
      </c>
      <c r="J3939">
        <f t="shared" si="309"/>
        <v>0</v>
      </c>
      <c r="K3939" s="141">
        <f t="shared" si="310"/>
        <v>0</v>
      </c>
    </row>
    <row r="3940" spans="7:11" hidden="1" x14ac:dyDescent="0.25">
      <c r="G3940">
        <f t="shared" si="306"/>
        <v>0</v>
      </c>
      <c r="H3940">
        <f t="shared" si="307"/>
        <v>0</v>
      </c>
      <c r="I3940" s="141">
        <f t="shared" si="308"/>
        <v>0</v>
      </c>
      <c r="J3940">
        <f t="shared" si="309"/>
        <v>0</v>
      </c>
      <c r="K3940" s="141">
        <f t="shared" si="310"/>
        <v>0</v>
      </c>
    </row>
    <row r="3941" spans="7:11" hidden="1" x14ac:dyDescent="0.25">
      <c r="G3941">
        <f t="shared" si="306"/>
        <v>0</v>
      </c>
      <c r="H3941">
        <f t="shared" si="307"/>
        <v>0</v>
      </c>
      <c r="I3941" s="141">
        <f t="shared" si="308"/>
        <v>0</v>
      </c>
      <c r="J3941">
        <f t="shared" si="309"/>
        <v>0</v>
      </c>
      <c r="K3941" s="141">
        <f t="shared" si="310"/>
        <v>0</v>
      </c>
    </row>
    <row r="3942" spans="7:11" hidden="1" x14ac:dyDescent="0.25">
      <c r="G3942">
        <f t="shared" si="306"/>
        <v>0</v>
      </c>
      <c r="H3942">
        <f t="shared" si="307"/>
        <v>0</v>
      </c>
      <c r="I3942" s="141">
        <f t="shared" si="308"/>
        <v>0</v>
      </c>
      <c r="J3942">
        <f t="shared" si="309"/>
        <v>0</v>
      </c>
      <c r="K3942" s="141">
        <f t="shared" si="310"/>
        <v>0</v>
      </c>
    </row>
    <row r="3943" spans="7:11" hidden="1" x14ac:dyDescent="0.25">
      <c r="G3943">
        <f t="shared" si="306"/>
        <v>0</v>
      </c>
      <c r="H3943">
        <f t="shared" si="307"/>
        <v>0</v>
      </c>
      <c r="I3943" s="141">
        <f t="shared" si="308"/>
        <v>0</v>
      </c>
      <c r="J3943">
        <f t="shared" si="309"/>
        <v>0</v>
      </c>
      <c r="K3943" s="141">
        <f t="shared" si="310"/>
        <v>0</v>
      </c>
    </row>
    <row r="3944" spans="7:11" hidden="1" x14ac:dyDescent="0.25">
      <c r="G3944">
        <f t="shared" si="306"/>
        <v>0</v>
      </c>
      <c r="H3944">
        <f t="shared" si="307"/>
        <v>0</v>
      </c>
      <c r="I3944" s="141">
        <f t="shared" si="308"/>
        <v>0</v>
      </c>
      <c r="J3944">
        <f t="shared" si="309"/>
        <v>0</v>
      </c>
      <c r="K3944" s="141">
        <f t="shared" si="310"/>
        <v>0</v>
      </c>
    </row>
    <row r="3945" spans="7:11" hidden="1" x14ac:dyDescent="0.25">
      <c r="G3945">
        <f t="shared" si="306"/>
        <v>0</v>
      </c>
      <c r="H3945">
        <f t="shared" si="307"/>
        <v>0</v>
      </c>
      <c r="I3945" s="141">
        <f t="shared" si="308"/>
        <v>0</v>
      </c>
      <c r="J3945">
        <f t="shared" si="309"/>
        <v>0</v>
      </c>
      <c r="K3945" s="141">
        <f t="shared" si="310"/>
        <v>0</v>
      </c>
    </row>
    <row r="3946" spans="7:11" hidden="1" x14ac:dyDescent="0.25">
      <c r="G3946">
        <f t="shared" si="306"/>
        <v>0</v>
      </c>
      <c r="H3946">
        <f t="shared" si="307"/>
        <v>0</v>
      </c>
      <c r="I3946" s="141">
        <f t="shared" si="308"/>
        <v>0</v>
      </c>
      <c r="J3946">
        <f t="shared" si="309"/>
        <v>0</v>
      </c>
      <c r="K3946" s="141">
        <f t="shared" si="310"/>
        <v>0</v>
      </c>
    </row>
    <row r="3947" spans="7:11" hidden="1" x14ac:dyDescent="0.25">
      <c r="G3947">
        <f t="shared" si="306"/>
        <v>0</v>
      </c>
      <c r="H3947">
        <f t="shared" si="307"/>
        <v>0</v>
      </c>
      <c r="I3947" s="141">
        <f t="shared" si="308"/>
        <v>0</v>
      </c>
      <c r="J3947">
        <f t="shared" si="309"/>
        <v>0</v>
      </c>
      <c r="K3947" s="141">
        <f t="shared" si="310"/>
        <v>0</v>
      </c>
    </row>
    <row r="3948" spans="7:11" hidden="1" x14ac:dyDescent="0.25">
      <c r="G3948">
        <f t="shared" si="306"/>
        <v>0</v>
      </c>
      <c r="H3948">
        <f t="shared" si="307"/>
        <v>0</v>
      </c>
      <c r="I3948" s="141">
        <f t="shared" si="308"/>
        <v>0</v>
      </c>
      <c r="J3948">
        <f t="shared" si="309"/>
        <v>0</v>
      </c>
      <c r="K3948" s="141">
        <f t="shared" si="310"/>
        <v>0</v>
      </c>
    </row>
    <row r="3949" spans="7:11" hidden="1" x14ac:dyDescent="0.25">
      <c r="G3949">
        <f t="shared" si="306"/>
        <v>0</v>
      </c>
      <c r="H3949">
        <f t="shared" si="307"/>
        <v>0</v>
      </c>
      <c r="I3949" s="141">
        <f t="shared" si="308"/>
        <v>0</v>
      </c>
      <c r="J3949">
        <f t="shared" si="309"/>
        <v>0</v>
      </c>
      <c r="K3949" s="141">
        <f t="shared" si="310"/>
        <v>0</v>
      </c>
    </row>
    <row r="3950" spans="7:11" hidden="1" x14ac:dyDescent="0.25">
      <c r="G3950">
        <f t="shared" si="306"/>
        <v>0</v>
      </c>
      <c r="H3950">
        <f t="shared" si="307"/>
        <v>0</v>
      </c>
      <c r="I3950" s="141">
        <f t="shared" si="308"/>
        <v>0</v>
      </c>
      <c r="J3950">
        <f t="shared" si="309"/>
        <v>0</v>
      </c>
      <c r="K3950" s="141">
        <f t="shared" si="310"/>
        <v>0</v>
      </c>
    </row>
    <row r="3951" spans="7:11" hidden="1" x14ac:dyDescent="0.25">
      <c r="G3951">
        <f t="shared" si="306"/>
        <v>0</v>
      </c>
      <c r="H3951">
        <f t="shared" si="307"/>
        <v>0</v>
      </c>
      <c r="I3951" s="141">
        <f t="shared" si="308"/>
        <v>0</v>
      </c>
      <c r="J3951">
        <f t="shared" si="309"/>
        <v>0</v>
      </c>
      <c r="K3951" s="141">
        <f t="shared" si="310"/>
        <v>0</v>
      </c>
    </row>
    <row r="3952" spans="7:11" hidden="1" x14ac:dyDescent="0.25">
      <c r="G3952">
        <f t="shared" si="306"/>
        <v>0</v>
      </c>
      <c r="H3952">
        <f t="shared" si="307"/>
        <v>0</v>
      </c>
      <c r="I3952" s="141">
        <f t="shared" si="308"/>
        <v>0</v>
      </c>
      <c r="J3952">
        <f t="shared" si="309"/>
        <v>0</v>
      </c>
      <c r="K3952" s="141">
        <f t="shared" si="310"/>
        <v>0</v>
      </c>
    </row>
    <row r="3953" spans="7:11" hidden="1" x14ac:dyDescent="0.25">
      <c r="G3953">
        <f t="shared" si="306"/>
        <v>0</v>
      </c>
      <c r="H3953">
        <f t="shared" si="307"/>
        <v>0</v>
      </c>
      <c r="I3953" s="141">
        <f t="shared" si="308"/>
        <v>0</v>
      </c>
      <c r="J3953">
        <f t="shared" si="309"/>
        <v>0</v>
      </c>
      <c r="K3953" s="141">
        <f t="shared" si="310"/>
        <v>0</v>
      </c>
    </row>
    <row r="3954" spans="7:11" hidden="1" x14ac:dyDescent="0.25">
      <c r="G3954">
        <f t="shared" si="306"/>
        <v>0</v>
      </c>
      <c r="H3954">
        <f t="shared" si="307"/>
        <v>0</v>
      </c>
      <c r="I3954" s="141">
        <f t="shared" si="308"/>
        <v>0</v>
      </c>
      <c r="J3954">
        <f t="shared" si="309"/>
        <v>0</v>
      </c>
      <c r="K3954" s="141">
        <f t="shared" si="310"/>
        <v>0</v>
      </c>
    </row>
    <row r="3955" spans="7:11" hidden="1" x14ac:dyDescent="0.25">
      <c r="G3955">
        <f t="shared" si="306"/>
        <v>0</v>
      </c>
      <c r="H3955">
        <f t="shared" si="307"/>
        <v>0</v>
      </c>
      <c r="I3955" s="141">
        <f t="shared" si="308"/>
        <v>0</v>
      </c>
      <c r="J3955">
        <f t="shared" si="309"/>
        <v>0</v>
      </c>
      <c r="K3955" s="141">
        <f t="shared" si="310"/>
        <v>0</v>
      </c>
    </row>
    <row r="3956" spans="7:11" hidden="1" x14ac:dyDescent="0.25">
      <c r="G3956">
        <f t="shared" si="306"/>
        <v>0</v>
      </c>
      <c r="H3956">
        <f t="shared" si="307"/>
        <v>0</v>
      </c>
      <c r="I3956" s="141">
        <f t="shared" si="308"/>
        <v>0</v>
      </c>
      <c r="J3956">
        <f t="shared" si="309"/>
        <v>0</v>
      </c>
      <c r="K3956" s="141">
        <f t="shared" si="310"/>
        <v>0</v>
      </c>
    </row>
    <row r="3957" spans="7:11" hidden="1" x14ac:dyDescent="0.25">
      <c r="G3957">
        <f t="shared" si="306"/>
        <v>0</v>
      </c>
      <c r="H3957">
        <f t="shared" si="307"/>
        <v>0</v>
      </c>
      <c r="I3957" s="141">
        <f t="shared" si="308"/>
        <v>0</v>
      </c>
      <c r="J3957">
        <f t="shared" si="309"/>
        <v>0</v>
      </c>
      <c r="K3957" s="141">
        <f t="shared" si="310"/>
        <v>0</v>
      </c>
    </row>
    <row r="3958" spans="7:11" hidden="1" x14ac:dyDescent="0.25">
      <c r="G3958">
        <f t="shared" si="306"/>
        <v>0</v>
      </c>
      <c r="H3958">
        <f t="shared" si="307"/>
        <v>0</v>
      </c>
      <c r="I3958" s="141">
        <f t="shared" si="308"/>
        <v>0</v>
      </c>
      <c r="J3958">
        <f t="shared" si="309"/>
        <v>0</v>
      </c>
      <c r="K3958" s="141">
        <f t="shared" si="310"/>
        <v>0</v>
      </c>
    </row>
    <row r="3959" spans="7:11" hidden="1" x14ac:dyDescent="0.25">
      <c r="G3959">
        <f t="shared" si="306"/>
        <v>0</v>
      </c>
      <c r="H3959">
        <f t="shared" si="307"/>
        <v>0</v>
      </c>
      <c r="I3959" s="141">
        <f t="shared" si="308"/>
        <v>0</v>
      </c>
      <c r="J3959">
        <f t="shared" si="309"/>
        <v>0</v>
      </c>
      <c r="K3959" s="141">
        <f t="shared" si="310"/>
        <v>0</v>
      </c>
    </row>
    <row r="3960" spans="7:11" hidden="1" x14ac:dyDescent="0.25">
      <c r="G3960">
        <f t="shared" si="306"/>
        <v>0</v>
      </c>
      <c r="H3960">
        <f t="shared" si="307"/>
        <v>0</v>
      </c>
      <c r="I3960" s="141">
        <f t="shared" si="308"/>
        <v>0</v>
      </c>
      <c r="J3960">
        <f t="shared" si="309"/>
        <v>0</v>
      </c>
      <c r="K3960" s="141">
        <f t="shared" si="310"/>
        <v>0</v>
      </c>
    </row>
    <row r="3961" spans="7:11" hidden="1" x14ac:dyDescent="0.25">
      <c r="G3961">
        <f t="shared" si="306"/>
        <v>0</v>
      </c>
      <c r="H3961">
        <f t="shared" si="307"/>
        <v>0</v>
      </c>
      <c r="I3961" s="141">
        <f t="shared" si="308"/>
        <v>0</v>
      </c>
      <c r="J3961">
        <f t="shared" si="309"/>
        <v>0</v>
      </c>
      <c r="K3961" s="141">
        <f t="shared" si="310"/>
        <v>0</v>
      </c>
    </row>
    <row r="3962" spans="7:11" hidden="1" x14ac:dyDescent="0.25">
      <c r="G3962">
        <f t="shared" si="306"/>
        <v>0</v>
      </c>
      <c r="H3962">
        <f t="shared" si="307"/>
        <v>0</v>
      </c>
      <c r="I3962" s="141">
        <f t="shared" si="308"/>
        <v>0</v>
      </c>
      <c r="J3962">
        <f t="shared" si="309"/>
        <v>0</v>
      </c>
      <c r="K3962" s="141">
        <f t="shared" si="310"/>
        <v>0</v>
      </c>
    </row>
    <row r="3963" spans="7:11" hidden="1" x14ac:dyDescent="0.25">
      <c r="G3963">
        <f t="shared" si="306"/>
        <v>0</v>
      </c>
      <c r="H3963">
        <f t="shared" si="307"/>
        <v>0</v>
      </c>
      <c r="I3963" s="141">
        <f t="shared" si="308"/>
        <v>0</v>
      </c>
      <c r="J3963">
        <f t="shared" si="309"/>
        <v>0</v>
      </c>
      <c r="K3963" s="141">
        <f t="shared" si="310"/>
        <v>0</v>
      </c>
    </row>
    <row r="3964" spans="7:11" hidden="1" x14ac:dyDescent="0.25">
      <c r="G3964">
        <f t="shared" si="306"/>
        <v>0</v>
      </c>
      <c r="H3964">
        <f t="shared" si="307"/>
        <v>0</v>
      </c>
      <c r="I3964" s="141">
        <f t="shared" si="308"/>
        <v>0</v>
      </c>
      <c r="J3964">
        <f t="shared" si="309"/>
        <v>0</v>
      </c>
      <c r="K3964" s="141">
        <f t="shared" si="310"/>
        <v>0</v>
      </c>
    </row>
    <row r="3965" spans="7:11" hidden="1" x14ac:dyDescent="0.25">
      <c r="G3965">
        <f t="shared" si="306"/>
        <v>0</v>
      </c>
      <c r="H3965">
        <f t="shared" si="307"/>
        <v>0</v>
      </c>
      <c r="I3965" s="141">
        <f t="shared" si="308"/>
        <v>0</v>
      </c>
      <c r="J3965">
        <f t="shared" si="309"/>
        <v>0</v>
      </c>
      <c r="K3965" s="141">
        <f t="shared" si="310"/>
        <v>0</v>
      </c>
    </row>
    <row r="3966" spans="7:11" hidden="1" x14ac:dyDescent="0.25">
      <c r="G3966">
        <f t="shared" si="306"/>
        <v>0</v>
      </c>
      <c r="H3966">
        <f t="shared" si="307"/>
        <v>0</v>
      </c>
      <c r="I3966" s="141">
        <f t="shared" si="308"/>
        <v>0</v>
      </c>
      <c r="J3966">
        <f t="shared" si="309"/>
        <v>0</v>
      </c>
      <c r="K3966" s="141">
        <f t="shared" si="310"/>
        <v>0</v>
      </c>
    </row>
    <row r="3967" spans="7:11" hidden="1" x14ac:dyDescent="0.25">
      <c r="G3967">
        <f t="shared" si="306"/>
        <v>0</v>
      </c>
      <c r="H3967">
        <f t="shared" si="307"/>
        <v>0</v>
      </c>
      <c r="I3967" s="141">
        <f t="shared" si="308"/>
        <v>0</v>
      </c>
      <c r="J3967">
        <f t="shared" si="309"/>
        <v>0</v>
      </c>
      <c r="K3967" s="141">
        <f t="shared" si="310"/>
        <v>0</v>
      </c>
    </row>
    <row r="3968" spans="7:11" hidden="1" x14ac:dyDescent="0.25">
      <c r="G3968">
        <f t="shared" si="306"/>
        <v>0</v>
      </c>
      <c r="H3968">
        <f t="shared" si="307"/>
        <v>0</v>
      </c>
      <c r="I3968" s="141">
        <f t="shared" si="308"/>
        <v>0</v>
      </c>
      <c r="J3968">
        <f t="shared" si="309"/>
        <v>0</v>
      </c>
      <c r="K3968" s="141">
        <f t="shared" si="310"/>
        <v>0</v>
      </c>
    </row>
    <row r="3969" spans="7:11" hidden="1" x14ac:dyDescent="0.25">
      <c r="G3969">
        <f t="shared" si="306"/>
        <v>0</v>
      </c>
      <c r="H3969">
        <f t="shared" si="307"/>
        <v>0</v>
      </c>
      <c r="I3969" s="141">
        <f t="shared" si="308"/>
        <v>0</v>
      </c>
      <c r="J3969">
        <f t="shared" si="309"/>
        <v>0</v>
      </c>
      <c r="K3969" s="141">
        <f t="shared" si="310"/>
        <v>0</v>
      </c>
    </row>
    <row r="3970" spans="7:11" hidden="1" x14ac:dyDescent="0.25">
      <c r="G3970">
        <f t="shared" ref="G3970:G4033" si="311">A3970</f>
        <v>0</v>
      </c>
      <c r="H3970">
        <f t="shared" ref="H3970:H4033" si="312">B3970</f>
        <v>0</v>
      </c>
      <c r="I3970" s="141">
        <f t="shared" ref="I3970:I4033" si="313">C3970</f>
        <v>0</v>
      </c>
      <c r="J3970">
        <f t="shared" ref="J3970:J4033" si="314">D3970</f>
        <v>0</v>
      </c>
      <c r="K3970" s="141">
        <f t="shared" ref="K3970:K4033" si="315">E3970</f>
        <v>0</v>
      </c>
    </row>
    <row r="3971" spans="7:11" hidden="1" x14ac:dyDescent="0.25">
      <c r="G3971">
        <f t="shared" si="311"/>
        <v>0</v>
      </c>
      <c r="H3971">
        <f t="shared" si="312"/>
        <v>0</v>
      </c>
      <c r="I3971" s="141">
        <f t="shared" si="313"/>
        <v>0</v>
      </c>
      <c r="J3971">
        <f t="shared" si="314"/>
        <v>0</v>
      </c>
      <c r="K3971" s="141">
        <f t="shared" si="315"/>
        <v>0</v>
      </c>
    </row>
    <row r="3972" spans="7:11" hidden="1" x14ac:dyDescent="0.25">
      <c r="G3972">
        <f t="shared" si="311"/>
        <v>0</v>
      </c>
      <c r="H3972">
        <f t="shared" si="312"/>
        <v>0</v>
      </c>
      <c r="I3972" s="141">
        <f t="shared" si="313"/>
        <v>0</v>
      </c>
      <c r="J3972">
        <f t="shared" si="314"/>
        <v>0</v>
      </c>
      <c r="K3972" s="141">
        <f t="shared" si="315"/>
        <v>0</v>
      </c>
    </row>
    <row r="3973" spans="7:11" hidden="1" x14ac:dyDescent="0.25">
      <c r="G3973">
        <f t="shared" si="311"/>
        <v>0</v>
      </c>
      <c r="H3973">
        <f t="shared" si="312"/>
        <v>0</v>
      </c>
      <c r="I3973" s="141">
        <f t="shared" si="313"/>
        <v>0</v>
      </c>
      <c r="J3973">
        <f t="shared" si="314"/>
        <v>0</v>
      </c>
      <c r="K3973" s="141">
        <f t="shared" si="315"/>
        <v>0</v>
      </c>
    </row>
    <row r="3974" spans="7:11" hidden="1" x14ac:dyDescent="0.25">
      <c r="G3974">
        <f t="shared" si="311"/>
        <v>0</v>
      </c>
      <c r="H3974">
        <f t="shared" si="312"/>
        <v>0</v>
      </c>
      <c r="I3974" s="141">
        <f t="shared" si="313"/>
        <v>0</v>
      </c>
      <c r="J3974">
        <f t="shared" si="314"/>
        <v>0</v>
      </c>
      <c r="K3974" s="141">
        <f t="shared" si="315"/>
        <v>0</v>
      </c>
    </row>
    <row r="3975" spans="7:11" hidden="1" x14ac:dyDescent="0.25">
      <c r="G3975">
        <f t="shared" si="311"/>
        <v>0</v>
      </c>
      <c r="H3975">
        <f t="shared" si="312"/>
        <v>0</v>
      </c>
      <c r="I3975" s="141">
        <f t="shared" si="313"/>
        <v>0</v>
      </c>
      <c r="J3975">
        <f t="shared" si="314"/>
        <v>0</v>
      </c>
      <c r="K3975" s="141">
        <f t="shared" si="315"/>
        <v>0</v>
      </c>
    </row>
    <row r="3976" spans="7:11" hidden="1" x14ac:dyDescent="0.25">
      <c r="G3976">
        <f t="shared" si="311"/>
        <v>0</v>
      </c>
      <c r="H3976">
        <f t="shared" si="312"/>
        <v>0</v>
      </c>
      <c r="I3976" s="141">
        <f t="shared" si="313"/>
        <v>0</v>
      </c>
      <c r="J3976">
        <f t="shared" si="314"/>
        <v>0</v>
      </c>
      <c r="K3976" s="141">
        <f t="shared" si="315"/>
        <v>0</v>
      </c>
    </row>
    <row r="3977" spans="7:11" hidden="1" x14ac:dyDescent="0.25">
      <c r="G3977">
        <f t="shared" si="311"/>
        <v>0</v>
      </c>
      <c r="H3977">
        <f t="shared" si="312"/>
        <v>0</v>
      </c>
      <c r="I3977" s="141">
        <f t="shared" si="313"/>
        <v>0</v>
      </c>
      <c r="J3977">
        <f t="shared" si="314"/>
        <v>0</v>
      </c>
      <c r="K3977" s="141">
        <f t="shared" si="315"/>
        <v>0</v>
      </c>
    </row>
    <row r="3978" spans="7:11" hidden="1" x14ac:dyDescent="0.25">
      <c r="G3978">
        <f t="shared" si="311"/>
        <v>0</v>
      </c>
      <c r="H3978">
        <f t="shared" si="312"/>
        <v>0</v>
      </c>
      <c r="I3978" s="141">
        <f t="shared" si="313"/>
        <v>0</v>
      </c>
      <c r="J3978">
        <f t="shared" si="314"/>
        <v>0</v>
      </c>
      <c r="K3978" s="141">
        <f t="shared" si="315"/>
        <v>0</v>
      </c>
    </row>
    <row r="3979" spans="7:11" hidden="1" x14ac:dyDescent="0.25">
      <c r="G3979">
        <f t="shared" si="311"/>
        <v>0</v>
      </c>
      <c r="H3979">
        <f t="shared" si="312"/>
        <v>0</v>
      </c>
      <c r="I3979" s="141">
        <f t="shared" si="313"/>
        <v>0</v>
      </c>
      <c r="J3979">
        <f t="shared" si="314"/>
        <v>0</v>
      </c>
      <c r="K3979" s="141">
        <f t="shared" si="315"/>
        <v>0</v>
      </c>
    </row>
    <row r="3980" spans="7:11" hidden="1" x14ac:dyDescent="0.25">
      <c r="G3980">
        <f t="shared" si="311"/>
        <v>0</v>
      </c>
      <c r="H3980">
        <f t="shared" si="312"/>
        <v>0</v>
      </c>
      <c r="I3980" s="141">
        <f t="shared" si="313"/>
        <v>0</v>
      </c>
      <c r="J3980">
        <f t="shared" si="314"/>
        <v>0</v>
      </c>
      <c r="K3980" s="141">
        <f t="shared" si="315"/>
        <v>0</v>
      </c>
    </row>
    <row r="3981" spans="7:11" hidden="1" x14ac:dyDescent="0.25">
      <c r="G3981">
        <f t="shared" si="311"/>
        <v>0</v>
      </c>
      <c r="H3981">
        <f t="shared" si="312"/>
        <v>0</v>
      </c>
      <c r="I3981" s="141">
        <f t="shared" si="313"/>
        <v>0</v>
      </c>
      <c r="J3981">
        <f t="shared" si="314"/>
        <v>0</v>
      </c>
      <c r="K3981" s="141">
        <f t="shared" si="315"/>
        <v>0</v>
      </c>
    </row>
    <row r="3982" spans="7:11" hidden="1" x14ac:dyDescent="0.25">
      <c r="G3982">
        <f t="shared" si="311"/>
        <v>0</v>
      </c>
      <c r="H3982">
        <f t="shared" si="312"/>
        <v>0</v>
      </c>
      <c r="I3982" s="141">
        <f t="shared" si="313"/>
        <v>0</v>
      </c>
      <c r="J3982">
        <f t="shared" si="314"/>
        <v>0</v>
      </c>
      <c r="K3982" s="141">
        <f t="shared" si="315"/>
        <v>0</v>
      </c>
    </row>
    <row r="3983" spans="7:11" hidden="1" x14ac:dyDescent="0.25">
      <c r="G3983">
        <f t="shared" si="311"/>
        <v>0</v>
      </c>
      <c r="H3983">
        <f t="shared" si="312"/>
        <v>0</v>
      </c>
      <c r="I3983" s="141">
        <f t="shared" si="313"/>
        <v>0</v>
      </c>
      <c r="J3983">
        <f t="shared" si="314"/>
        <v>0</v>
      </c>
      <c r="K3983" s="141">
        <f t="shared" si="315"/>
        <v>0</v>
      </c>
    </row>
    <row r="3984" spans="7:11" hidden="1" x14ac:dyDescent="0.25">
      <c r="G3984">
        <f t="shared" si="311"/>
        <v>0</v>
      </c>
      <c r="H3984">
        <f t="shared" si="312"/>
        <v>0</v>
      </c>
      <c r="I3984" s="141">
        <f t="shared" si="313"/>
        <v>0</v>
      </c>
      <c r="J3984">
        <f t="shared" si="314"/>
        <v>0</v>
      </c>
      <c r="K3984" s="141">
        <f t="shared" si="315"/>
        <v>0</v>
      </c>
    </row>
    <row r="3985" spans="7:11" hidden="1" x14ac:dyDescent="0.25">
      <c r="G3985">
        <f t="shared" si="311"/>
        <v>0</v>
      </c>
      <c r="H3985">
        <f t="shared" si="312"/>
        <v>0</v>
      </c>
      <c r="I3985" s="141">
        <f t="shared" si="313"/>
        <v>0</v>
      </c>
      <c r="J3985">
        <f t="shared" si="314"/>
        <v>0</v>
      </c>
      <c r="K3985" s="141">
        <f t="shared" si="315"/>
        <v>0</v>
      </c>
    </row>
    <row r="3986" spans="7:11" hidden="1" x14ac:dyDescent="0.25">
      <c r="G3986">
        <f t="shared" si="311"/>
        <v>0</v>
      </c>
      <c r="H3986">
        <f t="shared" si="312"/>
        <v>0</v>
      </c>
      <c r="I3986" s="141">
        <f t="shared" si="313"/>
        <v>0</v>
      </c>
      <c r="J3986">
        <f t="shared" si="314"/>
        <v>0</v>
      </c>
      <c r="K3986" s="141">
        <f t="shared" si="315"/>
        <v>0</v>
      </c>
    </row>
    <row r="3987" spans="7:11" hidden="1" x14ac:dyDescent="0.25">
      <c r="G3987">
        <f t="shared" si="311"/>
        <v>0</v>
      </c>
      <c r="H3987">
        <f t="shared" si="312"/>
        <v>0</v>
      </c>
      <c r="I3987" s="141">
        <f t="shared" si="313"/>
        <v>0</v>
      </c>
      <c r="J3987">
        <f t="shared" si="314"/>
        <v>0</v>
      </c>
      <c r="K3987" s="141">
        <f t="shared" si="315"/>
        <v>0</v>
      </c>
    </row>
    <row r="3988" spans="7:11" hidden="1" x14ac:dyDescent="0.25">
      <c r="G3988">
        <f t="shared" si="311"/>
        <v>0</v>
      </c>
      <c r="H3988">
        <f t="shared" si="312"/>
        <v>0</v>
      </c>
      <c r="I3988" s="141">
        <f t="shared" si="313"/>
        <v>0</v>
      </c>
      <c r="J3988">
        <f t="shared" si="314"/>
        <v>0</v>
      </c>
      <c r="K3988" s="141">
        <f t="shared" si="315"/>
        <v>0</v>
      </c>
    </row>
    <row r="3989" spans="7:11" hidden="1" x14ac:dyDescent="0.25">
      <c r="G3989">
        <f t="shared" si="311"/>
        <v>0</v>
      </c>
      <c r="H3989">
        <f t="shared" si="312"/>
        <v>0</v>
      </c>
      <c r="I3989" s="141">
        <f t="shared" si="313"/>
        <v>0</v>
      </c>
      <c r="J3989">
        <f t="shared" si="314"/>
        <v>0</v>
      </c>
      <c r="K3989" s="141">
        <f t="shared" si="315"/>
        <v>0</v>
      </c>
    </row>
    <row r="3990" spans="7:11" hidden="1" x14ac:dyDescent="0.25">
      <c r="G3990">
        <f t="shared" si="311"/>
        <v>0</v>
      </c>
      <c r="H3990">
        <f t="shared" si="312"/>
        <v>0</v>
      </c>
      <c r="I3990" s="141">
        <f t="shared" si="313"/>
        <v>0</v>
      </c>
      <c r="J3990">
        <f t="shared" si="314"/>
        <v>0</v>
      </c>
      <c r="K3990" s="141">
        <f t="shared" si="315"/>
        <v>0</v>
      </c>
    </row>
    <row r="3991" spans="7:11" hidden="1" x14ac:dyDescent="0.25">
      <c r="G3991">
        <f t="shared" si="311"/>
        <v>0</v>
      </c>
      <c r="H3991">
        <f t="shared" si="312"/>
        <v>0</v>
      </c>
      <c r="I3991" s="141">
        <f t="shared" si="313"/>
        <v>0</v>
      </c>
      <c r="J3991">
        <f t="shared" si="314"/>
        <v>0</v>
      </c>
      <c r="K3991" s="141">
        <f t="shared" si="315"/>
        <v>0</v>
      </c>
    </row>
    <row r="3992" spans="7:11" hidden="1" x14ac:dyDescent="0.25">
      <c r="G3992">
        <f t="shared" si="311"/>
        <v>0</v>
      </c>
      <c r="H3992">
        <f t="shared" si="312"/>
        <v>0</v>
      </c>
      <c r="I3992" s="141">
        <f t="shared" si="313"/>
        <v>0</v>
      </c>
      <c r="J3992">
        <f t="shared" si="314"/>
        <v>0</v>
      </c>
      <c r="K3992" s="141">
        <f t="shared" si="315"/>
        <v>0</v>
      </c>
    </row>
    <row r="3993" spans="7:11" hidden="1" x14ac:dyDescent="0.25">
      <c r="G3993">
        <f t="shared" si="311"/>
        <v>0</v>
      </c>
      <c r="H3993">
        <f t="shared" si="312"/>
        <v>0</v>
      </c>
      <c r="I3993" s="141">
        <f t="shared" si="313"/>
        <v>0</v>
      </c>
      <c r="J3993">
        <f t="shared" si="314"/>
        <v>0</v>
      </c>
      <c r="K3993" s="141">
        <f t="shared" si="315"/>
        <v>0</v>
      </c>
    </row>
    <row r="3994" spans="7:11" hidden="1" x14ac:dyDescent="0.25">
      <c r="G3994">
        <f t="shared" si="311"/>
        <v>0</v>
      </c>
      <c r="H3994">
        <f t="shared" si="312"/>
        <v>0</v>
      </c>
      <c r="I3994" s="141">
        <f t="shared" si="313"/>
        <v>0</v>
      </c>
      <c r="J3994">
        <f t="shared" si="314"/>
        <v>0</v>
      </c>
      <c r="K3994" s="141">
        <f t="shared" si="315"/>
        <v>0</v>
      </c>
    </row>
    <row r="3995" spans="7:11" hidden="1" x14ac:dyDescent="0.25">
      <c r="G3995">
        <f t="shared" si="311"/>
        <v>0</v>
      </c>
      <c r="H3995">
        <f t="shared" si="312"/>
        <v>0</v>
      </c>
      <c r="I3995" s="141">
        <f t="shared" si="313"/>
        <v>0</v>
      </c>
      <c r="J3995">
        <f t="shared" si="314"/>
        <v>0</v>
      </c>
      <c r="K3995" s="141">
        <f t="shared" si="315"/>
        <v>0</v>
      </c>
    </row>
    <row r="3996" spans="7:11" hidden="1" x14ac:dyDescent="0.25">
      <c r="G3996">
        <f t="shared" si="311"/>
        <v>0</v>
      </c>
      <c r="H3996">
        <f t="shared" si="312"/>
        <v>0</v>
      </c>
      <c r="I3996" s="141">
        <f t="shared" si="313"/>
        <v>0</v>
      </c>
      <c r="J3996">
        <f t="shared" si="314"/>
        <v>0</v>
      </c>
      <c r="K3996" s="141">
        <f t="shared" si="315"/>
        <v>0</v>
      </c>
    </row>
    <row r="3997" spans="7:11" hidden="1" x14ac:dyDescent="0.25">
      <c r="G3997">
        <f t="shared" si="311"/>
        <v>0</v>
      </c>
      <c r="H3997">
        <f t="shared" si="312"/>
        <v>0</v>
      </c>
      <c r="I3997" s="141">
        <f t="shared" si="313"/>
        <v>0</v>
      </c>
      <c r="J3997">
        <f t="shared" si="314"/>
        <v>0</v>
      </c>
      <c r="K3997" s="141">
        <f t="shared" si="315"/>
        <v>0</v>
      </c>
    </row>
    <row r="3998" spans="7:11" hidden="1" x14ac:dyDescent="0.25">
      <c r="G3998">
        <f t="shared" si="311"/>
        <v>0</v>
      </c>
      <c r="H3998">
        <f t="shared" si="312"/>
        <v>0</v>
      </c>
      <c r="I3998" s="141">
        <f t="shared" si="313"/>
        <v>0</v>
      </c>
      <c r="J3998">
        <f t="shared" si="314"/>
        <v>0</v>
      </c>
      <c r="K3998" s="141">
        <f t="shared" si="315"/>
        <v>0</v>
      </c>
    </row>
    <row r="3999" spans="7:11" hidden="1" x14ac:dyDescent="0.25">
      <c r="G3999">
        <f t="shared" si="311"/>
        <v>0</v>
      </c>
      <c r="H3999">
        <f t="shared" si="312"/>
        <v>0</v>
      </c>
      <c r="I3999" s="141">
        <f t="shared" si="313"/>
        <v>0</v>
      </c>
      <c r="J3999">
        <f t="shared" si="314"/>
        <v>0</v>
      </c>
      <c r="K3999" s="141">
        <f t="shared" si="315"/>
        <v>0</v>
      </c>
    </row>
    <row r="4000" spans="7:11" hidden="1" x14ac:dyDescent="0.25">
      <c r="G4000">
        <f t="shared" si="311"/>
        <v>0</v>
      </c>
      <c r="H4000">
        <f t="shared" si="312"/>
        <v>0</v>
      </c>
      <c r="I4000" s="141">
        <f t="shared" si="313"/>
        <v>0</v>
      </c>
      <c r="J4000">
        <f t="shared" si="314"/>
        <v>0</v>
      </c>
      <c r="K4000" s="141">
        <f t="shared" si="315"/>
        <v>0</v>
      </c>
    </row>
    <row r="4001" spans="7:11" hidden="1" x14ac:dyDescent="0.25">
      <c r="G4001">
        <f t="shared" si="311"/>
        <v>0</v>
      </c>
      <c r="H4001">
        <f t="shared" si="312"/>
        <v>0</v>
      </c>
      <c r="I4001" s="141">
        <f t="shared" si="313"/>
        <v>0</v>
      </c>
      <c r="J4001">
        <f t="shared" si="314"/>
        <v>0</v>
      </c>
      <c r="K4001" s="141">
        <f t="shared" si="315"/>
        <v>0</v>
      </c>
    </row>
    <row r="4002" spans="7:11" hidden="1" x14ac:dyDescent="0.25">
      <c r="G4002">
        <f t="shared" si="311"/>
        <v>0</v>
      </c>
      <c r="H4002">
        <f t="shared" si="312"/>
        <v>0</v>
      </c>
      <c r="I4002" s="141">
        <f t="shared" si="313"/>
        <v>0</v>
      </c>
      <c r="J4002">
        <f t="shared" si="314"/>
        <v>0</v>
      </c>
      <c r="K4002" s="141">
        <f t="shared" si="315"/>
        <v>0</v>
      </c>
    </row>
    <row r="4003" spans="7:11" hidden="1" x14ac:dyDescent="0.25">
      <c r="G4003">
        <f t="shared" si="311"/>
        <v>0</v>
      </c>
      <c r="H4003">
        <f t="shared" si="312"/>
        <v>0</v>
      </c>
      <c r="I4003" s="141">
        <f t="shared" si="313"/>
        <v>0</v>
      </c>
      <c r="J4003">
        <f t="shared" si="314"/>
        <v>0</v>
      </c>
      <c r="K4003" s="141">
        <f t="shared" si="315"/>
        <v>0</v>
      </c>
    </row>
    <row r="4004" spans="7:11" hidden="1" x14ac:dyDescent="0.25">
      <c r="G4004">
        <f t="shared" si="311"/>
        <v>0</v>
      </c>
      <c r="H4004">
        <f t="shared" si="312"/>
        <v>0</v>
      </c>
      <c r="I4004" s="141">
        <f t="shared" si="313"/>
        <v>0</v>
      </c>
      <c r="J4004">
        <f t="shared" si="314"/>
        <v>0</v>
      </c>
      <c r="K4004" s="141">
        <f t="shared" si="315"/>
        <v>0</v>
      </c>
    </row>
    <row r="4005" spans="7:11" hidden="1" x14ac:dyDescent="0.25">
      <c r="G4005">
        <f t="shared" si="311"/>
        <v>0</v>
      </c>
      <c r="H4005">
        <f t="shared" si="312"/>
        <v>0</v>
      </c>
      <c r="I4005" s="141">
        <f t="shared" si="313"/>
        <v>0</v>
      </c>
      <c r="J4005">
        <f t="shared" si="314"/>
        <v>0</v>
      </c>
      <c r="K4005" s="141">
        <f t="shared" si="315"/>
        <v>0</v>
      </c>
    </row>
    <row r="4006" spans="7:11" hidden="1" x14ac:dyDescent="0.25">
      <c r="G4006">
        <f t="shared" si="311"/>
        <v>0</v>
      </c>
      <c r="H4006">
        <f t="shared" si="312"/>
        <v>0</v>
      </c>
      <c r="I4006" s="141">
        <f t="shared" si="313"/>
        <v>0</v>
      </c>
      <c r="J4006">
        <f t="shared" si="314"/>
        <v>0</v>
      </c>
      <c r="K4006" s="141">
        <f t="shared" si="315"/>
        <v>0</v>
      </c>
    </row>
    <row r="4007" spans="7:11" hidden="1" x14ac:dyDescent="0.25">
      <c r="G4007">
        <f t="shared" si="311"/>
        <v>0</v>
      </c>
      <c r="H4007">
        <f t="shared" si="312"/>
        <v>0</v>
      </c>
      <c r="I4007" s="141">
        <f t="shared" si="313"/>
        <v>0</v>
      </c>
      <c r="J4007">
        <f t="shared" si="314"/>
        <v>0</v>
      </c>
      <c r="K4007" s="141">
        <f t="shared" si="315"/>
        <v>0</v>
      </c>
    </row>
    <row r="4008" spans="7:11" hidden="1" x14ac:dyDescent="0.25">
      <c r="G4008">
        <f t="shared" si="311"/>
        <v>0</v>
      </c>
      <c r="H4008">
        <f t="shared" si="312"/>
        <v>0</v>
      </c>
      <c r="I4008" s="141">
        <f t="shared" si="313"/>
        <v>0</v>
      </c>
      <c r="J4008">
        <f t="shared" si="314"/>
        <v>0</v>
      </c>
      <c r="K4008" s="141">
        <f t="shared" si="315"/>
        <v>0</v>
      </c>
    </row>
    <row r="4009" spans="7:11" hidden="1" x14ac:dyDescent="0.25">
      <c r="G4009">
        <f t="shared" si="311"/>
        <v>0</v>
      </c>
      <c r="H4009">
        <f t="shared" si="312"/>
        <v>0</v>
      </c>
      <c r="I4009" s="141">
        <f t="shared" si="313"/>
        <v>0</v>
      </c>
      <c r="J4009">
        <f t="shared" si="314"/>
        <v>0</v>
      </c>
      <c r="K4009" s="141">
        <f t="shared" si="315"/>
        <v>0</v>
      </c>
    </row>
    <row r="4010" spans="7:11" hidden="1" x14ac:dyDescent="0.25">
      <c r="G4010">
        <f t="shared" si="311"/>
        <v>0</v>
      </c>
      <c r="H4010">
        <f t="shared" si="312"/>
        <v>0</v>
      </c>
      <c r="I4010" s="141">
        <f t="shared" si="313"/>
        <v>0</v>
      </c>
      <c r="J4010">
        <f t="shared" si="314"/>
        <v>0</v>
      </c>
      <c r="K4010" s="141">
        <f t="shared" si="315"/>
        <v>0</v>
      </c>
    </row>
    <row r="4011" spans="7:11" hidden="1" x14ac:dyDescent="0.25">
      <c r="G4011">
        <f t="shared" si="311"/>
        <v>0</v>
      </c>
      <c r="H4011">
        <f t="shared" si="312"/>
        <v>0</v>
      </c>
      <c r="I4011" s="141">
        <f t="shared" si="313"/>
        <v>0</v>
      </c>
      <c r="J4011">
        <f t="shared" si="314"/>
        <v>0</v>
      </c>
      <c r="K4011" s="141">
        <f t="shared" si="315"/>
        <v>0</v>
      </c>
    </row>
    <row r="4012" spans="7:11" hidden="1" x14ac:dyDescent="0.25">
      <c r="G4012">
        <f t="shared" si="311"/>
        <v>0</v>
      </c>
      <c r="H4012">
        <f t="shared" si="312"/>
        <v>0</v>
      </c>
      <c r="I4012" s="141">
        <f t="shared" si="313"/>
        <v>0</v>
      </c>
      <c r="J4012">
        <f t="shared" si="314"/>
        <v>0</v>
      </c>
      <c r="K4012" s="141">
        <f t="shared" si="315"/>
        <v>0</v>
      </c>
    </row>
    <row r="4013" spans="7:11" hidden="1" x14ac:dyDescent="0.25">
      <c r="G4013">
        <f t="shared" si="311"/>
        <v>0</v>
      </c>
      <c r="H4013">
        <f t="shared" si="312"/>
        <v>0</v>
      </c>
      <c r="I4013" s="141">
        <f t="shared" si="313"/>
        <v>0</v>
      </c>
      <c r="J4013">
        <f t="shared" si="314"/>
        <v>0</v>
      </c>
      <c r="K4013" s="141">
        <f t="shared" si="315"/>
        <v>0</v>
      </c>
    </row>
    <row r="4014" spans="7:11" hidden="1" x14ac:dyDescent="0.25">
      <c r="G4014">
        <f t="shared" si="311"/>
        <v>0</v>
      </c>
      <c r="H4014">
        <f t="shared" si="312"/>
        <v>0</v>
      </c>
      <c r="I4014" s="141">
        <f t="shared" si="313"/>
        <v>0</v>
      </c>
      <c r="J4014">
        <f t="shared" si="314"/>
        <v>0</v>
      </c>
      <c r="K4014" s="141">
        <f t="shared" si="315"/>
        <v>0</v>
      </c>
    </row>
    <row r="4015" spans="7:11" hidden="1" x14ac:dyDescent="0.25">
      <c r="G4015">
        <f t="shared" si="311"/>
        <v>0</v>
      </c>
      <c r="H4015">
        <f t="shared" si="312"/>
        <v>0</v>
      </c>
      <c r="I4015" s="141">
        <f t="shared" si="313"/>
        <v>0</v>
      </c>
      <c r="J4015">
        <f t="shared" si="314"/>
        <v>0</v>
      </c>
      <c r="K4015" s="141">
        <f t="shared" si="315"/>
        <v>0</v>
      </c>
    </row>
    <row r="4016" spans="7:11" hidden="1" x14ac:dyDescent="0.25">
      <c r="G4016">
        <f t="shared" si="311"/>
        <v>0</v>
      </c>
      <c r="H4016">
        <f t="shared" si="312"/>
        <v>0</v>
      </c>
      <c r="I4016" s="141">
        <f t="shared" si="313"/>
        <v>0</v>
      </c>
      <c r="J4016">
        <f t="shared" si="314"/>
        <v>0</v>
      </c>
      <c r="K4016" s="141">
        <f t="shared" si="315"/>
        <v>0</v>
      </c>
    </row>
    <row r="4017" spans="7:11" hidden="1" x14ac:dyDescent="0.25">
      <c r="G4017">
        <f t="shared" si="311"/>
        <v>0</v>
      </c>
      <c r="H4017">
        <f t="shared" si="312"/>
        <v>0</v>
      </c>
      <c r="I4017" s="141">
        <f t="shared" si="313"/>
        <v>0</v>
      </c>
      <c r="J4017">
        <f t="shared" si="314"/>
        <v>0</v>
      </c>
      <c r="K4017" s="141">
        <f t="shared" si="315"/>
        <v>0</v>
      </c>
    </row>
    <row r="4018" spans="7:11" hidden="1" x14ac:dyDescent="0.25">
      <c r="G4018">
        <f t="shared" si="311"/>
        <v>0</v>
      </c>
      <c r="H4018">
        <f t="shared" si="312"/>
        <v>0</v>
      </c>
      <c r="I4018" s="141">
        <f t="shared" si="313"/>
        <v>0</v>
      </c>
      <c r="J4018">
        <f t="shared" si="314"/>
        <v>0</v>
      </c>
      <c r="K4018" s="141">
        <f t="shared" si="315"/>
        <v>0</v>
      </c>
    </row>
    <row r="4019" spans="7:11" hidden="1" x14ac:dyDescent="0.25">
      <c r="G4019">
        <f t="shared" si="311"/>
        <v>0</v>
      </c>
      <c r="H4019">
        <f t="shared" si="312"/>
        <v>0</v>
      </c>
      <c r="I4019" s="141">
        <f t="shared" si="313"/>
        <v>0</v>
      </c>
      <c r="J4019">
        <f t="shared" si="314"/>
        <v>0</v>
      </c>
      <c r="K4019" s="141">
        <f t="shared" si="315"/>
        <v>0</v>
      </c>
    </row>
    <row r="4020" spans="7:11" hidden="1" x14ac:dyDescent="0.25">
      <c r="G4020">
        <f t="shared" si="311"/>
        <v>0</v>
      </c>
      <c r="H4020">
        <f t="shared" si="312"/>
        <v>0</v>
      </c>
      <c r="I4020" s="141">
        <f t="shared" si="313"/>
        <v>0</v>
      </c>
      <c r="J4020">
        <f t="shared" si="314"/>
        <v>0</v>
      </c>
      <c r="K4020" s="141">
        <f t="shared" si="315"/>
        <v>0</v>
      </c>
    </row>
    <row r="4021" spans="7:11" hidden="1" x14ac:dyDescent="0.25">
      <c r="G4021">
        <f t="shared" si="311"/>
        <v>0</v>
      </c>
      <c r="H4021">
        <f t="shared" si="312"/>
        <v>0</v>
      </c>
      <c r="I4021" s="141">
        <f t="shared" si="313"/>
        <v>0</v>
      </c>
      <c r="J4021">
        <f t="shared" si="314"/>
        <v>0</v>
      </c>
      <c r="K4021" s="141">
        <f t="shared" si="315"/>
        <v>0</v>
      </c>
    </row>
    <row r="4022" spans="7:11" hidden="1" x14ac:dyDescent="0.25">
      <c r="G4022">
        <f t="shared" si="311"/>
        <v>0</v>
      </c>
      <c r="H4022">
        <f t="shared" si="312"/>
        <v>0</v>
      </c>
      <c r="I4022" s="141">
        <f t="shared" si="313"/>
        <v>0</v>
      </c>
      <c r="J4022">
        <f t="shared" si="314"/>
        <v>0</v>
      </c>
      <c r="K4022" s="141">
        <f t="shared" si="315"/>
        <v>0</v>
      </c>
    </row>
    <row r="4023" spans="7:11" hidden="1" x14ac:dyDescent="0.25">
      <c r="G4023">
        <f t="shared" si="311"/>
        <v>0</v>
      </c>
      <c r="H4023">
        <f t="shared" si="312"/>
        <v>0</v>
      </c>
      <c r="I4023" s="141">
        <f t="shared" si="313"/>
        <v>0</v>
      </c>
      <c r="J4023">
        <f t="shared" si="314"/>
        <v>0</v>
      </c>
      <c r="K4023" s="141">
        <f t="shared" si="315"/>
        <v>0</v>
      </c>
    </row>
    <row r="4024" spans="7:11" hidden="1" x14ac:dyDescent="0.25">
      <c r="G4024">
        <f t="shared" si="311"/>
        <v>0</v>
      </c>
      <c r="H4024">
        <f t="shared" si="312"/>
        <v>0</v>
      </c>
      <c r="I4024" s="141">
        <f t="shared" si="313"/>
        <v>0</v>
      </c>
      <c r="J4024">
        <f t="shared" si="314"/>
        <v>0</v>
      </c>
      <c r="K4024" s="141">
        <f t="shared" si="315"/>
        <v>0</v>
      </c>
    </row>
    <row r="4025" spans="7:11" hidden="1" x14ac:dyDescent="0.25">
      <c r="G4025">
        <f t="shared" si="311"/>
        <v>0</v>
      </c>
      <c r="H4025">
        <f t="shared" si="312"/>
        <v>0</v>
      </c>
      <c r="I4025" s="141">
        <f t="shared" si="313"/>
        <v>0</v>
      </c>
      <c r="J4025">
        <f t="shared" si="314"/>
        <v>0</v>
      </c>
      <c r="K4025" s="141">
        <f t="shared" si="315"/>
        <v>0</v>
      </c>
    </row>
    <row r="4026" spans="7:11" hidden="1" x14ac:dyDescent="0.25">
      <c r="G4026">
        <f t="shared" si="311"/>
        <v>0</v>
      </c>
      <c r="H4026">
        <f t="shared" si="312"/>
        <v>0</v>
      </c>
      <c r="I4026" s="141">
        <f t="shared" si="313"/>
        <v>0</v>
      </c>
      <c r="J4026">
        <f t="shared" si="314"/>
        <v>0</v>
      </c>
      <c r="K4026" s="141">
        <f t="shared" si="315"/>
        <v>0</v>
      </c>
    </row>
    <row r="4027" spans="7:11" hidden="1" x14ac:dyDescent="0.25">
      <c r="G4027">
        <f t="shared" si="311"/>
        <v>0</v>
      </c>
      <c r="H4027">
        <f t="shared" si="312"/>
        <v>0</v>
      </c>
      <c r="I4027" s="141">
        <f t="shared" si="313"/>
        <v>0</v>
      </c>
      <c r="J4027">
        <f t="shared" si="314"/>
        <v>0</v>
      </c>
      <c r="K4027" s="141">
        <f t="shared" si="315"/>
        <v>0</v>
      </c>
    </row>
    <row r="4028" spans="7:11" hidden="1" x14ac:dyDescent="0.25">
      <c r="G4028">
        <f t="shared" si="311"/>
        <v>0</v>
      </c>
      <c r="H4028">
        <f t="shared" si="312"/>
        <v>0</v>
      </c>
      <c r="I4028" s="141">
        <f t="shared" si="313"/>
        <v>0</v>
      </c>
      <c r="J4028">
        <f t="shared" si="314"/>
        <v>0</v>
      </c>
      <c r="K4028" s="141">
        <f t="shared" si="315"/>
        <v>0</v>
      </c>
    </row>
    <row r="4029" spans="7:11" hidden="1" x14ac:dyDescent="0.25">
      <c r="G4029">
        <f t="shared" si="311"/>
        <v>0</v>
      </c>
      <c r="H4029">
        <f t="shared" si="312"/>
        <v>0</v>
      </c>
      <c r="I4029" s="141">
        <f t="shared" si="313"/>
        <v>0</v>
      </c>
      <c r="J4029">
        <f t="shared" si="314"/>
        <v>0</v>
      </c>
      <c r="K4029" s="141">
        <f t="shared" si="315"/>
        <v>0</v>
      </c>
    </row>
    <row r="4030" spans="7:11" hidden="1" x14ac:dyDescent="0.25">
      <c r="G4030">
        <f t="shared" si="311"/>
        <v>0</v>
      </c>
      <c r="H4030">
        <f t="shared" si="312"/>
        <v>0</v>
      </c>
      <c r="I4030" s="141">
        <f t="shared" si="313"/>
        <v>0</v>
      </c>
      <c r="J4030">
        <f t="shared" si="314"/>
        <v>0</v>
      </c>
      <c r="K4030" s="141">
        <f t="shared" si="315"/>
        <v>0</v>
      </c>
    </row>
    <row r="4031" spans="7:11" hidden="1" x14ac:dyDescent="0.25">
      <c r="G4031">
        <f t="shared" si="311"/>
        <v>0</v>
      </c>
      <c r="H4031">
        <f t="shared" si="312"/>
        <v>0</v>
      </c>
      <c r="I4031" s="141">
        <f t="shared" si="313"/>
        <v>0</v>
      </c>
      <c r="J4031">
        <f t="shared" si="314"/>
        <v>0</v>
      </c>
      <c r="K4031" s="141">
        <f t="shared" si="315"/>
        <v>0</v>
      </c>
    </row>
    <row r="4032" spans="7:11" hidden="1" x14ac:dyDescent="0.25">
      <c r="G4032">
        <f t="shared" si="311"/>
        <v>0</v>
      </c>
      <c r="H4032">
        <f t="shared" si="312"/>
        <v>0</v>
      </c>
      <c r="I4032" s="141">
        <f t="shared" si="313"/>
        <v>0</v>
      </c>
      <c r="J4032">
        <f t="shared" si="314"/>
        <v>0</v>
      </c>
      <c r="K4032" s="141">
        <f t="shared" si="315"/>
        <v>0</v>
      </c>
    </row>
    <row r="4033" spans="7:11" hidden="1" x14ac:dyDescent="0.25">
      <c r="G4033">
        <f t="shared" si="311"/>
        <v>0</v>
      </c>
      <c r="H4033">
        <f t="shared" si="312"/>
        <v>0</v>
      </c>
      <c r="I4033" s="141">
        <f t="shared" si="313"/>
        <v>0</v>
      </c>
      <c r="J4033">
        <f t="shared" si="314"/>
        <v>0</v>
      </c>
      <c r="K4033" s="141">
        <f t="shared" si="315"/>
        <v>0</v>
      </c>
    </row>
    <row r="4034" spans="7:11" hidden="1" x14ac:dyDescent="0.25">
      <c r="G4034">
        <f t="shared" ref="G4034:G4097" si="316">A4034</f>
        <v>0</v>
      </c>
      <c r="H4034">
        <f t="shared" ref="H4034:H4097" si="317">B4034</f>
        <v>0</v>
      </c>
      <c r="I4034" s="141">
        <f t="shared" ref="I4034:I4097" si="318">C4034</f>
        <v>0</v>
      </c>
      <c r="J4034">
        <f t="shared" ref="J4034:J4097" si="319">D4034</f>
        <v>0</v>
      </c>
      <c r="K4034" s="141">
        <f t="shared" ref="K4034:K4097" si="320">E4034</f>
        <v>0</v>
      </c>
    </row>
    <row r="4035" spans="7:11" hidden="1" x14ac:dyDescent="0.25">
      <c r="G4035">
        <f t="shared" si="316"/>
        <v>0</v>
      </c>
      <c r="H4035">
        <f t="shared" si="317"/>
        <v>0</v>
      </c>
      <c r="I4035" s="141">
        <f t="shared" si="318"/>
        <v>0</v>
      </c>
      <c r="J4035">
        <f t="shared" si="319"/>
        <v>0</v>
      </c>
      <c r="K4035" s="141">
        <f t="shared" si="320"/>
        <v>0</v>
      </c>
    </row>
    <row r="4036" spans="7:11" hidden="1" x14ac:dyDescent="0.25">
      <c r="G4036">
        <f t="shared" si="316"/>
        <v>0</v>
      </c>
      <c r="H4036">
        <f t="shared" si="317"/>
        <v>0</v>
      </c>
      <c r="I4036" s="141">
        <f t="shared" si="318"/>
        <v>0</v>
      </c>
      <c r="J4036">
        <f t="shared" si="319"/>
        <v>0</v>
      </c>
      <c r="K4036" s="141">
        <f t="shared" si="320"/>
        <v>0</v>
      </c>
    </row>
    <row r="4037" spans="7:11" hidden="1" x14ac:dyDescent="0.25">
      <c r="G4037">
        <f t="shared" si="316"/>
        <v>0</v>
      </c>
      <c r="H4037">
        <f t="shared" si="317"/>
        <v>0</v>
      </c>
      <c r="I4037" s="141">
        <f t="shared" si="318"/>
        <v>0</v>
      </c>
      <c r="J4037">
        <f t="shared" si="319"/>
        <v>0</v>
      </c>
      <c r="K4037" s="141">
        <f t="shared" si="320"/>
        <v>0</v>
      </c>
    </row>
    <row r="4038" spans="7:11" hidden="1" x14ac:dyDescent="0.25">
      <c r="G4038">
        <f t="shared" si="316"/>
        <v>0</v>
      </c>
      <c r="H4038">
        <f t="shared" si="317"/>
        <v>0</v>
      </c>
      <c r="I4038" s="141">
        <f t="shared" si="318"/>
        <v>0</v>
      </c>
      <c r="J4038">
        <f t="shared" si="319"/>
        <v>0</v>
      </c>
      <c r="K4038" s="141">
        <f t="shared" si="320"/>
        <v>0</v>
      </c>
    </row>
    <row r="4039" spans="7:11" hidden="1" x14ac:dyDescent="0.25">
      <c r="G4039">
        <f t="shared" si="316"/>
        <v>0</v>
      </c>
      <c r="H4039">
        <f t="shared" si="317"/>
        <v>0</v>
      </c>
      <c r="I4039" s="141">
        <f t="shared" si="318"/>
        <v>0</v>
      </c>
      <c r="J4039">
        <f t="shared" si="319"/>
        <v>0</v>
      </c>
      <c r="K4039" s="141">
        <f t="shared" si="320"/>
        <v>0</v>
      </c>
    </row>
    <row r="4040" spans="7:11" hidden="1" x14ac:dyDescent="0.25">
      <c r="G4040">
        <f t="shared" si="316"/>
        <v>0</v>
      </c>
      <c r="H4040">
        <f t="shared" si="317"/>
        <v>0</v>
      </c>
      <c r="I4040" s="141">
        <f t="shared" si="318"/>
        <v>0</v>
      </c>
      <c r="J4040">
        <f t="shared" si="319"/>
        <v>0</v>
      </c>
      <c r="K4040" s="141">
        <f t="shared" si="320"/>
        <v>0</v>
      </c>
    </row>
    <row r="4041" spans="7:11" hidden="1" x14ac:dyDescent="0.25">
      <c r="G4041">
        <f t="shared" si="316"/>
        <v>0</v>
      </c>
      <c r="H4041">
        <f t="shared" si="317"/>
        <v>0</v>
      </c>
      <c r="I4041" s="141">
        <f t="shared" si="318"/>
        <v>0</v>
      </c>
      <c r="J4041">
        <f t="shared" si="319"/>
        <v>0</v>
      </c>
      <c r="K4041" s="141">
        <f t="shared" si="320"/>
        <v>0</v>
      </c>
    </row>
    <row r="4042" spans="7:11" hidden="1" x14ac:dyDescent="0.25">
      <c r="G4042">
        <f t="shared" si="316"/>
        <v>0</v>
      </c>
      <c r="H4042">
        <f t="shared" si="317"/>
        <v>0</v>
      </c>
      <c r="I4042" s="141">
        <f t="shared" si="318"/>
        <v>0</v>
      </c>
      <c r="J4042">
        <f t="shared" si="319"/>
        <v>0</v>
      </c>
      <c r="K4042" s="141">
        <f t="shared" si="320"/>
        <v>0</v>
      </c>
    </row>
    <row r="4043" spans="7:11" hidden="1" x14ac:dyDescent="0.25">
      <c r="G4043">
        <f t="shared" si="316"/>
        <v>0</v>
      </c>
      <c r="H4043">
        <f t="shared" si="317"/>
        <v>0</v>
      </c>
      <c r="I4043" s="141">
        <f t="shared" si="318"/>
        <v>0</v>
      </c>
      <c r="J4043">
        <f t="shared" si="319"/>
        <v>0</v>
      </c>
      <c r="K4043" s="141">
        <f t="shared" si="320"/>
        <v>0</v>
      </c>
    </row>
    <row r="4044" spans="7:11" hidden="1" x14ac:dyDescent="0.25">
      <c r="G4044">
        <f t="shared" si="316"/>
        <v>0</v>
      </c>
      <c r="H4044">
        <f t="shared" si="317"/>
        <v>0</v>
      </c>
      <c r="I4044" s="141">
        <f t="shared" si="318"/>
        <v>0</v>
      </c>
      <c r="J4044">
        <f t="shared" si="319"/>
        <v>0</v>
      </c>
      <c r="K4044" s="141">
        <f t="shared" si="320"/>
        <v>0</v>
      </c>
    </row>
    <row r="4045" spans="7:11" hidden="1" x14ac:dyDescent="0.25">
      <c r="G4045">
        <f t="shared" si="316"/>
        <v>0</v>
      </c>
      <c r="H4045">
        <f t="shared" si="317"/>
        <v>0</v>
      </c>
      <c r="I4045" s="141">
        <f t="shared" si="318"/>
        <v>0</v>
      </c>
      <c r="J4045">
        <f t="shared" si="319"/>
        <v>0</v>
      </c>
      <c r="K4045" s="141">
        <f t="shared" si="320"/>
        <v>0</v>
      </c>
    </row>
    <row r="4046" spans="7:11" hidden="1" x14ac:dyDescent="0.25">
      <c r="G4046">
        <f t="shared" si="316"/>
        <v>0</v>
      </c>
      <c r="H4046">
        <f t="shared" si="317"/>
        <v>0</v>
      </c>
      <c r="I4046" s="141">
        <f t="shared" si="318"/>
        <v>0</v>
      </c>
      <c r="J4046">
        <f t="shared" si="319"/>
        <v>0</v>
      </c>
      <c r="K4046" s="141">
        <f t="shared" si="320"/>
        <v>0</v>
      </c>
    </row>
    <row r="4047" spans="7:11" hidden="1" x14ac:dyDescent="0.25">
      <c r="G4047">
        <f t="shared" si="316"/>
        <v>0</v>
      </c>
      <c r="H4047">
        <f t="shared" si="317"/>
        <v>0</v>
      </c>
      <c r="I4047" s="141">
        <f t="shared" si="318"/>
        <v>0</v>
      </c>
      <c r="J4047">
        <f t="shared" si="319"/>
        <v>0</v>
      </c>
      <c r="K4047" s="141">
        <f t="shared" si="320"/>
        <v>0</v>
      </c>
    </row>
    <row r="4048" spans="7:11" hidden="1" x14ac:dyDescent="0.25">
      <c r="G4048">
        <f t="shared" si="316"/>
        <v>0</v>
      </c>
      <c r="H4048">
        <f t="shared" si="317"/>
        <v>0</v>
      </c>
      <c r="I4048" s="141">
        <f t="shared" si="318"/>
        <v>0</v>
      </c>
      <c r="J4048">
        <f t="shared" si="319"/>
        <v>0</v>
      </c>
      <c r="K4048" s="141">
        <f t="shared" si="320"/>
        <v>0</v>
      </c>
    </row>
    <row r="4049" spans="7:11" hidden="1" x14ac:dyDescent="0.25">
      <c r="G4049">
        <f t="shared" si="316"/>
        <v>0</v>
      </c>
      <c r="H4049">
        <f t="shared" si="317"/>
        <v>0</v>
      </c>
      <c r="I4049" s="141">
        <f t="shared" si="318"/>
        <v>0</v>
      </c>
      <c r="J4049">
        <f t="shared" si="319"/>
        <v>0</v>
      </c>
      <c r="K4049" s="141">
        <f t="shared" si="320"/>
        <v>0</v>
      </c>
    </row>
    <row r="4050" spans="7:11" hidden="1" x14ac:dyDescent="0.25">
      <c r="G4050">
        <f t="shared" si="316"/>
        <v>0</v>
      </c>
      <c r="H4050">
        <f t="shared" si="317"/>
        <v>0</v>
      </c>
      <c r="I4050" s="141">
        <f t="shared" si="318"/>
        <v>0</v>
      </c>
      <c r="J4050">
        <f t="shared" si="319"/>
        <v>0</v>
      </c>
      <c r="K4050" s="141">
        <f t="shared" si="320"/>
        <v>0</v>
      </c>
    </row>
    <row r="4051" spans="7:11" hidden="1" x14ac:dyDescent="0.25">
      <c r="G4051">
        <f t="shared" si="316"/>
        <v>0</v>
      </c>
      <c r="H4051">
        <f t="shared" si="317"/>
        <v>0</v>
      </c>
      <c r="I4051" s="141">
        <f t="shared" si="318"/>
        <v>0</v>
      </c>
      <c r="J4051">
        <f t="shared" si="319"/>
        <v>0</v>
      </c>
      <c r="K4051" s="141">
        <f t="shared" si="320"/>
        <v>0</v>
      </c>
    </row>
    <row r="4052" spans="7:11" hidden="1" x14ac:dyDescent="0.25">
      <c r="G4052">
        <f t="shared" si="316"/>
        <v>0</v>
      </c>
      <c r="H4052">
        <f t="shared" si="317"/>
        <v>0</v>
      </c>
      <c r="I4052" s="141">
        <f t="shared" si="318"/>
        <v>0</v>
      </c>
      <c r="J4052">
        <f t="shared" si="319"/>
        <v>0</v>
      </c>
      <c r="K4052" s="141">
        <f t="shared" si="320"/>
        <v>0</v>
      </c>
    </row>
    <row r="4053" spans="7:11" hidden="1" x14ac:dyDescent="0.25">
      <c r="G4053">
        <f t="shared" si="316"/>
        <v>0</v>
      </c>
      <c r="H4053">
        <f t="shared" si="317"/>
        <v>0</v>
      </c>
      <c r="I4053" s="141">
        <f t="shared" si="318"/>
        <v>0</v>
      </c>
      <c r="J4053">
        <f t="shared" si="319"/>
        <v>0</v>
      </c>
      <c r="K4053" s="141">
        <f t="shared" si="320"/>
        <v>0</v>
      </c>
    </row>
    <row r="4054" spans="7:11" hidden="1" x14ac:dyDescent="0.25">
      <c r="G4054">
        <f t="shared" si="316"/>
        <v>0</v>
      </c>
      <c r="H4054">
        <f t="shared" si="317"/>
        <v>0</v>
      </c>
      <c r="I4054" s="141">
        <f t="shared" si="318"/>
        <v>0</v>
      </c>
      <c r="J4054">
        <f t="shared" si="319"/>
        <v>0</v>
      </c>
      <c r="K4054" s="141">
        <f t="shared" si="320"/>
        <v>0</v>
      </c>
    </row>
    <row r="4055" spans="7:11" hidden="1" x14ac:dyDescent="0.25">
      <c r="G4055">
        <f t="shared" si="316"/>
        <v>0</v>
      </c>
      <c r="H4055">
        <f t="shared" si="317"/>
        <v>0</v>
      </c>
      <c r="I4055" s="141">
        <f t="shared" si="318"/>
        <v>0</v>
      </c>
      <c r="J4055">
        <f t="shared" si="319"/>
        <v>0</v>
      </c>
      <c r="K4055" s="141">
        <f t="shared" si="320"/>
        <v>0</v>
      </c>
    </row>
    <row r="4056" spans="7:11" hidden="1" x14ac:dyDescent="0.25">
      <c r="G4056">
        <f t="shared" si="316"/>
        <v>0</v>
      </c>
      <c r="H4056">
        <f t="shared" si="317"/>
        <v>0</v>
      </c>
      <c r="I4056" s="141">
        <f t="shared" si="318"/>
        <v>0</v>
      </c>
      <c r="J4056">
        <f t="shared" si="319"/>
        <v>0</v>
      </c>
      <c r="K4056" s="141">
        <f t="shared" si="320"/>
        <v>0</v>
      </c>
    </row>
    <row r="4057" spans="7:11" hidden="1" x14ac:dyDescent="0.25">
      <c r="G4057">
        <f t="shared" si="316"/>
        <v>0</v>
      </c>
      <c r="H4057">
        <f t="shared" si="317"/>
        <v>0</v>
      </c>
      <c r="I4057" s="141">
        <f t="shared" si="318"/>
        <v>0</v>
      </c>
      <c r="J4057">
        <f t="shared" si="319"/>
        <v>0</v>
      </c>
      <c r="K4057" s="141">
        <f t="shared" si="320"/>
        <v>0</v>
      </c>
    </row>
    <row r="4058" spans="7:11" hidden="1" x14ac:dyDescent="0.25">
      <c r="G4058">
        <f t="shared" si="316"/>
        <v>0</v>
      </c>
      <c r="H4058">
        <f t="shared" si="317"/>
        <v>0</v>
      </c>
      <c r="I4058" s="141">
        <f t="shared" si="318"/>
        <v>0</v>
      </c>
      <c r="J4058">
        <f t="shared" si="319"/>
        <v>0</v>
      </c>
      <c r="K4058" s="141">
        <f t="shared" si="320"/>
        <v>0</v>
      </c>
    </row>
    <row r="4059" spans="7:11" hidden="1" x14ac:dyDescent="0.25">
      <c r="G4059">
        <f t="shared" si="316"/>
        <v>0</v>
      </c>
      <c r="H4059">
        <f t="shared" si="317"/>
        <v>0</v>
      </c>
      <c r="I4059" s="141">
        <f t="shared" si="318"/>
        <v>0</v>
      </c>
      <c r="J4059">
        <f t="shared" si="319"/>
        <v>0</v>
      </c>
      <c r="K4059" s="141">
        <f t="shared" si="320"/>
        <v>0</v>
      </c>
    </row>
    <row r="4060" spans="7:11" hidden="1" x14ac:dyDescent="0.25">
      <c r="G4060">
        <f t="shared" si="316"/>
        <v>0</v>
      </c>
      <c r="H4060">
        <f t="shared" si="317"/>
        <v>0</v>
      </c>
      <c r="I4060" s="141">
        <f t="shared" si="318"/>
        <v>0</v>
      </c>
      <c r="J4060">
        <f t="shared" si="319"/>
        <v>0</v>
      </c>
      <c r="K4060" s="141">
        <f t="shared" si="320"/>
        <v>0</v>
      </c>
    </row>
    <row r="4061" spans="7:11" hidden="1" x14ac:dyDescent="0.25">
      <c r="G4061">
        <f t="shared" si="316"/>
        <v>0</v>
      </c>
      <c r="H4061">
        <f t="shared" si="317"/>
        <v>0</v>
      </c>
      <c r="I4061" s="141">
        <f t="shared" si="318"/>
        <v>0</v>
      </c>
      <c r="J4061">
        <f t="shared" si="319"/>
        <v>0</v>
      </c>
      <c r="K4061" s="141">
        <f t="shared" si="320"/>
        <v>0</v>
      </c>
    </row>
    <row r="4062" spans="7:11" hidden="1" x14ac:dyDescent="0.25">
      <c r="G4062">
        <f t="shared" si="316"/>
        <v>0</v>
      </c>
      <c r="H4062">
        <f t="shared" si="317"/>
        <v>0</v>
      </c>
      <c r="I4062" s="141">
        <f t="shared" si="318"/>
        <v>0</v>
      </c>
      <c r="J4062">
        <f t="shared" si="319"/>
        <v>0</v>
      </c>
      <c r="K4062" s="141">
        <f t="shared" si="320"/>
        <v>0</v>
      </c>
    </row>
    <row r="4063" spans="7:11" hidden="1" x14ac:dyDescent="0.25">
      <c r="G4063">
        <f t="shared" si="316"/>
        <v>0</v>
      </c>
      <c r="H4063">
        <f t="shared" si="317"/>
        <v>0</v>
      </c>
      <c r="I4063" s="141">
        <f t="shared" si="318"/>
        <v>0</v>
      </c>
      <c r="J4063">
        <f t="shared" si="319"/>
        <v>0</v>
      </c>
      <c r="K4063" s="141">
        <f t="shared" si="320"/>
        <v>0</v>
      </c>
    </row>
    <row r="4064" spans="7:11" hidden="1" x14ac:dyDescent="0.25">
      <c r="G4064">
        <f t="shared" si="316"/>
        <v>0</v>
      </c>
      <c r="H4064">
        <f t="shared" si="317"/>
        <v>0</v>
      </c>
      <c r="I4064" s="141">
        <f t="shared" si="318"/>
        <v>0</v>
      </c>
      <c r="J4064">
        <f t="shared" si="319"/>
        <v>0</v>
      </c>
      <c r="K4064" s="141">
        <f t="shared" si="320"/>
        <v>0</v>
      </c>
    </row>
    <row r="4065" spans="7:11" hidden="1" x14ac:dyDescent="0.25">
      <c r="G4065">
        <f t="shared" si="316"/>
        <v>0</v>
      </c>
      <c r="H4065">
        <f t="shared" si="317"/>
        <v>0</v>
      </c>
      <c r="I4065" s="141">
        <f t="shared" si="318"/>
        <v>0</v>
      </c>
      <c r="J4065">
        <f t="shared" si="319"/>
        <v>0</v>
      </c>
      <c r="K4065" s="141">
        <f t="shared" si="320"/>
        <v>0</v>
      </c>
    </row>
    <row r="4066" spans="7:11" hidden="1" x14ac:dyDescent="0.25">
      <c r="G4066">
        <f t="shared" si="316"/>
        <v>0</v>
      </c>
      <c r="H4066">
        <f t="shared" si="317"/>
        <v>0</v>
      </c>
      <c r="I4066" s="141">
        <f t="shared" si="318"/>
        <v>0</v>
      </c>
      <c r="J4066">
        <f t="shared" si="319"/>
        <v>0</v>
      </c>
      <c r="K4066" s="141">
        <f t="shared" si="320"/>
        <v>0</v>
      </c>
    </row>
    <row r="4067" spans="7:11" hidden="1" x14ac:dyDescent="0.25">
      <c r="G4067">
        <f t="shared" si="316"/>
        <v>0</v>
      </c>
      <c r="H4067">
        <f t="shared" si="317"/>
        <v>0</v>
      </c>
      <c r="I4067" s="141">
        <f t="shared" si="318"/>
        <v>0</v>
      </c>
      <c r="J4067">
        <f t="shared" si="319"/>
        <v>0</v>
      </c>
      <c r="K4067" s="141">
        <f t="shared" si="320"/>
        <v>0</v>
      </c>
    </row>
    <row r="4068" spans="7:11" hidden="1" x14ac:dyDescent="0.25">
      <c r="G4068">
        <f t="shared" si="316"/>
        <v>0</v>
      </c>
      <c r="H4068">
        <f t="shared" si="317"/>
        <v>0</v>
      </c>
      <c r="I4068" s="141">
        <f t="shared" si="318"/>
        <v>0</v>
      </c>
      <c r="J4068">
        <f t="shared" si="319"/>
        <v>0</v>
      </c>
      <c r="K4068" s="141">
        <f t="shared" si="320"/>
        <v>0</v>
      </c>
    </row>
    <row r="4069" spans="7:11" hidden="1" x14ac:dyDescent="0.25">
      <c r="G4069">
        <f t="shared" si="316"/>
        <v>0</v>
      </c>
      <c r="H4069">
        <f t="shared" si="317"/>
        <v>0</v>
      </c>
      <c r="I4069" s="141">
        <f t="shared" si="318"/>
        <v>0</v>
      </c>
      <c r="J4069">
        <f t="shared" si="319"/>
        <v>0</v>
      </c>
      <c r="K4069" s="141">
        <f t="shared" si="320"/>
        <v>0</v>
      </c>
    </row>
    <row r="4070" spans="7:11" hidden="1" x14ac:dyDescent="0.25">
      <c r="G4070">
        <f t="shared" si="316"/>
        <v>0</v>
      </c>
      <c r="H4070">
        <f t="shared" si="317"/>
        <v>0</v>
      </c>
      <c r="I4070" s="141">
        <f t="shared" si="318"/>
        <v>0</v>
      </c>
      <c r="J4070">
        <f t="shared" si="319"/>
        <v>0</v>
      </c>
      <c r="K4070" s="141">
        <f t="shared" si="320"/>
        <v>0</v>
      </c>
    </row>
    <row r="4071" spans="7:11" hidden="1" x14ac:dyDescent="0.25">
      <c r="G4071">
        <f t="shared" si="316"/>
        <v>0</v>
      </c>
      <c r="H4071">
        <f t="shared" si="317"/>
        <v>0</v>
      </c>
      <c r="I4071" s="141">
        <f t="shared" si="318"/>
        <v>0</v>
      </c>
      <c r="J4071">
        <f t="shared" si="319"/>
        <v>0</v>
      </c>
      <c r="K4071" s="141">
        <f t="shared" si="320"/>
        <v>0</v>
      </c>
    </row>
    <row r="4072" spans="7:11" hidden="1" x14ac:dyDescent="0.25">
      <c r="G4072">
        <f t="shared" si="316"/>
        <v>0</v>
      </c>
      <c r="H4072">
        <f t="shared" si="317"/>
        <v>0</v>
      </c>
      <c r="I4072" s="141">
        <f t="shared" si="318"/>
        <v>0</v>
      </c>
      <c r="J4072">
        <f t="shared" si="319"/>
        <v>0</v>
      </c>
      <c r="K4072" s="141">
        <f t="shared" si="320"/>
        <v>0</v>
      </c>
    </row>
    <row r="4073" spans="7:11" hidden="1" x14ac:dyDescent="0.25">
      <c r="G4073">
        <f t="shared" si="316"/>
        <v>0</v>
      </c>
      <c r="H4073">
        <f t="shared" si="317"/>
        <v>0</v>
      </c>
      <c r="I4073" s="141">
        <f t="shared" si="318"/>
        <v>0</v>
      </c>
      <c r="J4073">
        <f t="shared" si="319"/>
        <v>0</v>
      </c>
      <c r="K4073" s="141">
        <f t="shared" si="320"/>
        <v>0</v>
      </c>
    </row>
    <row r="4074" spans="7:11" hidden="1" x14ac:dyDescent="0.25">
      <c r="G4074">
        <f t="shared" si="316"/>
        <v>0</v>
      </c>
      <c r="H4074">
        <f t="shared" si="317"/>
        <v>0</v>
      </c>
      <c r="I4074" s="141">
        <f t="shared" si="318"/>
        <v>0</v>
      </c>
      <c r="J4074">
        <f t="shared" si="319"/>
        <v>0</v>
      </c>
      <c r="K4074" s="141">
        <f t="shared" si="320"/>
        <v>0</v>
      </c>
    </row>
    <row r="4075" spans="7:11" hidden="1" x14ac:dyDescent="0.25">
      <c r="G4075">
        <f t="shared" si="316"/>
        <v>0</v>
      </c>
      <c r="H4075">
        <f t="shared" si="317"/>
        <v>0</v>
      </c>
      <c r="I4075" s="141">
        <f t="shared" si="318"/>
        <v>0</v>
      </c>
      <c r="J4075">
        <f t="shared" si="319"/>
        <v>0</v>
      </c>
      <c r="K4075" s="141">
        <f t="shared" si="320"/>
        <v>0</v>
      </c>
    </row>
    <row r="4076" spans="7:11" hidden="1" x14ac:dyDescent="0.25">
      <c r="G4076">
        <f t="shared" si="316"/>
        <v>0</v>
      </c>
      <c r="H4076">
        <f t="shared" si="317"/>
        <v>0</v>
      </c>
      <c r="I4076" s="141">
        <f t="shared" si="318"/>
        <v>0</v>
      </c>
      <c r="J4076">
        <f t="shared" si="319"/>
        <v>0</v>
      </c>
      <c r="K4076" s="141">
        <f t="shared" si="320"/>
        <v>0</v>
      </c>
    </row>
    <row r="4077" spans="7:11" hidden="1" x14ac:dyDescent="0.25">
      <c r="G4077">
        <f t="shared" si="316"/>
        <v>0</v>
      </c>
      <c r="H4077">
        <f t="shared" si="317"/>
        <v>0</v>
      </c>
      <c r="I4077" s="141">
        <f t="shared" si="318"/>
        <v>0</v>
      </c>
      <c r="J4077">
        <f t="shared" si="319"/>
        <v>0</v>
      </c>
      <c r="K4077" s="141">
        <f t="shared" si="320"/>
        <v>0</v>
      </c>
    </row>
    <row r="4078" spans="7:11" hidden="1" x14ac:dyDescent="0.25">
      <c r="G4078">
        <f t="shared" si="316"/>
        <v>0</v>
      </c>
      <c r="H4078">
        <f t="shared" si="317"/>
        <v>0</v>
      </c>
      <c r="I4078" s="141">
        <f t="shared" si="318"/>
        <v>0</v>
      </c>
      <c r="J4078">
        <f t="shared" si="319"/>
        <v>0</v>
      </c>
      <c r="K4078" s="141">
        <f t="shared" si="320"/>
        <v>0</v>
      </c>
    </row>
    <row r="4079" spans="7:11" hidden="1" x14ac:dyDescent="0.25">
      <c r="G4079">
        <f t="shared" si="316"/>
        <v>0</v>
      </c>
      <c r="H4079">
        <f t="shared" si="317"/>
        <v>0</v>
      </c>
      <c r="I4079" s="141">
        <f t="shared" si="318"/>
        <v>0</v>
      </c>
      <c r="J4079">
        <f t="shared" si="319"/>
        <v>0</v>
      </c>
      <c r="K4079" s="141">
        <f t="shared" si="320"/>
        <v>0</v>
      </c>
    </row>
    <row r="4080" spans="7:11" hidden="1" x14ac:dyDescent="0.25">
      <c r="G4080">
        <f t="shared" si="316"/>
        <v>0</v>
      </c>
      <c r="H4080">
        <f t="shared" si="317"/>
        <v>0</v>
      </c>
      <c r="I4080" s="141">
        <f t="shared" si="318"/>
        <v>0</v>
      </c>
      <c r="J4080">
        <f t="shared" si="319"/>
        <v>0</v>
      </c>
      <c r="K4080" s="141">
        <f t="shared" si="320"/>
        <v>0</v>
      </c>
    </row>
    <row r="4081" spans="7:11" hidden="1" x14ac:dyDescent="0.25">
      <c r="G4081">
        <f t="shared" si="316"/>
        <v>0</v>
      </c>
      <c r="H4081">
        <f t="shared" si="317"/>
        <v>0</v>
      </c>
      <c r="I4081" s="141">
        <f t="shared" si="318"/>
        <v>0</v>
      </c>
      <c r="J4081">
        <f t="shared" si="319"/>
        <v>0</v>
      </c>
      <c r="K4081" s="141">
        <f t="shared" si="320"/>
        <v>0</v>
      </c>
    </row>
    <row r="4082" spans="7:11" hidden="1" x14ac:dyDescent="0.25">
      <c r="G4082">
        <f t="shared" si="316"/>
        <v>0</v>
      </c>
      <c r="H4082">
        <f t="shared" si="317"/>
        <v>0</v>
      </c>
      <c r="I4082" s="141">
        <f t="shared" si="318"/>
        <v>0</v>
      </c>
      <c r="J4082">
        <f t="shared" si="319"/>
        <v>0</v>
      </c>
      <c r="K4082" s="141">
        <f t="shared" si="320"/>
        <v>0</v>
      </c>
    </row>
    <row r="4083" spans="7:11" hidden="1" x14ac:dyDescent="0.25">
      <c r="G4083">
        <f t="shared" si="316"/>
        <v>0</v>
      </c>
      <c r="H4083">
        <f t="shared" si="317"/>
        <v>0</v>
      </c>
      <c r="I4083" s="141">
        <f t="shared" si="318"/>
        <v>0</v>
      </c>
      <c r="J4083">
        <f t="shared" si="319"/>
        <v>0</v>
      </c>
      <c r="K4083" s="141">
        <f t="shared" si="320"/>
        <v>0</v>
      </c>
    </row>
    <row r="4084" spans="7:11" hidden="1" x14ac:dyDescent="0.25">
      <c r="G4084">
        <f t="shared" si="316"/>
        <v>0</v>
      </c>
      <c r="H4084">
        <f t="shared" si="317"/>
        <v>0</v>
      </c>
      <c r="I4084" s="141">
        <f t="shared" si="318"/>
        <v>0</v>
      </c>
      <c r="J4084">
        <f t="shared" si="319"/>
        <v>0</v>
      </c>
      <c r="K4084" s="141">
        <f t="shared" si="320"/>
        <v>0</v>
      </c>
    </row>
    <row r="4085" spans="7:11" hidden="1" x14ac:dyDescent="0.25">
      <c r="G4085">
        <f t="shared" si="316"/>
        <v>0</v>
      </c>
      <c r="H4085">
        <f t="shared" si="317"/>
        <v>0</v>
      </c>
      <c r="I4085" s="141">
        <f t="shared" si="318"/>
        <v>0</v>
      </c>
      <c r="J4085">
        <f t="shared" si="319"/>
        <v>0</v>
      </c>
      <c r="K4085" s="141">
        <f t="shared" si="320"/>
        <v>0</v>
      </c>
    </row>
    <row r="4086" spans="7:11" hidden="1" x14ac:dyDescent="0.25">
      <c r="G4086">
        <f t="shared" si="316"/>
        <v>0</v>
      </c>
      <c r="H4086">
        <f t="shared" si="317"/>
        <v>0</v>
      </c>
      <c r="I4086" s="141">
        <f t="shared" si="318"/>
        <v>0</v>
      </c>
      <c r="J4086">
        <f t="shared" si="319"/>
        <v>0</v>
      </c>
      <c r="K4086" s="141">
        <f t="shared" si="320"/>
        <v>0</v>
      </c>
    </row>
    <row r="4087" spans="7:11" hidden="1" x14ac:dyDescent="0.25">
      <c r="G4087">
        <f t="shared" si="316"/>
        <v>0</v>
      </c>
      <c r="H4087">
        <f t="shared" si="317"/>
        <v>0</v>
      </c>
      <c r="I4087" s="141">
        <f t="shared" si="318"/>
        <v>0</v>
      </c>
      <c r="J4087">
        <f t="shared" si="319"/>
        <v>0</v>
      </c>
      <c r="K4087" s="141">
        <f t="shared" si="320"/>
        <v>0</v>
      </c>
    </row>
    <row r="4088" spans="7:11" hidden="1" x14ac:dyDescent="0.25">
      <c r="G4088">
        <f t="shared" si="316"/>
        <v>0</v>
      </c>
      <c r="H4088">
        <f t="shared" si="317"/>
        <v>0</v>
      </c>
      <c r="I4088" s="141">
        <f t="shared" si="318"/>
        <v>0</v>
      </c>
      <c r="J4088">
        <f t="shared" si="319"/>
        <v>0</v>
      </c>
      <c r="K4088" s="141">
        <f t="shared" si="320"/>
        <v>0</v>
      </c>
    </row>
    <row r="4089" spans="7:11" hidden="1" x14ac:dyDescent="0.25">
      <c r="G4089">
        <f t="shared" si="316"/>
        <v>0</v>
      </c>
      <c r="H4089">
        <f t="shared" si="317"/>
        <v>0</v>
      </c>
      <c r="I4089" s="141">
        <f t="shared" si="318"/>
        <v>0</v>
      </c>
      <c r="J4089">
        <f t="shared" si="319"/>
        <v>0</v>
      </c>
      <c r="K4089" s="141">
        <f t="shared" si="320"/>
        <v>0</v>
      </c>
    </row>
    <row r="4090" spans="7:11" hidden="1" x14ac:dyDescent="0.25">
      <c r="G4090">
        <f t="shared" si="316"/>
        <v>0</v>
      </c>
      <c r="H4090">
        <f t="shared" si="317"/>
        <v>0</v>
      </c>
      <c r="I4090" s="141">
        <f t="shared" si="318"/>
        <v>0</v>
      </c>
      <c r="J4090">
        <f t="shared" si="319"/>
        <v>0</v>
      </c>
      <c r="K4090" s="141">
        <f t="shared" si="320"/>
        <v>0</v>
      </c>
    </row>
    <row r="4091" spans="7:11" hidden="1" x14ac:dyDescent="0.25">
      <c r="G4091">
        <f t="shared" si="316"/>
        <v>0</v>
      </c>
      <c r="H4091">
        <f t="shared" si="317"/>
        <v>0</v>
      </c>
      <c r="I4091" s="141">
        <f t="shared" si="318"/>
        <v>0</v>
      </c>
      <c r="J4091">
        <f t="shared" si="319"/>
        <v>0</v>
      </c>
      <c r="K4091" s="141">
        <f t="shared" si="320"/>
        <v>0</v>
      </c>
    </row>
    <row r="4092" spans="7:11" hidden="1" x14ac:dyDescent="0.25">
      <c r="G4092">
        <f t="shared" si="316"/>
        <v>0</v>
      </c>
      <c r="H4092">
        <f t="shared" si="317"/>
        <v>0</v>
      </c>
      <c r="I4092" s="141">
        <f t="shared" si="318"/>
        <v>0</v>
      </c>
      <c r="J4092">
        <f t="shared" si="319"/>
        <v>0</v>
      </c>
      <c r="K4092" s="141">
        <f t="shared" si="320"/>
        <v>0</v>
      </c>
    </row>
    <row r="4093" spans="7:11" hidden="1" x14ac:dyDescent="0.25">
      <c r="G4093">
        <f t="shared" si="316"/>
        <v>0</v>
      </c>
      <c r="H4093">
        <f t="shared" si="317"/>
        <v>0</v>
      </c>
      <c r="I4093" s="141">
        <f t="shared" si="318"/>
        <v>0</v>
      </c>
      <c r="J4093">
        <f t="shared" si="319"/>
        <v>0</v>
      </c>
      <c r="K4093" s="141">
        <f t="shared" si="320"/>
        <v>0</v>
      </c>
    </row>
    <row r="4094" spans="7:11" hidden="1" x14ac:dyDescent="0.25">
      <c r="G4094">
        <f t="shared" si="316"/>
        <v>0</v>
      </c>
      <c r="H4094">
        <f t="shared" si="317"/>
        <v>0</v>
      </c>
      <c r="I4094" s="141">
        <f t="shared" si="318"/>
        <v>0</v>
      </c>
      <c r="J4094">
        <f t="shared" si="319"/>
        <v>0</v>
      </c>
      <c r="K4094" s="141">
        <f t="shared" si="320"/>
        <v>0</v>
      </c>
    </row>
    <row r="4095" spans="7:11" hidden="1" x14ac:dyDescent="0.25">
      <c r="G4095">
        <f t="shared" si="316"/>
        <v>0</v>
      </c>
      <c r="H4095">
        <f t="shared" si="317"/>
        <v>0</v>
      </c>
      <c r="I4095" s="141">
        <f t="shared" si="318"/>
        <v>0</v>
      </c>
      <c r="J4095">
        <f t="shared" si="319"/>
        <v>0</v>
      </c>
      <c r="K4095" s="141">
        <f t="shared" si="320"/>
        <v>0</v>
      </c>
    </row>
    <row r="4096" spans="7:11" hidden="1" x14ac:dyDescent="0.25">
      <c r="G4096">
        <f t="shared" si="316"/>
        <v>0</v>
      </c>
      <c r="H4096">
        <f t="shared" si="317"/>
        <v>0</v>
      </c>
      <c r="I4096" s="141">
        <f t="shared" si="318"/>
        <v>0</v>
      </c>
      <c r="J4096">
        <f t="shared" si="319"/>
        <v>0</v>
      </c>
      <c r="K4096" s="141">
        <f t="shared" si="320"/>
        <v>0</v>
      </c>
    </row>
    <row r="4097" spans="7:11" hidden="1" x14ac:dyDescent="0.25">
      <c r="G4097">
        <f t="shared" si="316"/>
        <v>0</v>
      </c>
      <c r="H4097">
        <f t="shared" si="317"/>
        <v>0</v>
      </c>
      <c r="I4097" s="141">
        <f t="shared" si="318"/>
        <v>0</v>
      </c>
      <c r="J4097">
        <f t="shared" si="319"/>
        <v>0</v>
      </c>
      <c r="K4097" s="141">
        <f t="shared" si="320"/>
        <v>0</v>
      </c>
    </row>
    <row r="4098" spans="7:11" hidden="1" x14ac:dyDescent="0.25">
      <c r="G4098">
        <f t="shared" ref="G4098:G4161" si="321">A4098</f>
        <v>0</v>
      </c>
      <c r="H4098">
        <f t="shared" ref="H4098:H4161" si="322">B4098</f>
        <v>0</v>
      </c>
      <c r="I4098" s="141">
        <f t="shared" ref="I4098:I4161" si="323">C4098</f>
        <v>0</v>
      </c>
      <c r="J4098">
        <f t="shared" ref="J4098:J4161" si="324">D4098</f>
        <v>0</v>
      </c>
      <c r="K4098" s="141">
        <f t="shared" ref="K4098:K4161" si="325">E4098</f>
        <v>0</v>
      </c>
    </row>
    <row r="4099" spans="7:11" hidden="1" x14ac:dyDescent="0.25">
      <c r="G4099">
        <f t="shared" si="321"/>
        <v>0</v>
      </c>
      <c r="H4099">
        <f t="shared" si="322"/>
        <v>0</v>
      </c>
      <c r="I4099" s="141">
        <f t="shared" si="323"/>
        <v>0</v>
      </c>
      <c r="J4099">
        <f t="shared" si="324"/>
        <v>0</v>
      </c>
      <c r="K4099" s="141">
        <f t="shared" si="325"/>
        <v>0</v>
      </c>
    </row>
    <row r="4100" spans="7:11" hidden="1" x14ac:dyDescent="0.25">
      <c r="G4100">
        <f t="shared" si="321"/>
        <v>0</v>
      </c>
      <c r="H4100">
        <f t="shared" si="322"/>
        <v>0</v>
      </c>
      <c r="I4100" s="141">
        <f t="shared" si="323"/>
        <v>0</v>
      </c>
      <c r="J4100">
        <f t="shared" si="324"/>
        <v>0</v>
      </c>
      <c r="K4100" s="141">
        <f t="shared" si="325"/>
        <v>0</v>
      </c>
    </row>
    <row r="4101" spans="7:11" hidden="1" x14ac:dyDescent="0.25">
      <c r="G4101">
        <f t="shared" si="321"/>
        <v>0</v>
      </c>
      <c r="H4101">
        <f t="shared" si="322"/>
        <v>0</v>
      </c>
      <c r="I4101" s="141">
        <f t="shared" si="323"/>
        <v>0</v>
      </c>
      <c r="J4101">
        <f t="shared" si="324"/>
        <v>0</v>
      </c>
      <c r="K4101" s="141">
        <f t="shared" si="325"/>
        <v>0</v>
      </c>
    </row>
    <row r="4102" spans="7:11" hidden="1" x14ac:dyDescent="0.25">
      <c r="G4102">
        <f t="shared" si="321"/>
        <v>0</v>
      </c>
      <c r="H4102">
        <f t="shared" si="322"/>
        <v>0</v>
      </c>
      <c r="I4102" s="141">
        <f t="shared" si="323"/>
        <v>0</v>
      </c>
      <c r="J4102">
        <f t="shared" si="324"/>
        <v>0</v>
      </c>
      <c r="K4102" s="141">
        <f t="shared" si="325"/>
        <v>0</v>
      </c>
    </row>
    <row r="4103" spans="7:11" hidden="1" x14ac:dyDescent="0.25">
      <c r="G4103">
        <f t="shared" si="321"/>
        <v>0</v>
      </c>
      <c r="H4103">
        <f t="shared" si="322"/>
        <v>0</v>
      </c>
      <c r="I4103" s="141">
        <f t="shared" si="323"/>
        <v>0</v>
      </c>
      <c r="J4103">
        <f t="shared" si="324"/>
        <v>0</v>
      </c>
      <c r="K4103" s="141">
        <f t="shared" si="325"/>
        <v>0</v>
      </c>
    </row>
    <row r="4104" spans="7:11" hidden="1" x14ac:dyDescent="0.25">
      <c r="G4104">
        <f t="shared" si="321"/>
        <v>0</v>
      </c>
      <c r="H4104">
        <f t="shared" si="322"/>
        <v>0</v>
      </c>
      <c r="I4104" s="141">
        <f t="shared" si="323"/>
        <v>0</v>
      </c>
      <c r="J4104">
        <f t="shared" si="324"/>
        <v>0</v>
      </c>
      <c r="K4104" s="141">
        <f t="shared" si="325"/>
        <v>0</v>
      </c>
    </row>
    <row r="4105" spans="7:11" hidden="1" x14ac:dyDescent="0.25">
      <c r="G4105">
        <f t="shared" si="321"/>
        <v>0</v>
      </c>
      <c r="H4105">
        <f t="shared" si="322"/>
        <v>0</v>
      </c>
      <c r="I4105" s="141">
        <f t="shared" si="323"/>
        <v>0</v>
      </c>
      <c r="J4105">
        <f t="shared" si="324"/>
        <v>0</v>
      </c>
      <c r="K4105" s="141">
        <f t="shared" si="325"/>
        <v>0</v>
      </c>
    </row>
    <row r="4106" spans="7:11" hidden="1" x14ac:dyDescent="0.25">
      <c r="G4106">
        <f t="shared" si="321"/>
        <v>0</v>
      </c>
      <c r="H4106">
        <f t="shared" si="322"/>
        <v>0</v>
      </c>
      <c r="I4106" s="141">
        <f t="shared" si="323"/>
        <v>0</v>
      </c>
      <c r="J4106">
        <f t="shared" si="324"/>
        <v>0</v>
      </c>
      <c r="K4106" s="141">
        <f t="shared" si="325"/>
        <v>0</v>
      </c>
    </row>
    <row r="4107" spans="7:11" hidden="1" x14ac:dyDescent="0.25">
      <c r="G4107">
        <f t="shared" si="321"/>
        <v>0</v>
      </c>
      <c r="H4107">
        <f t="shared" si="322"/>
        <v>0</v>
      </c>
      <c r="I4107" s="141">
        <f t="shared" si="323"/>
        <v>0</v>
      </c>
      <c r="J4107">
        <f t="shared" si="324"/>
        <v>0</v>
      </c>
      <c r="K4107" s="141">
        <f t="shared" si="325"/>
        <v>0</v>
      </c>
    </row>
    <row r="4108" spans="7:11" hidden="1" x14ac:dyDescent="0.25">
      <c r="G4108">
        <f t="shared" si="321"/>
        <v>0</v>
      </c>
      <c r="H4108">
        <f t="shared" si="322"/>
        <v>0</v>
      </c>
      <c r="I4108" s="141">
        <f t="shared" si="323"/>
        <v>0</v>
      </c>
      <c r="J4108">
        <f t="shared" si="324"/>
        <v>0</v>
      </c>
      <c r="K4108" s="141">
        <f t="shared" si="325"/>
        <v>0</v>
      </c>
    </row>
    <row r="4109" spans="7:11" hidden="1" x14ac:dyDescent="0.25">
      <c r="G4109">
        <f t="shared" si="321"/>
        <v>0</v>
      </c>
      <c r="H4109">
        <f t="shared" si="322"/>
        <v>0</v>
      </c>
      <c r="I4109" s="141">
        <f t="shared" si="323"/>
        <v>0</v>
      </c>
      <c r="J4109">
        <f t="shared" si="324"/>
        <v>0</v>
      </c>
      <c r="K4109" s="141">
        <f t="shared" si="325"/>
        <v>0</v>
      </c>
    </row>
    <row r="4110" spans="7:11" hidden="1" x14ac:dyDescent="0.25">
      <c r="G4110">
        <f t="shared" si="321"/>
        <v>0</v>
      </c>
      <c r="H4110">
        <f t="shared" si="322"/>
        <v>0</v>
      </c>
      <c r="I4110" s="141">
        <f t="shared" si="323"/>
        <v>0</v>
      </c>
      <c r="J4110">
        <f t="shared" si="324"/>
        <v>0</v>
      </c>
      <c r="K4110" s="141">
        <f t="shared" si="325"/>
        <v>0</v>
      </c>
    </row>
    <row r="4111" spans="7:11" hidden="1" x14ac:dyDescent="0.25">
      <c r="G4111">
        <f t="shared" si="321"/>
        <v>0</v>
      </c>
      <c r="H4111">
        <f t="shared" si="322"/>
        <v>0</v>
      </c>
      <c r="I4111" s="141">
        <f t="shared" si="323"/>
        <v>0</v>
      </c>
      <c r="J4111">
        <f t="shared" si="324"/>
        <v>0</v>
      </c>
      <c r="K4111" s="141">
        <f t="shared" si="325"/>
        <v>0</v>
      </c>
    </row>
    <row r="4112" spans="7:11" hidden="1" x14ac:dyDescent="0.25">
      <c r="G4112">
        <f t="shared" si="321"/>
        <v>0</v>
      </c>
      <c r="H4112">
        <f t="shared" si="322"/>
        <v>0</v>
      </c>
      <c r="I4112" s="141">
        <f t="shared" si="323"/>
        <v>0</v>
      </c>
      <c r="J4112">
        <f t="shared" si="324"/>
        <v>0</v>
      </c>
      <c r="K4112" s="141">
        <f t="shared" si="325"/>
        <v>0</v>
      </c>
    </row>
    <row r="4113" spans="7:11" hidden="1" x14ac:dyDescent="0.25">
      <c r="G4113">
        <f t="shared" si="321"/>
        <v>0</v>
      </c>
      <c r="H4113">
        <f t="shared" si="322"/>
        <v>0</v>
      </c>
      <c r="I4113" s="141">
        <f t="shared" si="323"/>
        <v>0</v>
      </c>
      <c r="J4113">
        <f t="shared" si="324"/>
        <v>0</v>
      </c>
      <c r="K4113" s="141">
        <f t="shared" si="325"/>
        <v>0</v>
      </c>
    </row>
    <row r="4114" spans="7:11" hidden="1" x14ac:dyDescent="0.25">
      <c r="G4114">
        <f t="shared" si="321"/>
        <v>0</v>
      </c>
      <c r="H4114">
        <f t="shared" si="322"/>
        <v>0</v>
      </c>
      <c r="I4114" s="141">
        <f t="shared" si="323"/>
        <v>0</v>
      </c>
      <c r="J4114">
        <f t="shared" si="324"/>
        <v>0</v>
      </c>
      <c r="K4114" s="141">
        <f t="shared" si="325"/>
        <v>0</v>
      </c>
    </row>
    <row r="4115" spans="7:11" hidden="1" x14ac:dyDescent="0.25">
      <c r="G4115">
        <f t="shared" si="321"/>
        <v>0</v>
      </c>
      <c r="H4115">
        <f t="shared" si="322"/>
        <v>0</v>
      </c>
      <c r="I4115" s="141">
        <f t="shared" si="323"/>
        <v>0</v>
      </c>
      <c r="J4115">
        <f t="shared" si="324"/>
        <v>0</v>
      </c>
      <c r="K4115" s="141">
        <f t="shared" si="325"/>
        <v>0</v>
      </c>
    </row>
    <row r="4116" spans="7:11" hidden="1" x14ac:dyDescent="0.25">
      <c r="G4116">
        <f t="shared" si="321"/>
        <v>0</v>
      </c>
      <c r="H4116">
        <f t="shared" si="322"/>
        <v>0</v>
      </c>
      <c r="I4116" s="141">
        <f t="shared" si="323"/>
        <v>0</v>
      </c>
      <c r="J4116">
        <f t="shared" si="324"/>
        <v>0</v>
      </c>
      <c r="K4116" s="141">
        <f t="shared" si="325"/>
        <v>0</v>
      </c>
    </row>
    <row r="4117" spans="7:11" hidden="1" x14ac:dyDescent="0.25">
      <c r="G4117">
        <f t="shared" si="321"/>
        <v>0</v>
      </c>
      <c r="H4117">
        <f t="shared" si="322"/>
        <v>0</v>
      </c>
      <c r="I4117" s="141">
        <f t="shared" si="323"/>
        <v>0</v>
      </c>
      <c r="J4117">
        <f t="shared" si="324"/>
        <v>0</v>
      </c>
      <c r="K4117" s="141">
        <f t="shared" si="325"/>
        <v>0</v>
      </c>
    </row>
    <row r="4118" spans="7:11" hidden="1" x14ac:dyDescent="0.25">
      <c r="G4118">
        <f t="shared" si="321"/>
        <v>0</v>
      </c>
      <c r="H4118">
        <f t="shared" si="322"/>
        <v>0</v>
      </c>
      <c r="I4118" s="141">
        <f t="shared" si="323"/>
        <v>0</v>
      </c>
      <c r="J4118">
        <f t="shared" si="324"/>
        <v>0</v>
      </c>
      <c r="K4118" s="141">
        <f t="shared" si="325"/>
        <v>0</v>
      </c>
    </row>
    <row r="4119" spans="7:11" hidden="1" x14ac:dyDescent="0.25">
      <c r="G4119">
        <f t="shared" si="321"/>
        <v>0</v>
      </c>
      <c r="H4119">
        <f t="shared" si="322"/>
        <v>0</v>
      </c>
      <c r="I4119" s="141">
        <f t="shared" si="323"/>
        <v>0</v>
      </c>
      <c r="J4119">
        <f t="shared" si="324"/>
        <v>0</v>
      </c>
      <c r="K4119" s="141">
        <f t="shared" si="325"/>
        <v>0</v>
      </c>
    </row>
    <row r="4120" spans="7:11" hidden="1" x14ac:dyDescent="0.25">
      <c r="G4120">
        <f t="shared" si="321"/>
        <v>0</v>
      </c>
      <c r="H4120">
        <f t="shared" si="322"/>
        <v>0</v>
      </c>
      <c r="I4120" s="141">
        <f t="shared" si="323"/>
        <v>0</v>
      </c>
      <c r="J4120">
        <f t="shared" si="324"/>
        <v>0</v>
      </c>
      <c r="K4120" s="141">
        <f t="shared" si="325"/>
        <v>0</v>
      </c>
    </row>
    <row r="4121" spans="7:11" hidden="1" x14ac:dyDescent="0.25">
      <c r="G4121">
        <f t="shared" si="321"/>
        <v>0</v>
      </c>
      <c r="H4121">
        <f t="shared" si="322"/>
        <v>0</v>
      </c>
      <c r="I4121" s="141">
        <f t="shared" si="323"/>
        <v>0</v>
      </c>
      <c r="J4121">
        <f t="shared" si="324"/>
        <v>0</v>
      </c>
      <c r="K4121" s="141">
        <f t="shared" si="325"/>
        <v>0</v>
      </c>
    </row>
    <row r="4122" spans="7:11" hidden="1" x14ac:dyDescent="0.25">
      <c r="G4122">
        <f t="shared" si="321"/>
        <v>0</v>
      </c>
      <c r="H4122">
        <f t="shared" si="322"/>
        <v>0</v>
      </c>
      <c r="I4122" s="141">
        <f t="shared" si="323"/>
        <v>0</v>
      </c>
      <c r="J4122">
        <f t="shared" si="324"/>
        <v>0</v>
      </c>
      <c r="K4122" s="141">
        <f t="shared" si="325"/>
        <v>0</v>
      </c>
    </row>
    <row r="4123" spans="7:11" hidden="1" x14ac:dyDescent="0.25">
      <c r="G4123">
        <f t="shared" si="321"/>
        <v>0</v>
      </c>
      <c r="H4123">
        <f t="shared" si="322"/>
        <v>0</v>
      </c>
      <c r="I4123" s="141">
        <f t="shared" si="323"/>
        <v>0</v>
      </c>
      <c r="J4123">
        <f t="shared" si="324"/>
        <v>0</v>
      </c>
      <c r="K4123" s="141">
        <f t="shared" si="325"/>
        <v>0</v>
      </c>
    </row>
    <row r="4124" spans="7:11" hidden="1" x14ac:dyDescent="0.25">
      <c r="G4124">
        <f t="shared" si="321"/>
        <v>0</v>
      </c>
      <c r="H4124">
        <f t="shared" si="322"/>
        <v>0</v>
      </c>
      <c r="I4124" s="141">
        <f t="shared" si="323"/>
        <v>0</v>
      </c>
      <c r="J4124">
        <f t="shared" si="324"/>
        <v>0</v>
      </c>
      <c r="K4124" s="141">
        <f t="shared" si="325"/>
        <v>0</v>
      </c>
    </row>
    <row r="4125" spans="7:11" hidden="1" x14ac:dyDescent="0.25">
      <c r="G4125">
        <f t="shared" si="321"/>
        <v>0</v>
      </c>
      <c r="H4125">
        <f t="shared" si="322"/>
        <v>0</v>
      </c>
      <c r="I4125" s="141">
        <f t="shared" si="323"/>
        <v>0</v>
      </c>
      <c r="J4125">
        <f t="shared" si="324"/>
        <v>0</v>
      </c>
      <c r="K4125" s="141">
        <f t="shared" si="325"/>
        <v>0</v>
      </c>
    </row>
    <row r="4126" spans="7:11" hidden="1" x14ac:dyDescent="0.25">
      <c r="G4126">
        <f t="shared" si="321"/>
        <v>0</v>
      </c>
      <c r="H4126">
        <f t="shared" si="322"/>
        <v>0</v>
      </c>
      <c r="I4126" s="141">
        <f t="shared" si="323"/>
        <v>0</v>
      </c>
      <c r="J4126">
        <f t="shared" si="324"/>
        <v>0</v>
      </c>
      <c r="K4126" s="141">
        <f t="shared" si="325"/>
        <v>0</v>
      </c>
    </row>
    <row r="4127" spans="7:11" hidden="1" x14ac:dyDescent="0.25">
      <c r="G4127">
        <f t="shared" si="321"/>
        <v>0</v>
      </c>
      <c r="H4127">
        <f t="shared" si="322"/>
        <v>0</v>
      </c>
      <c r="I4127" s="141">
        <f t="shared" si="323"/>
        <v>0</v>
      </c>
      <c r="J4127">
        <f t="shared" si="324"/>
        <v>0</v>
      </c>
      <c r="K4127" s="141">
        <f t="shared" si="325"/>
        <v>0</v>
      </c>
    </row>
    <row r="4128" spans="7:11" hidden="1" x14ac:dyDescent="0.25">
      <c r="G4128">
        <f t="shared" si="321"/>
        <v>0</v>
      </c>
      <c r="H4128">
        <f t="shared" si="322"/>
        <v>0</v>
      </c>
      <c r="I4128" s="141">
        <f t="shared" si="323"/>
        <v>0</v>
      </c>
      <c r="J4128">
        <f t="shared" si="324"/>
        <v>0</v>
      </c>
      <c r="K4128" s="141">
        <f t="shared" si="325"/>
        <v>0</v>
      </c>
    </row>
    <row r="4129" spans="7:11" hidden="1" x14ac:dyDescent="0.25">
      <c r="G4129">
        <f t="shared" si="321"/>
        <v>0</v>
      </c>
      <c r="H4129">
        <f t="shared" si="322"/>
        <v>0</v>
      </c>
      <c r="I4129" s="141">
        <f t="shared" si="323"/>
        <v>0</v>
      </c>
      <c r="J4129">
        <f t="shared" si="324"/>
        <v>0</v>
      </c>
      <c r="K4129" s="141">
        <f t="shared" si="325"/>
        <v>0</v>
      </c>
    </row>
    <row r="4130" spans="7:11" hidden="1" x14ac:dyDescent="0.25">
      <c r="G4130">
        <f t="shared" si="321"/>
        <v>0</v>
      </c>
      <c r="H4130">
        <f t="shared" si="322"/>
        <v>0</v>
      </c>
      <c r="I4130" s="141">
        <f t="shared" si="323"/>
        <v>0</v>
      </c>
      <c r="J4130">
        <f t="shared" si="324"/>
        <v>0</v>
      </c>
      <c r="K4130" s="141">
        <f t="shared" si="325"/>
        <v>0</v>
      </c>
    </row>
    <row r="4131" spans="7:11" hidden="1" x14ac:dyDescent="0.25">
      <c r="G4131">
        <f t="shared" si="321"/>
        <v>0</v>
      </c>
      <c r="H4131">
        <f t="shared" si="322"/>
        <v>0</v>
      </c>
      <c r="I4131" s="141">
        <f t="shared" si="323"/>
        <v>0</v>
      </c>
      <c r="J4131">
        <f t="shared" si="324"/>
        <v>0</v>
      </c>
      <c r="K4131" s="141">
        <f t="shared" si="325"/>
        <v>0</v>
      </c>
    </row>
    <row r="4132" spans="7:11" hidden="1" x14ac:dyDescent="0.25">
      <c r="G4132">
        <f t="shared" si="321"/>
        <v>0</v>
      </c>
      <c r="H4132">
        <f t="shared" si="322"/>
        <v>0</v>
      </c>
      <c r="I4132" s="141">
        <f t="shared" si="323"/>
        <v>0</v>
      </c>
      <c r="J4132">
        <f t="shared" si="324"/>
        <v>0</v>
      </c>
      <c r="K4132" s="141">
        <f t="shared" si="325"/>
        <v>0</v>
      </c>
    </row>
    <row r="4133" spans="7:11" hidden="1" x14ac:dyDescent="0.25">
      <c r="G4133">
        <f t="shared" si="321"/>
        <v>0</v>
      </c>
      <c r="H4133">
        <f t="shared" si="322"/>
        <v>0</v>
      </c>
      <c r="I4133" s="141">
        <f t="shared" si="323"/>
        <v>0</v>
      </c>
      <c r="J4133">
        <f t="shared" si="324"/>
        <v>0</v>
      </c>
      <c r="K4133" s="141">
        <f t="shared" si="325"/>
        <v>0</v>
      </c>
    </row>
    <row r="4134" spans="7:11" hidden="1" x14ac:dyDescent="0.25">
      <c r="G4134">
        <f t="shared" si="321"/>
        <v>0</v>
      </c>
      <c r="H4134">
        <f t="shared" si="322"/>
        <v>0</v>
      </c>
      <c r="I4134" s="141">
        <f t="shared" si="323"/>
        <v>0</v>
      </c>
      <c r="J4134">
        <f t="shared" si="324"/>
        <v>0</v>
      </c>
      <c r="K4134" s="141">
        <f t="shared" si="325"/>
        <v>0</v>
      </c>
    </row>
    <row r="4135" spans="7:11" hidden="1" x14ac:dyDescent="0.25">
      <c r="G4135">
        <f t="shared" si="321"/>
        <v>0</v>
      </c>
      <c r="H4135">
        <f t="shared" si="322"/>
        <v>0</v>
      </c>
      <c r="I4135" s="141">
        <f t="shared" si="323"/>
        <v>0</v>
      </c>
      <c r="J4135">
        <f t="shared" si="324"/>
        <v>0</v>
      </c>
      <c r="K4135" s="141">
        <f t="shared" si="325"/>
        <v>0</v>
      </c>
    </row>
    <row r="4136" spans="7:11" hidden="1" x14ac:dyDescent="0.25">
      <c r="G4136">
        <f t="shared" si="321"/>
        <v>0</v>
      </c>
      <c r="H4136">
        <f t="shared" si="322"/>
        <v>0</v>
      </c>
      <c r="I4136" s="141">
        <f t="shared" si="323"/>
        <v>0</v>
      </c>
      <c r="J4136">
        <f t="shared" si="324"/>
        <v>0</v>
      </c>
      <c r="K4136" s="141">
        <f t="shared" si="325"/>
        <v>0</v>
      </c>
    </row>
    <row r="4137" spans="7:11" hidden="1" x14ac:dyDescent="0.25">
      <c r="G4137">
        <f t="shared" si="321"/>
        <v>0</v>
      </c>
      <c r="H4137">
        <f t="shared" si="322"/>
        <v>0</v>
      </c>
      <c r="I4137" s="141">
        <f t="shared" si="323"/>
        <v>0</v>
      </c>
      <c r="J4137">
        <f t="shared" si="324"/>
        <v>0</v>
      </c>
      <c r="K4137" s="141">
        <f t="shared" si="325"/>
        <v>0</v>
      </c>
    </row>
    <row r="4138" spans="7:11" hidden="1" x14ac:dyDescent="0.25">
      <c r="G4138">
        <f t="shared" si="321"/>
        <v>0</v>
      </c>
      <c r="H4138">
        <f t="shared" si="322"/>
        <v>0</v>
      </c>
      <c r="I4138" s="141">
        <f t="shared" si="323"/>
        <v>0</v>
      </c>
      <c r="J4138">
        <f t="shared" si="324"/>
        <v>0</v>
      </c>
      <c r="K4138" s="141">
        <f t="shared" si="325"/>
        <v>0</v>
      </c>
    </row>
    <row r="4139" spans="7:11" hidden="1" x14ac:dyDescent="0.25">
      <c r="G4139">
        <f t="shared" si="321"/>
        <v>0</v>
      </c>
      <c r="H4139">
        <f t="shared" si="322"/>
        <v>0</v>
      </c>
      <c r="I4139" s="141">
        <f t="shared" si="323"/>
        <v>0</v>
      </c>
      <c r="J4139">
        <f t="shared" si="324"/>
        <v>0</v>
      </c>
      <c r="K4139" s="141">
        <f t="shared" si="325"/>
        <v>0</v>
      </c>
    </row>
    <row r="4140" spans="7:11" hidden="1" x14ac:dyDescent="0.25">
      <c r="G4140">
        <f t="shared" si="321"/>
        <v>0</v>
      </c>
      <c r="H4140">
        <f t="shared" si="322"/>
        <v>0</v>
      </c>
      <c r="I4140" s="141">
        <f t="shared" si="323"/>
        <v>0</v>
      </c>
      <c r="J4140">
        <f t="shared" si="324"/>
        <v>0</v>
      </c>
      <c r="K4140" s="141">
        <f t="shared" si="325"/>
        <v>0</v>
      </c>
    </row>
    <row r="4141" spans="7:11" hidden="1" x14ac:dyDescent="0.25">
      <c r="G4141">
        <f t="shared" si="321"/>
        <v>0</v>
      </c>
      <c r="H4141">
        <f t="shared" si="322"/>
        <v>0</v>
      </c>
      <c r="I4141" s="141">
        <f t="shared" si="323"/>
        <v>0</v>
      </c>
      <c r="J4141">
        <f t="shared" si="324"/>
        <v>0</v>
      </c>
      <c r="K4141" s="141">
        <f t="shared" si="325"/>
        <v>0</v>
      </c>
    </row>
    <row r="4142" spans="7:11" hidden="1" x14ac:dyDescent="0.25">
      <c r="G4142">
        <f t="shared" si="321"/>
        <v>0</v>
      </c>
      <c r="H4142">
        <f t="shared" si="322"/>
        <v>0</v>
      </c>
      <c r="I4142" s="141">
        <f t="shared" si="323"/>
        <v>0</v>
      </c>
      <c r="J4142">
        <f t="shared" si="324"/>
        <v>0</v>
      </c>
      <c r="K4142" s="141">
        <f t="shared" si="325"/>
        <v>0</v>
      </c>
    </row>
    <row r="4143" spans="7:11" hidden="1" x14ac:dyDescent="0.25">
      <c r="G4143">
        <f t="shared" si="321"/>
        <v>0</v>
      </c>
      <c r="H4143">
        <f t="shared" si="322"/>
        <v>0</v>
      </c>
      <c r="I4143" s="141">
        <f t="shared" si="323"/>
        <v>0</v>
      </c>
      <c r="J4143">
        <f t="shared" si="324"/>
        <v>0</v>
      </c>
      <c r="K4143" s="141">
        <f t="shared" si="325"/>
        <v>0</v>
      </c>
    </row>
    <row r="4144" spans="7:11" hidden="1" x14ac:dyDescent="0.25">
      <c r="G4144">
        <f t="shared" si="321"/>
        <v>0</v>
      </c>
      <c r="H4144">
        <f t="shared" si="322"/>
        <v>0</v>
      </c>
      <c r="I4144" s="141">
        <f t="shared" si="323"/>
        <v>0</v>
      </c>
      <c r="J4144">
        <f t="shared" si="324"/>
        <v>0</v>
      </c>
      <c r="K4144" s="141">
        <f t="shared" si="325"/>
        <v>0</v>
      </c>
    </row>
    <row r="4145" spans="7:11" hidden="1" x14ac:dyDescent="0.25">
      <c r="G4145">
        <f t="shared" si="321"/>
        <v>0</v>
      </c>
      <c r="H4145">
        <f t="shared" si="322"/>
        <v>0</v>
      </c>
      <c r="I4145" s="141">
        <f t="shared" si="323"/>
        <v>0</v>
      </c>
      <c r="J4145">
        <f t="shared" si="324"/>
        <v>0</v>
      </c>
      <c r="K4145" s="141">
        <f t="shared" si="325"/>
        <v>0</v>
      </c>
    </row>
    <row r="4146" spans="7:11" hidden="1" x14ac:dyDescent="0.25">
      <c r="G4146">
        <f t="shared" si="321"/>
        <v>0</v>
      </c>
      <c r="H4146">
        <f t="shared" si="322"/>
        <v>0</v>
      </c>
      <c r="I4146" s="141">
        <f t="shared" si="323"/>
        <v>0</v>
      </c>
      <c r="J4146">
        <f t="shared" si="324"/>
        <v>0</v>
      </c>
      <c r="K4146" s="141">
        <f t="shared" si="325"/>
        <v>0</v>
      </c>
    </row>
    <row r="4147" spans="7:11" hidden="1" x14ac:dyDescent="0.25">
      <c r="G4147">
        <f t="shared" si="321"/>
        <v>0</v>
      </c>
      <c r="H4147">
        <f t="shared" si="322"/>
        <v>0</v>
      </c>
      <c r="I4147" s="141">
        <f t="shared" si="323"/>
        <v>0</v>
      </c>
      <c r="J4147">
        <f t="shared" si="324"/>
        <v>0</v>
      </c>
      <c r="K4147" s="141">
        <f t="shared" si="325"/>
        <v>0</v>
      </c>
    </row>
    <row r="4148" spans="7:11" hidden="1" x14ac:dyDescent="0.25">
      <c r="G4148">
        <f t="shared" si="321"/>
        <v>0</v>
      </c>
      <c r="H4148">
        <f t="shared" si="322"/>
        <v>0</v>
      </c>
      <c r="I4148" s="141">
        <f t="shared" si="323"/>
        <v>0</v>
      </c>
      <c r="J4148">
        <f t="shared" si="324"/>
        <v>0</v>
      </c>
      <c r="K4148" s="141">
        <f t="shared" si="325"/>
        <v>0</v>
      </c>
    </row>
    <row r="4149" spans="7:11" hidden="1" x14ac:dyDescent="0.25">
      <c r="G4149">
        <f t="shared" si="321"/>
        <v>0</v>
      </c>
      <c r="H4149">
        <f t="shared" si="322"/>
        <v>0</v>
      </c>
      <c r="I4149" s="141">
        <f t="shared" si="323"/>
        <v>0</v>
      </c>
      <c r="J4149">
        <f t="shared" si="324"/>
        <v>0</v>
      </c>
      <c r="K4149" s="141">
        <f t="shared" si="325"/>
        <v>0</v>
      </c>
    </row>
    <row r="4150" spans="7:11" hidden="1" x14ac:dyDescent="0.25">
      <c r="G4150">
        <f t="shared" si="321"/>
        <v>0</v>
      </c>
      <c r="H4150">
        <f t="shared" si="322"/>
        <v>0</v>
      </c>
      <c r="I4150" s="141">
        <f t="shared" si="323"/>
        <v>0</v>
      </c>
      <c r="J4150">
        <f t="shared" si="324"/>
        <v>0</v>
      </c>
      <c r="K4150" s="141">
        <f t="shared" si="325"/>
        <v>0</v>
      </c>
    </row>
    <row r="4151" spans="7:11" hidden="1" x14ac:dyDescent="0.25">
      <c r="G4151">
        <f t="shared" si="321"/>
        <v>0</v>
      </c>
      <c r="H4151">
        <f t="shared" si="322"/>
        <v>0</v>
      </c>
      <c r="I4151" s="141">
        <f t="shared" si="323"/>
        <v>0</v>
      </c>
      <c r="J4151">
        <f t="shared" si="324"/>
        <v>0</v>
      </c>
      <c r="K4151" s="141">
        <f t="shared" si="325"/>
        <v>0</v>
      </c>
    </row>
    <row r="4152" spans="7:11" hidden="1" x14ac:dyDescent="0.25">
      <c r="G4152">
        <f t="shared" si="321"/>
        <v>0</v>
      </c>
      <c r="H4152">
        <f t="shared" si="322"/>
        <v>0</v>
      </c>
      <c r="I4152" s="141">
        <f t="shared" si="323"/>
        <v>0</v>
      </c>
      <c r="J4152">
        <f t="shared" si="324"/>
        <v>0</v>
      </c>
      <c r="K4152" s="141">
        <f t="shared" si="325"/>
        <v>0</v>
      </c>
    </row>
    <row r="4153" spans="7:11" hidden="1" x14ac:dyDescent="0.25">
      <c r="G4153">
        <f t="shared" si="321"/>
        <v>0</v>
      </c>
      <c r="H4153">
        <f t="shared" si="322"/>
        <v>0</v>
      </c>
      <c r="I4153" s="141">
        <f t="shared" si="323"/>
        <v>0</v>
      </c>
      <c r="J4153">
        <f t="shared" si="324"/>
        <v>0</v>
      </c>
      <c r="K4153" s="141">
        <f t="shared" si="325"/>
        <v>0</v>
      </c>
    </row>
    <row r="4154" spans="7:11" hidden="1" x14ac:dyDescent="0.25">
      <c r="G4154">
        <f t="shared" si="321"/>
        <v>0</v>
      </c>
      <c r="H4154">
        <f t="shared" si="322"/>
        <v>0</v>
      </c>
      <c r="I4154" s="141">
        <f t="shared" si="323"/>
        <v>0</v>
      </c>
      <c r="J4154">
        <f t="shared" si="324"/>
        <v>0</v>
      </c>
      <c r="K4154" s="141">
        <f t="shared" si="325"/>
        <v>0</v>
      </c>
    </row>
    <row r="4155" spans="7:11" hidden="1" x14ac:dyDescent="0.25">
      <c r="G4155">
        <f t="shared" si="321"/>
        <v>0</v>
      </c>
      <c r="H4155">
        <f t="shared" si="322"/>
        <v>0</v>
      </c>
      <c r="I4155" s="141">
        <f t="shared" si="323"/>
        <v>0</v>
      </c>
      <c r="J4155">
        <f t="shared" si="324"/>
        <v>0</v>
      </c>
      <c r="K4155" s="141">
        <f t="shared" si="325"/>
        <v>0</v>
      </c>
    </row>
    <row r="4156" spans="7:11" hidden="1" x14ac:dyDescent="0.25">
      <c r="G4156">
        <f t="shared" si="321"/>
        <v>0</v>
      </c>
      <c r="H4156">
        <f t="shared" si="322"/>
        <v>0</v>
      </c>
      <c r="I4156" s="141">
        <f t="shared" si="323"/>
        <v>0</v>
      </c>
      <c r="J4156">
        <f t="shared" si="324"/>
        <v>0</v>
      </c>
      <c r="K4156" s="141">
        <f t="shared" si="325"/>
        <v>0</v>
      </c>
    </row>
    <row r="4157" spans="7:11" hidden="1" x14ac:dyDescent="0.25">
      <c r="G4157">
        <f t="shared" si="321"/>
        <v>0</v>
      </c>
      <c r="H4157">
        <f t="shared" si="322"/>
        <v>0</v>
      </c>
      <c r="I4157" s="141">
        <f t="shared" si="323"/>
        <v>0</v>
      </c>
      <c r="J4157">
        <f t="shared" si="324"/>
        <v>0</v>
      </c>
      <c r="K4157" s="141">
        <f t="shared" si="325"/>
        <v>0</v>
      </c>
    </row>
    <row r="4158" spans="7:11" hidden="1" x14ac:dyDescent="0.25">
      <c r="G4158">
        <f t="shared" si="321"/>
        <v>0</v>
      </c>
      <c r="H4158">
        <f t="shared" si="322"/>
        <v>0</v>
      </c>
      <c r="I4158" s="141">
        <f t="shared" si="323"/>
        <v>0</v>
      </c>
      <c r="J4158">
        <f t="shared" si="324"/>
        <v>0</v>
      </c>
      <c r="K4158" s="141">
        <f t="shared" si="325"/>
        <v>0</v>
      </c>
    </row>
    <row r="4159" spans="7:11" hidden="1" x14ac:dyDescent="0.25">
      <c r="G4159">
        <f t="shared" si="321"/>
        <v>0</v>
      </c>
      <c r="H4159">
        <f t="shared" si="322"/>
        <v>0</v>
      </c>
      <c r="I4159" s="141">
        <f t="shared" si="323"/>
        <v>0</v>
      </c>
      <c r="J4159">
        <f t="shared" si="324"/>
        <v>0</v>
      </c>
      <c r="K4159" s="141">
        <f t="shared" si="325"/>
        <v>0</v>
      </c>
    </row>
    <row r="4160" spans="7:11" hidden="1" x14ac:dyDescent="0.25">
      <c r="G4160">
        <f t="shared" si="321"/>
        <v>0</v>
      </c>
      <c r="H4160">
        <f t="shared" si="322"/>
        <v>0</v>
      </c>
      <c r="I4160" s="141">
        <f t="shared" si="323"/>
        <v>0</v>
      </c>
      <c r="J4160">
        <f t="shared" si="324"/>
        <v>0</v>
      </c>
      <c r="K4160" s="141">
        <f t="shared" si="325"/>
        <v>0</v>
      </c>
    </row>
    <row r="4161" spans="7:11" hidden="1" x14ac:dyDescent="0.25">
      <c r="G4161">
        <f t="shared" si="321"/>
        <v>0</v>
      </c>
      <c r="H4161">
        <f t="shared" si="322"/>
        <v>0</v>
      </c>
      <c r="I4161" s="141">
        <f t="shared" si="323"/>
        <v>0</v>
      </c>
      <c r="J4161">
        <f t="shared" si="324"/>
        <v>0</v>
      </c>
      <c r="K4161" s="141">
        <f t="shared" si="325"/>
        <v>0</v>
      </c>
    </row>
    <row r="4162" spans="7:11" hidden="1" x14ac:dyDescent="0.25">
      <c r="G4162">
        <f t="shared" ref="G4162:G4225" si="326">A4162</f>
        <v>0</v>
      </c>
      <c r="H4162">
        <f t="shared" ref="H4162:H4225" si="327">B4162</f>
        <v>0</v>
      </c>
      <c r="I4162" s="141">
        <f t="shared" ref="I4162:I4225" si="328">C4162</f>
        <v>0</v>
      </c>
      <c r="J4162">
        <f t="shared" ref="J4162:J4225" si="329">D4162</f>
        <v>0</v>
      </c>
      <c r="K4162" s="141">
        <f t="shared" ref="K4162:K4225" si="330">E4162</f>
        <v>0</v>
      </c>
    </row>
    <row r="4163" spans="7:11" hidden="1" x14ac:dyDescent="0.25">
      <c r="G4163">
        <f t="shared" si="326"/>
        <v>0</v>
      </c>
      <c r="H4163">
        <f t="shared" si="327"/>
        <v>0</v>
      </c>
      <c r="I4163" s="141">
        <f t="shared" si="328"/>
        <v>0</v>
      </c>
      <c r="J4163">
        <f t="shared" si="329"/>
        <v>0</v>
      </c>
      <c r="K4163" s="141">
        <f t="shared" si="330"/>
        <v>0</v>
      </c>
    </row>
    <row r="4164" spans="7:11" hidden="1" x14ac:dyDescent="0.25">
      <c r="G4164">
        <f t="shared" si="326"/>
        <v>0</v>
      </c>
      <c r="H4164">
        <f t="shared" si="327"/>
        <v>0</v>
      </c>
      <c r="I4164" s="141">
        <f t="shared" si="328"/>
        <v>0</v>
      </c>
      <c r="J4164">
        <f t="shared" si="329"/>
        <v>0</v>
      </c>
      <c r="K4164" s="141">
        <f t="shared" si="330"/>
        <v>0</v>
      </c>
    </row>
    <row r="4165" spans="7:11" hidden="1" x14ac:dyDescent="0.25">
      <c r="G4165">
        <f t="shared" si="326"/>
        <v>0</v>
      </c>
      <c r="H4165">
        <f t="shared" si="327"/>
        <v>0</v>
      </c>
      <c r="I4165" s="141">
        <f t="shared" si="328"/>
        <v>0</v>
      </c>
      <c r="J4165">
        <f t="shared" si="329"/>
        <v>0</v>
      </c>
      <c r="K4165" s="141">
        <f t="shared" si="330"/>
        <v>0</v>
      </c>
    </row>
    <row r="4166" spans="7:11" hidden="1" x14ac:dyDescent="0.25">
      <c r="G4166">
        <f t="shared" si="326"/>
        <v>0</v>
      </c>
      <c r="H4166">
        <f t="shared" si="327"/>
        <v>0</v>
      </c>
      <c r="I4166" s="141">
        <f t="shared" si="328"/>
        <v>0</v>
      </c>
      <c r="J4166">
        <f t="shared" si="329"/>
        <v>0</v>
      </c>
      <c r="K4166" s="141">
        <f t="shared" si="330"/>
        <v>0</v>
      </c>
    </row>
    <row r="4167" spans="7:11" hidden="1" x14ac:dyDescent="0.25">
      <c r="G4167">
        <f t="shared" si="326"/>
        <v>0</v>
      </c>
      <c r="H4167">
        <f t="shared" si="327"/>
        <v>0</v>
      </c>
      <c r="I4167" s="141">
        <f t="shared" si="328"/>
        <v>0</v>
      </c>
      <c r="J4167">
        <f t="shared" si="329"/>
        <v>0</v>
      </c>
      <c r="K4167" s="141">
        <f t="shared" si="330"/>
        <v>0</v>
      </c>
    </row>
    <row r="4168" spans="7:11" hidden="1" x14ac:dyDescent="0.25">
      <c r="G4168">
        <f t="shared" si="326"/>
        <v>0</v>
      </c>
      <c r="H4168">
        <f t="shared" si="327"/>
        <v>0</v>
      </c>
      <c r="I4168" s="141">
        <f t="shared" si="328"/>
        <v>0</v>
      </c>
      <c r="J4168">
        <f t="shared" si="329"/>
        <v>0</v>
      </c>
      <c r="K4168" s="141">
        <f t="shared" si="330"/>
        <v>0</v>
      </c>
    </row>
    <row r="4169" spans="7:11" hidden="1" x14ac:dyDescent="0.25">
      <c r="G4169">
        <f t="shared" si="326"/>
        <v>0</v>
      </c>
      <c r="H4169">
        <f t="shared" si="327"/>
        <v>0</v>
      </c>
      <c r="I4169" s="141">
        <f t="shared" si="328"/>
        <v>0</v>
      </c>
      <c r="J4169">
        <f t="shared" si="329"/>
        <v>0</v>
      </c>
      <c r="K4169" s="141">
        <f t="shared" si="330"/>
        <v>0</v>
      </c>
    </row>
    <row r="4170" spans="7:11" hidden="1" x14ac:dyDescent="0.25">
      <c r="G4170">
        <f t="shared" si="326"/>
        <v>0</v>
      </c>
      <c r="H4170">
        <f t="shared" si="327"/>
        <v>0</v>
      </c>
      <c r="I4170" s="141">
        <f t="shared" si="328"/>
        <v>0</v>
      </c>
      <c r="J4170">
        <f t="shared" si="329"/>
        <v>0</v>
      </c>
      <c r="K4170" s="141">
        <f t="shared" si="330"/>
        <v>0</v>
      </c>
    </row>
    <row r="4171" spans="7:11" hidden="1" x14ac:dyDescent="0.25">
      <c r="G4171">
        <f t="shared" si="326"/>
        <v>0</v>
      </c>
      <c r="H4171">
        <f t="shared" si="327"/>
        <v>0</v>
      </c>
      <c r="I4171" s="141">
        <f t="shared" si="328"/>
        <v>0</v>
      </c>
      <c r="J4171">
        <f t="shared" si="329"/>
        <v>0</v>
      </c>
      <c r="K4171" s="141">
        <f t="shared" si="330"/>
        <v>0</v>
      </c>
    </row>
    <row r="4172" spans="7:11" hidden="1" x14ac:dyDescent="0.25">
      <c r="G4172">
        <f t="shared" si="326"/>
        <v>0</v>
      </c>
      <c r="H4172">
        <f t="shared" si="327"/>
        <v>0</v>
      </c>
      <c r="I4172" s="141">
        <f t="shared" si="328"/>
        <v>0</v>
      </c>
      <c r="J4172">
        <f t="shared" si="329"/>
        <v>0</v>
      </c>
      <c r="K4172" s="141">
        <f t="shared" si="330"/>
        <v>0</v>
      </c>
    </row>
    <row r="4173" spans="7:11" hidden="1" x14ac:dyDescent="0.25">
      <c r="G4173">
        <f t="shared" si="326"/>
        <v>0</v>
      </c>
      <c r="H4173">
        <f t="shared" si="327"/>
        <v>0</v>
      </c>
      <c r="I4173" s="141">
        <f t="shared" si="328"/>
        <v>0</v>
      </c>
      <c r="J4173">
        <f t="shared" si="329"/>
        <v>0</v>
      </c>
      <c r="K4173" s="141">
        <f t="shared" si="330"/>
        <v>0</v>
      </c>
    </row>
    <row r="4174" spans="7:11" hidden="1" x14ac:dyDescent="0.25">
      <c r="G4174">
        <f t="shared" si="326"/>
        <v>0</v>
      </c>
      <c r="H4174">
        <f t="shared" si="327"/>
        <v>0</v>
      </c>
      <c r="I4174" s="141">
        <f t="shared" si="328"/>
        <v>0</v>
      </c>
      <c r="J4174">
        <f t="shared" si="329"/>
        <v>0</v>
      </c>
      <c r="K4174" s="141">
        <f t="shared" si="330"/>
        <v>0</v>
      </c>
    </row>
    <row r="4175" spans="7:11" hidden="1" x14ac:dyDescent="0.25">
      <c r="G4175">
        <f t="shared" si="326"/>
        <v>0</v>
      </c>
      <c r="H4175">
        <f t="shared" si="327"/>
        <v>0</v>
      </c>
      <c r="I4175" s="141">
        <f t="shared" si="328"/>
        <v>0</v>
      </c>
      <c r="J4175">
        <f t="shared" si="329"/>
        <v>0</v>
      </c>
      <c r="K4175" s="141">
        <f t="shared" si="330"/>
        <v>0</v>
      </c>
    </row>
    <row r="4176" spans="7:11" hidden="1" x14ac:dyDescent="0.25">
      <c r="G4176">
        <f t="shared" si="326"/>
        <v>0</v>
      </c>
      <c r="H4176">
        <f t="shared" si="327"/>
        <v>0</v>
      </c>
      <c r="I4176" s="141">
        <f t="shared" si="328"/>
        <v>0</v>
      </c>
      <c r="J4176">
        <f t="shared" si="329"/>
        <v>0</v>
      </c>
      <c r="K4176" s="141">
        <f t="shared" si="330"/>
        <v>0</v>
      </c>
    </row>
    <row r="4177" spans="7:11" hidden="1" x14ac:dyDescent="0.25">
      <c r="G4177">
        <f t="shared" si="326"/>
        <v>0</v>
      </c>
      <c r="H4177">
        <f t="shared" si="327"/>
        <v>0</v>
      </c>
      <c r="I4177" s="141">
        <f t="shared" si="328"/>
        <v>0</v>
      </c>
      <c r="J4177">
        <f t="shared" si="329"/>
        <v>0</v>
      </c>
      <c r="K4177" s="141">
        <f t="shared" si="330"/>
        <v>0</v>
      </c>
    </row>
    <row r="4178" spans="7:11" hidden="1" x14ac:dyDescent="0.25">
      <c r="G4178">
        <f t="shared" si="326"/>
        <v>0</v>
      </c>
      <c r="H4178">
        <f t="shared" si="327"/>
        <v>0</v>
      </c>
      <c r="I4178" s="141">
        <f t="shared" si="328"/>
        <v>0</v>
      </c>
      <c r="J4178">
        <f t="shared" si="329"/>
        <v>0</v>
      </c>
      <c r="K4178" s="141">
        <f t="shared" si="330"/>
        <v>0</v>
      </c>
    </row>
    <row r="4179" spans="7:11" hidden="1" x14ac:dyDescent="0.25">
      <c r="G4179">
        <f t="shared" si="326"/>
        <v>0</v>
      </c>
      <c r="H4179">
        <f t="shared" si="327"/>
        <v>0</v>
      </c>
      <c r="I4179" s="141">
        <f t="shared" si="328"/>
        <v>0</v>
      </c>
      <c r="J4179">
        <f t="shared" si="329"/>
        <v>0</v>
      </c>
      <c r="K4179" s="141">
        <f t="shared" si="330"/>
        <v>0</v>
      </c>
    </row>
    <row r="4180" spans="7:11" hidden="1" x14ac:dyDescent="0.25">
      <c r="G4180">
        <f t="shared" si="326"/>
        <v>0</v>
      </c>
      <c r="H4180">
        <f t="shared" si="327"/>
        <v>0</v>
      </c>
      <c r="I4180" s="141">
        <f t="shared" si="328"/>
        <v>0</v>
      </c>
      <c r="J4180">
        <f t="shared" si="329"/>
        <v>0</v>
      </c>
      <c r="K4180" s="141">
        <f t="shared" si="330"/>
        <v>0</v>
      </c>
    </row>
    <row r="4181" spans="7:11" hidden="1" x14ac:dyDescent="0.25">
      <c r="G4181">
        <f t="shared" si="326"/>
        <v>0</v>
      </c>
      <c r="H4181">
        <f t="shared" si="327"/>
        <v>0</v>
      </c>
      <c r="I4181" s="141">
        <f t="shared" si="328"/>
        <v>0</v>
      </c>
      <c r="J4181">
        <f t="shared" si="329"/>
        <v>0</v>
      </c>
      <c r="K4181" s="141">
        <f t="shared" si="330"/>
        <v>0</v>
      </c>
    </row>
    <row r="4182" spans="7:11" hidden="1" x14ac:dyDescent="0.25">
      <c r="G4182">
        <f t="shared" si="326"/>
        <v>0</v>
      </c>
      <c r="H4182">
        <f t="shared" si="327"/>
        <v>0</v>
      </c>
      <c r="I4182" s="141">
        <f t="shared" si="328"/>
        <v>0</v>
      </c>
      <c r="J4182">
        <f t="shared" si="329"/>
        <v>0</v>
      </c>
      <c r="K4182" s="141">
        <f t="shared" si="330"/>
        <v>0</v>
      </c>
    </row>
    <row r="4183" spans="7:11" hidden="1" x14ac:dyDescent="0.25">
      <c r="G4183">
        <f t="shared" si="326"/>
        <v>0</v>
      </c>
      <c r="H4183">
        <f t="shared" si="327"/>
        <v>0</v>
      </c>
      <c r="I4183" s="141">
        <f t="shared" si="328"/>
        <v>0</v>
      </c>
      <c r="J4183">
        <f t="shared" si="329"/>
        <v>0</v>
      </c>
      <c r="K4183" s="141">
        <f t="shared" si="330"/>
        <v>0</v>
      </c>
    </row>
    <row r="4184" spans="7:11" hidden="1" x14ac:dyDescent="0.25">
      <c r="G4184">
        <f t="shared" si="326"/>
        <v>0</v>
      </c>
      <c r="H4184">
        <f t="shared" si="327"/>
        <v>0</v>
      </c>
      <c r="I4184" s="141">
        <f t="shared" si="328"/>
        <v>0</v>
      </c>
      <c r="J4184">
        <f t="shared" si="329"/>
        <v>0</v>
      </c>
      <c r="K4184" s="141">
        <f t="shared" si="330"/>
        <v>0</v>
      </c>
    </row>
    <row r="4185" spans="7:11" hidden="1" x14ac:dyDescent="0.25">
      <c r="G4185">
        <f t="shared" si="326"/>
        <v>0</v>
      </c>
      <c r="H4185">
        <f t="shared" si="327"/>
        <v>0</v>
      </c>
      <c r="I4185" s="141">
        <f t="shared" si="328"/>
        <v>0</v>
      </c>
      <c r="J4185">
        <f t="shared" si="329"/>
        <v>0</v>
      </c>
      <c r="K4185" s="141">
        <f t="shared" si="330"/>
        <v>0</v>
      </c>
    </row>
    <row r="4186" spans="7:11" hidden="1" x14ac:dyDescent="0.25">
      <c r="G4186">
        <f t="shared" si="326"/>
        <v>0</v>
      </c>
      <c r="H4186">
        <f t="shared" si="327"/>
        <v>0</v>
      </c>
      <c r="I4186" s="141">
        <f t="shared" si="328"/>
        <v>0</v>
      </c>
      <c r="J4186">
        <f t="shared" si="329"/>
        <v>0</v>
      </c>
      <c r="K4186" s="141">
        <f t="shared" si="330"/>
        <v>0</v>
      </c>
    </row>
    <row r="4187" spans="7:11" hidden="1" x14ac:dyDescent="0.25">
      <c r="G4187">
        <f t="shared" si="326"/>
        <v>0</v>
      </c>
      <c r="H4187">
        <f t="shared" si="327"/>
        <v>0</v>
      </c>
      <c r="I4187" s="141">
        <f t="shared" si="328"/>
        <v>0</v>
      </c>
      <c r="J4187">
        <f t="shared" si="329"/>
        <v>0</v>
      </c>
      <c r="K4187" s="141">
        <f t="shared" si="330"/>
        <v>0</v>
      </c>
    </row>
    <row r="4188" spans="7:11" hidden="1" x14ac:dyDescent="0.25">
      <c r="G4188">
        <f t="shared" si="326"/>
        <v>0</v>
      </c>
      <c r="H4188">
        <f t="shared" si="327"/>
        <v>0</v>
      </c>
      <c r="I4188" s="141">
        <f t="shared" si="328"/>
        <v>0</v>
      </c>
      <c r="J4188">
        <f t="shared" si="329"/>
        <v>0</v>
      </c>
      <c r="K4188" s="141">
        <f t="shared" si="330"/>
        <v>0</v>
      </c>
    </row>
    <row r="4189" spans="7:11" hidden="1" x14ac:dyDescent="0.25">
      <c r="G4189">
        <f t="shared" si="326"/>
        <v>0</v>
      </c>
      <c r="H4189">
        <f t="shared" si="327"/>
        <v>0</v>
      </c>
      <c r="I4189" s="141">
        <f t="shared" si="328"/>
        <v>0</v>
      </c>
      <c r="J4189">
        <f t="shared" si="329"/>
        <v>0</v>
      </c>
      <c r="K4189" s="141">
        <f t="shared" si="330"/>
        <v>0</v>
      </c>
    </row>
    <row r="4190" spans="7:11" hidden="1" x14ac:dyDescent="0.25">
      <c r="G4190">
        <f t="shared" si="326"/>
        <v>0</v>
      </c>
      <c r="H4190">
        <f t="shared" si="327"/>
        <v>0</v>
      </c>
      <c r="I4190" s="141">
        <f t="shared" si="328"/>
        <v>0</v>
      </c>
      <c r="J4190">
        <f t="shared" si="329"/>
        <v>0</v>
      </c>
      <c r="K4190" s="141">
        <f t="shared" si="330"/>
        <v>0</v>
      </c>
    </row>
    <row r="4191" spans="7:11" hidden="1" x14ac:dyDescent="0.25">
      <c r="G4191">
        <f t="shared" si="326"/>
        <v>0</v>
      </c>
      <c r="H4191">
        <f t="shared" si="327"/>
        <v>0</v>
      </c>
      <c r="I4191" s="141">
        <f t="shared" si="328"/>
        <v>0</v>
      </c>
      <c r="J4191">
        <f t="shared" si="329"/>
        <v>0</v>
      </c>
      <c r="K4191" s="141">
        <f t="shared" si="330"/>
        <v>0</v>
      </c>
    </row>
    <row r="4192" spans="7:11" hidden="1" x14ac:dyDescent="0.25">
      <c r="G4192">
        <f t="shared" si="326"/>
        <v>0</v>
      </c>
      <c r="H4192">
        <f t="shared" si="327"/>
        <v>0</v>
      </c>
      <c r="I4192" s="141">
        <f t="shared" si="328"/>
        <v>0</v>
      </c>
      <c r="J4192">
        <f t="shared" si="329"/>
        <v>0</v>
      </c>
      <c r="K4192" s="141">
        <f t="shared" si="330"/>
        <v>0</v>
      </c>
    </row>
    <row r="4193" spans="7:11" hidden="1" x14ac:dyDescent="0.25">
      <c r="G4193">
        <f t="shared" si="326"/>
        <v>0</v>
      </c>
      <c r="H4193">
        <f t="shared" si="327"/>
        <v>0</v>
      </c>
      <c r="I4193" s="141">
        <f t="shared" si="328"/>
        <v>0</v>
      </c>
      <c r="J4193">
        <f t="shared" si="329"/>
        <v>0</v>
      </c>
      <c r="K4193" s="141">
        <f t="shared" si="330"/>
        <v>0</v>
      </c>
    </row>
    <row r="4194" spans="7:11" hidden="1" x14ac:dyDescent="0.25">
      <c r="G4194">
        <f t="shared" si="326"/>
        <v>0</v>
      </c>
      <c r="H4194">
        <f t="shared" si="327"/>
        <v>0</v>
      </c>
      <c r="I4194" s="141">
        <f t="shared" si="328"/>
        <v>0</v>
      </c>
      <c r="J4194">
        <f t="shared" si="329"/>
        <v>0</v>
      </c>
      <c r="K4194" s="141">
        <f t="shared" si="330"/>
        <v>0</v>
      </c>
    </row>
    <row r="4195" spans="7:11" hidden="1" x14ac:dyDescent="0.25">
      <c r="G4195">
        <f t="shared" si="326"/>
        <v>0</v>
      </c>
      <c r="H4195">
        <f t="shared" si="327"/>
        <v>0</v>
      </c>
      <c r="I4195" s="141">
        <f t="shared" si="328"/>
        <v>0</v>
      </c>
      <c r="J4195">
        <f t="shared" si="329"/>
        <v>0</v>
      </c>
      <c r="K4195" s="141">
        <f t="shared" si="330"/>
        <v>0</v>
      </c>
    </row>
    <row r="4196" spans="7:11" hidden="1" x14ac:dyDescent="0.25">
      <c r="G4196">
        <f t="shared" si="326"/>
        <v>0</v>
      </c>
      <c r="H4196">
        <f t="shared" si="327"/>
        <v>0</v>
      </c>
      <c r="I4196" s="141">
        <f t="shared" si="328"/>
        <v>0</v>
      </c>
      <c r="J4196">
        <f t="shared" si="329"/>
        <v>0</v>
      </c>
      <c r="K4196" s="141">
        <f t="shared" si="330"/>
        <v>0</v>
      </c>
    </row>
    <row r="4197" spans="7:11" hidden="1" x14ac:dyDescent="0.25">
      <c r="G4197">
        <f t="shared" si="326"/>
        <v>0</v>
      </c>
      <c r="H4197">
        <f t="shared" si="327"/>
        <v>0</v>
      </c>
      <c r="I4197" s="141">
        <f t="shared" si="328"/>
        <v>0</v>
      </c>
      <c r="J4197">
        <f t="shared" si="329"/>
        <v>0</v>
      </c>
      <c r="K4197" s="141">
        <f t="shared" si="330"/>
        <v>0</v>
      </c>
    </row>
    <row r="4198" spans="7:11" hidden="1" x14ac:dyDescent="0.25">
      <c r="G4198">
        <f t="shared" si="326"/>
        <v>0</v>
      </c>
      <c r="H4198">
        <f t="shared" si="327"/>
        <v>0</v>
      </c>
      <c r="I4198" s="141">
        <f t="shared" si="328"/>
        <v>0</v>
      </c>
      <c r="J4198">
        <f t="shared" si="329"/>
        <v>0</v>
      </c>
      <c r="K4198" s="141">
        <f t="shared" si="330"/>
        <v>0</v>
      </c>
    </row>
    <row r="4199" spans="7:11" hidden="1" x14ac:dyDescent="0.25">
      <c r="G4199">
        <f t="shared" si="326"/>
        <v>0</v>
      </c>
      <c r="H4199">
        <f t="shared" si="327"/>
        <v>0</v>
      </c>
      <c r="I4199" s="141">
        <f t="shared" si="328"/>
        <v>0</v>
      </c>
      <c r="J4199">
        <f t="shared" si="329"/>
        <v>0</v>
      </c>
      <c r="K4199" s="141">
        <f t="shared" si="330"/>
        <v>0</v>
      </c>
    </row>
    <row r="4200" spans="7:11" hidden="1" x14ac:dyDescent="0.25">
      <c r="G4200">
        <f t="shared" si="326"/>
        <v>0</v>
      </c>
      <c r="H4200">
        <f t="shared" si="327"/>
        <v>0</v>
      </c>
      <c r="I4200" s="141">
        <f t="shared" si="328"/>
        <v>0</v>
      </c>
      <c r="J4200">
        <f t="shared" si="329"/>
        <v>0</v>
      </c>
      <c r="K4200" s="141">
        <f t="shared" si="330"/>
        <v>0</v>
      </c>
    </row>
    <row r="4201" spans="7:11" hidden="1" x14ac:dyDescent="0.25">
      <c r="G4201">
        <f t="shared" si="326"/>
        <v>0</v>
      </c>
      <c r="H4201">
        <f t="shared" si="327"/>
        <v>0</v>
      </c>
      <c r="I4201" s="141">
        <f t="shared" si="328"/>
        <v>0</v>
      </c>
      <c r="J4201">
        <f t="shared" si="329"/>
        <v>0</v>
      </c>
      <c r="K4201" s="141">
        <f t="shared" si="330"/>
        <v>0</v>
      </c>
    </row>
    <row r="4202" spans="7:11" hidden="1" x14ac:dyDescent="0.25">
      <c r="G4202">
        <f t="shared" si="326"/>
        <v>0</v>
      </c>
      <c r="H4202">
        <f t="shared" si="327"/>
        <v>0</v>
      </c>
      <c r="I4202" s="141">
        <f t="shared" si="328"/>
        <v>0</v>
      </c>
      <c r="J4202">
        <f t="shared" si="329"/>
        <v>0</v>
      </c>
      <c r="K4202" s="141">
        <f t="shared" si="330"/>
        <v>0</v>
      </c>
    </row>
    <row r="4203" spans="7:11" hidden="1" x14ac:dyDescent="0.25">
      <c r="G4203">
        <f t="shared" si="326"/>
        <v>0</v>
      </c>
      <c r="H4203">
        <f t="shared" si="327"/>
        <v>0</v>
      </c>
      <c r="I4203" s="141">
        <f t="shared" si="328"/>
        <v>0</v>
      </c>
      <c r="J4203">
        <f t="shared" si="329"/>
        <v>0</v>
      </c>
      <c r="K4203" s="141">
        <f t="shared" si="330"/>
        <v>0</v>
      </c>
    </row>
    <row r="4204" spans="7:11" hidden="1" x14ac:dyDescent="0.25">
      <c r="G4204">
        <f t="shared" si="326"/>
        <v>0</v>
      </c>
      <c r="H4204">
        <f t="shared" si="327"/>
        <v>0</v>
      </c>
      <c r="I4204" s="141">
        <f t="shared" si="328"/>
        <v>0</v>
      </c>
      <c r="J4204">
        <f t="shared" si="329"/>
        <v>0</v>
      </c>
      <c r="K4204" s="141">
        <f t="shared" si="330"/>
        <v>0</v>
      </c>
    </row>
    <row r="4205" spans="7:11" hidden="1" x14ac:dyDescent="0.25">
      <c r="G4205">
        <f t="shared" si="326"/>
        <v>0</v>
      </c>
      <c r="H4205">
        <f t="shared" si="327"/>
        <v>0</v>
      </c>
      <c r="I4205" s="141">
        <f t="shared" si="328"/>
        <v>0</v>
      </c>
      <c r="J4205">
        <f t="shared" si="329"/>
        <v>0</v>
      </c>
      <c r="K4205" s="141">
        <f t="shared" si="330"/>
        <v>0</v>
      </c>
    </row>
    <row r="4206" spans="7:11" hidden="1" x14ac:dyDescent="0.25">
      <c r="G4206">
        <f t="shared" si="326"/>
        <v>0</v>
      </c>
      <c r="H4206">
        <f t="shared" si="327"/>
        <v>0</v>
      </c>
      <c r="I4206" s="141">
        <f t="shared" si="328"/>
        <v>0</v>
      </c>
      <c r="J4206">
        <f t="shared" si="329"/>
        <v>0</v>
      </c>
      <c r="K4206" s="141">
        <f t="shared" si="330"/>
        <v>0</v>
      </c>
    </row>
    <row r="4207" spans="7:11" hidden="1" x14ac:dyDescent="0.25">
      <c r="G4207">
        <f t="shared" si="326"/>
        <v>0</v>
      </c>
      <c r="H4207">
        <f t="shared" si="327"/>
        <v>0</v>
      </c>
      <c r="I4207" s="141">
        <f t="shared" si="328"/>
        <v>0</v>
      </c>
      <c r="J4207">
        <f t="shared" si="329"/>
        <v>0</v>
      </c>
      <c r="K4207" s="141">
        <f t="shared" si="330"/>
        <v>0</v>
      </c>
    </row>
    <row r="4208" spans="7:11" hidden="1" x14ac:dyDescent="0.25">
      <c r="G4208">
        <f t="shared" si="326"/>
        <v>0</v>
      </c>
      <c r="H4208">
        <f t="shared" si="327"/>
        <v>0</v>
      </c>
      <c r="I4208" s="141">
        <f t="shared" si="328"/>
        <v>0</v>
      </c>
      <c r="J4208">
        <f t="shared" si="329"/>
        <v>0</v>
      </c>
      <c r="K4208" s="141">
        <f t="shared" si="330"/>
        <v>0</v>
      </c>
    </row>
    <row r="4209" spans="7:11" hidden="1" x14ac:dyDescent="0.25">
      <c r="G4209">
        <f t="shared" si="326"/>
        <v>0</v>
      </c>
      <c r="H4209">
        <f t="shared" si="327"/>
        <v>0</v>
      </c>
      <c r="I4209" s="141">
        <f t="shared" si="328"/>
        <v>0</v>
      </c>
      <c r="J4209">
        <f t="shared" si="329"/>
        <v>0</v>
      </c>
      <c r="K4209" s="141">
        <f t="shared" si="330"/>
        <v>0</v>
      </c>
    </row>
    <row r="4210" spans="7:11" hidden="1" x14ac:dyDescent="0.25">
      <c r="G4210">
        <f t="shared" si="326"/>
        <v>0</v>
      </c>
      <c r="H4210">
        <f t="shared" si="327"/>
        <v>0</v>
      </c>
      <c r="I4210" s="141">
        <f t="shared" si="328"/>
        <v>0</v>
      </c>
      <c r="J4210">
        <f t="shared" si="329"/>
        <v>0</v>
      </c>
      <c r="K4210" s="141">
        <f t="shared" si="330"/>
        <v>0</v>
      </c>
    </row>
    <row r="4211" spans="7:11" hidden="1" x14ac:dyDescent="0.25">
      <c r="G4211">
        <f t="shared" si="326"/>
        <v>0</v>
      </c>
      <c r="H4211">
        <f t="shared" si="327"/>
        <v>0</v>
      </c>
      <c r="I4211" s="141">
        <f t="shared" si="328"/>
        <v>0</v>
      </c>
      <c r="J4211">
        <f t="shared" si="329"/>
        <v>0</v>
      </c>
      <c r="K4211" s="141">
        <f t="shared" si="330"/>
        <v>0</v>
      </c>
    </row>
    <row r="4212" spans="7:11" hidden="1" x14ac:dyDescent="0.25">
      <c r="G4212">
        <f t="shared" si="326"/>
        <v>0</v>
      </c>
      <c r="H4212">
        <f t="shared" si="327"/>
        <v>0</v>
      </c>
      <c r="I4212" s="141">
        <f t="shared" si="328"/>
        <v>0</v>
      </c>
      <c r="J4212">
        <f t="shared" si="329"/>
        <v>0</v>
      </c>
      <c r="K4212" s="141">
        <f t="shared" si="330"/>
        <v>0</v>
      </c>
    </row>
    <row r="4213" spans="7:11" hidden="1" x14ac:dyDescent="0.25">
      <c r="G4213">
        <f t="shared" si="326"/>
        <v>0</v>
      </c>
      <c r="H4213">
        <f t="shared" si="327"/>
        <v>0</v>
      </c>
      <c r="I4213" s="141">
        <f t="shared" si="328"/>
        <v>0</v>
      </c>
      <c r="J4213">
        <f t="shared" si="329"/>
        <v>0</v>
      </c>
      <c r="K4213" s="141">
        <f t="shared" si="330"/>
        <v>0</v>
      </c>
    </row>
    <row r="4214" spans="7:11" hidden="1" x14ac:dyDescent="0.25">
      <c r="G4214">
        <f t="shared" si="326"/>
        <v>0</v>
      </c>
      <c r="H4214">
        <f t="shared" si="327"/>
        <v>0</v>
      </c>
      <c r="I4214" s="141">
        <f t="shared" si="328"/>
        <v>0</v>
      </c>
      <c r="J4214">
        <f t="shared" si="329"/>
        <v>0</v>
      </c>
      <c r="K4214" s="141">
        <f t="shared" si="330"/>
        <v>0</v>
      </c>
    </row>
    <row r="4215" spans="7:11" hidden="1" x14ac:dyDescent="0.25">
      <c r="G4215">
        <f t="shared" si="326"/>
        <v>0</v>
      </c>
      <c r="H4215">
        <f t="shared" si="327"/>
        <v>0</v>
      </c>
      <c r="I4215" s="141">
        <f t="shared" si="328"/>
        <v>0</v>
      </c>
      <c r="J4215">
        <f t="shared" si="329"/>
        <v>0</v>
      </c>
      <c r="K4215" s="141">
        <f t="shared" si="330"/>
        <v>0</v>
      </c>
    </row>
    <row r="4216" spans="7:11" hidden="1" x14ac:dyDescent="0.25">
      <c r="G4216">
        <f t="shared" si="326"/>
        <v>0</v>
      </c>
      <c r="H4216">
        <f t="shared" si="327"/>
        <v>0</v>
      </c>
      <c r="I4216" s="141">
        <f t="shared" si="328"/>
        <v>0</v>
      </c>
      <c r="J4216">
        <f t="shared" si="329"/>
        <v>0</v>
      </c>
      <c r="K4216" s="141">
        <f t="shared" si="330"/>
        <v>0</v>
      </c>
    </row>
    <row r="4217" spans="7:11" hidden="1" x14ac:dyDescent="0.25">
      <c r="G4217">
        <f t="shared" si="326"/>
        <v>0</v>
      </c>
      <c r="H4217">
        <f t="shared" si="327"/>
        <v>0</v>
      </c>
      <c r="I4217" s="141">
        <f t="shared" si="328"/>
        <v>0</v>
      </c>
      <c r="J4217">
        <f t="shared" si="329"/>
        <v>0</v>
      </c>
      <c r="K4217" s="141">
        <f t="shared" si="330"/>
        <v>0</v>
      </c>
    </row>
    <row r="4218" spans="7:11" hidden="1" x14ac:dyDescent="0.25">
      <c r="G4218">
        <f t="shared" si="326"/>
        <v>0</v>
      </c>
      <c r="H4218">
        <f t="shared" si="327"/>
        <v>0</v>
      </c>
      <c r="I4218" s="141">
        <f t="shared" si="328"/>
        <v>0</v>
      </c>
      <c r="J4218">
        <f t="shared" si="329"/>
        <v>0</v>
      </c>
      <c r="K4218" s="141">
        <f t="shared" si="330"/>
        <v>0</v>
      </c>
    </row>
    <row r="4219" spans="7:11" hidden="1" x14ac:dyDescent="0.25">
      <c r="G4219">
        <f t="shared" si="326"/>
        <v>0</v>
      </c>
      <c r="H4219">
        <f t="shared" si="327"/>
        <v>0</v>
      </c>
      <c r="I4219" s="141">
        <f t="shared" si="328"/>
        <v>0</v>
      </c>
      <c r="J4219">
        <f t="shared" si="329"/>
        <v>0</v>
      </c>
      <c r="K4219" s="141">
        <f t="shared" si="330"/>
        <v>0</v>
      </c>
    </row>
    <row r="4220" spans="7:11" hidden="1" x14ac:dyDescent="0.25">
      <c r="G4220">
        <f t="shared" si="326"/>
        <v>0</v>
      </c>
      <c r="H4220">
        <f t="shared" si="327"/>
        <v>0</v>
      </c>
      <c r="I4220" s="141">
        <f t="shared" si="328"/>
        <v>0</v>
      </c>
      <c r="J4220">
        <f t="shared" si="329"/>
        <v>0</v>
      </c>
      <c r="K4220" s="141">
        <f t="shared" si="330"/>
        <v>0</v>
      </c>
    </row>
    <row r="4221" spans="7:11" hidden="1" x14ac:dyDescent="0.25">
      <c r="G4221">
        <f t="shared" si="326"/>
        <v>0</v>
      </c>
      <c r="H4221">
        <f t="shared" si="327"/>
        <v>0</v>
      </c>
      <c r="I4221" s="141">
        <f t="shared" si="328"/>
        <v>0</v>
      </c>
      <c r="J4221">
        <f t="shared" si="329"/>
        <v>0</v>
      </c>
      <c r="K4221" s="141">
        <f t="shared" si="330"/>
        <v>0</v>
      </c>
    </row>
    <row r="4222" spans="7:11" hidden="1" x14ac:dyDescent="0.25">
      <c r="G4222">
        <f t="shared" si="326"/>
        <v>0</v>
      </c>
      <c r="H4222">
        <f t="shared" si="327"/>
        <v>0</v>
      </c>
      <c r="I4222" s="141">
        <f t="shared" si="328"/>
        <v>0</v>
      </c>
      <c r="J4222">
        <f t="shared" si="329"/>
        <v>0</v>
      </c>
      <c r="K4222" s="141">
        <f t="shared" si="330"/>
        <v>0</v>
      </c>
    </row>
    <row r="4223" spans="7:11" hidden="1" x14ac:dyDescent="0.25">
      <c r="G4223">
        <f t="shared" si="326"/>
        <v>0</v>
      </c>
      <c r="H4223">
        <f t="shared" si="327"/>
        <v>0</v>
      </c>
      <c r="I4223" s="141">
        <f t="shared" si="328"/>
        <v>0</v>
      </c>
      <c r="J4223">
        <f t="shared" si="329"/>
        <v>0</v>
      </c>
      <c r="K4223" s="141">
        <f t="shared" si="330"/>
        <v>0</v>
      </c>
    </row>
    <row r="4224" spans="7:11" hidden="1" x14ac:dyDescent="0.25">
      <c r="G4224">
        <f t="shared" si="326"/>
        <v>0</v>
      </c>
      <c r="H4224">
        <f t="shared" si="327"/>
        <v>0</v>
      </c>
      <c r="I4224" s="141">
        <f t="shared" si="328"/>
        <v>0</v>
      </c>
      <c r="J4224">
        <f t="shared" si="329"/>
        <v>0</v>
      </c>
      <c r="K4224" s="141">
        <f t="shared" si="330"/>
        <v>0</v>
      </c>
    </row>
    <row r="4225" spans="7:11" hidden="1" x14ac:dyDescent="0.25">
      <c r="G4225">
        <f t="shared" si="326"/>
        <v>0</v>
      </c>
      <c r="H4225">
        <f t="shared" si="327"/>
        <v>0</v>
      </c>
      <c r="I4225" s="141">
        <f t="shared" si="328"/>
        <v>0</v>
      </c>
      <c r="J4225">
        <f t="shared" si="329"/>
        <v>0</v>
      </c>
      <c r="K4225" s="141">
        <f t="shared" si="330"/>
        <v>0</v>
      </c>
    </row>
    <row r="4226" spans="7:11" hidden="1" x14ac:dyDescent="0.25">
      <c r="G4226">
        <f t="shared" ref="G4226:G4289" si="331">A4226</f>
        <v>0</v>
      </c>
      <c r="H4226">
        <f t="shared" ref="H4226:H4289" si="332">B4226</f>
        <v>0</v>
      </c>
      <c r="I4226" s="141">
        <f t="shared" ref="I4226:I4289" si="333">C4226</f>
        <v>0</v>
      </c>
      <c r="J4226">
        <f t="shared" ref="J4226:J4289" si="334">D4226</f>
        <v>0</v>
      </c>
      <c r="K4226" s="141">
        <f t="shared" ref="K4226:K4289" si="335">E4226</f>
        <v>0</v>
      </c>
    </row>
    <row r="4227" spans="7:11" hidden="1" x14ac:dyDescent="0.25">
      <c r="G4227">
        <f t="shared" si="331"/>
        <v>0</v>
      </c>
      <c r="H4227">
        <f t="shared" si="332"/>
        <v>0</v>
      </c>
      <c r="I4227" s="141">
        <f t="shared" si="333"/>
        <v>0</v>
      </c>
      <c r="J4227">
        <f t="shared" si="334"/>
        <v>0</v>
      </c>
      <c r="K4227" s="141">
        <f t="shared" si="335"/>
        <v>0</v>
      </c>
    </row>
    <row r="4228" spans="7:11" hidden="1" x14ac:dyDescent="0.25">
      <c r="G4228">
        <f t="shared" si="331"/>
        <v>0</v>
      </c>
      <c r="H4228">
        <f t="shared" si="332"/>
        <v>0</v>
      </c>
      <c r="I4228" s="141">
        <f t="shared" si="333"/>
        <v>0</v>
      </c>
      <c r="J4228">
        <f t="shared" si="334"/>
        <v>0</v>
      </c>
      <c r="K4228" s="141">
        <f t="shared" si="335"/>
        <v>0</v>
      </c>
    </row>
    <row r="4229" spans="7:11" hidden="1" x14ac:dyDescent="0.25">
      <c r="G4229">
        <f t="shared" si="331"/>
        <v>0</v>
      </c>
      <c r="H4229">
        <f t="shared" si="332"/>
        <v>0</v>
      </c>
      <c r="I4229" s="141">
        <f t="shared" si="333"/>
        <v>0</v>
      </c>
      <c r="J4229">
        <f t="shared" si="334"/>
        <v>0</v>
      </c>
      <c r="K4229" s="141">
        <f t="shared" si="335"/>
        <v>0</v>
      </c>
    </row>
    <row r="4230" spans="7:11" hidden="1" x14ac:dyDescent="0.25">
      <c r="G4230">
        <f t="shared" si="331"/>
        <v>0</v>
      </c>
      <c r="H4230">
        <f t="shared" si="332"/>
        <v>0</v>
      </c>
      <c r="I4230" s="141">
        <f t="shared" si="333"/>
        <v>0</v>
      </c>
      <c r="J4230">
        <f t="shared" si="334"/>
        <v>0</v>
      </c>
      <c r="K4230" s="141">
        <f t="shared" si="335"/>
        <v>0</v>
      </c>
    </row>
    <row r="4231" spans="7:11" hidden="1" x14ac:dyDescent="0.25">
      <c r="G4231">
        <f t="shared" si="331"/>
        <v>0</v>
      </c>
      <c r="H4231">
        <f t="shared" si="332"/>
        <v>0</v>
      </c>
      <c r="I4231" s="141">
        <f t="shared" si="333"/>
        <v>0</v>
      </c>
      <c r="J4231">
        <f t="shared" si="334"/>
        <v>0</v>
      </c>
      <c r="K4231" s="141">
        <f t="shared" si="335"/>
        <v>0</v>
      </c>
    </row>
    <row r="4232" spans="7:11" hidden="1" x14ac:dyDescent="0.25">
      <c r="G4232">
        <f t="shared" si="331"/>
        <v>0</v>
      </c>
      <c r="H4232">
        <f t="shared" si="332"/>
        <v>0</v>
      </c>
      <c r="I4232" s="141">
        <f t="shared" si="333"/>
        <v>0</v>
      </c>
      <c r="J4232">
        <f t="shared" si="334"/>
        <v>0</v>
      </c>
      <c r="K4232" s="141">
        <f t="shared" si="335"/>
        <v>0</v>
      </c>
    </row>
    <row r="4233" spans="7:11" hidden="1" x14ac:dyDescent="0.25">
      <c r="G4233">
        <f t="shared" si="331"/>
        <v>0</v>
      </c>
      <c r="H4233">
        <f t="shared" si="332"/>
        <v>0</v>
      </c>
      <c r="I4233" s="141">
        <f t="shared" si="333"/>
        <v>0</v>
      </c>
      <c r="J4233">
        <f t="shared" si="334"/>
        <v>0</v>
      </c>
      <c r="K4233" s="141">
        <f t="shared" si="335"/>
        <v>0</v>
      </c>
    </row>
    <row r="4234" spans="7:11" hidden="1" x14ac:dyDescent="0.25">
      <c r="G4234">
        <f t="shared" si="331"/>
        <v>0</v>
      </c>
      <c r="H4234">
        <f t="shared" si="332"/>
        <v>0</v>
      </c>
      <c r="I4234" s="141">
        <f t="shared" si="333"/>
        <v>0</v>
      </c>
      <c r="J4234">
        <f t="shared" si="334"/>
        <v>0</v>
      </c>
      <c r="K4234" s="141">
        <f t="shared" si="335"/>
        <v>0</v>
      </c>
    </row>
    <row r="4235" spans="7:11" hidden="1" x14ac:dyDescent="0.25">
      <c r="G4235">
        <f t="shared" si="331"/>
        <v>0</v>
      </c>
      <c r="H4235">
        <f t="shared" si="332"/>
        <v>0</v>
      </c>
      <c r="I4235" s="141">
        <f t="shared" si="333"/>
        <v>0</v>
      </c>
      <c r="J4235">
        <f t="shared" si="334"/>
        <v>0</v>
      </c>
      <c r="K4235" s="141">
        <f t="shared" si="335"/>
        <v>0</v>
      </c>
    </row>
    <row r="4236" spans="7:11" hidden="1" x14ac:dyDescent="0.25">
      <c r="G4236">
        <f t="shared" si="331"/>
        <v>0</v>
      </c>
      <c r="H4236">
        <f t="shared" si="332"/>
        <v>0</v>
      </c>
      <c r="I4236" s="141">
        <f t="shared" si="333"/>
        <v>0</v>
      </c>
      <c r="J4236">
        <f t="shared" si="334"/>
        <v>0</v>
      </c>
      <c r="K4236" s="141">
        <f t="shared" si="335"/>
        <v>0</v>
      </c>
    </row>
    <row r="4237" spans="7:11" hidden="1" x14ac:dyDescent="0.25">
      <c r="G4237">
        <f t="shared" si="331"/>
        <v>0</v>
      </c>
      <c r="H4237">
        <f t="shared" si="332"/>
        <v>0</v>
      </c>
      <c r="I4237" s="141">
        <f t="shared" si="333"/>
        <v>0</v>
      </c>
      <c r="J4237">
        <f t="shared" si="334"/>
        <v>0</v>
      </c>
      <c r="K4237" s="141">
        <f t="shared" si="335"/>
        <v>0</v>
      </c>
    </row>
    <row r="4238" spans="7:11" hidden="1" x14ac:dyDescent="0.25">
      <c r="G4238">
        <f t="shared" si="331"/>
        <v>0</v>
      </c>
      <c r="H4238">
        <f t="shared" si="332"/>
        <v>0</v>
      </c>
      <c r="I4238" s="141">
        <f t="shared" si="333"/>
        <v>0</v>
      </c>
      <c r="J4238">
        <f t="shared" si="334"/>
        <v>0</v>
      </c>
      <c r="K4238" s="141">
        <f t="shared" si="335"/>
        <v>0</v>
      </c>
    </row>
    <row r="4239" spans="7:11" hidden="1" x14ac:dyDescent="0.25">
      <c r="G4239">
        <f t="shared" si="331"/>
        <v>0</v>
      </c>
      <c r="H4239">
        <f t="shared" si="332"/>
        <v>0</v>
      </c>
      <c r="I4239" s="141">
        <f t="shared" si="333"/>
        <v>0</v>
      </c>
      <c r="J4239">
        <f t="shared" si="334"/>
        <v>0</v>
      </c>
      <c r="K4239" s="141">
        <f t="shared" si="335"/>
        <v>0</v>
      </c>
    </row>
    <row r="4240" spans="7:11" hidden="1" x14ac:dyDescent="0.25">
      <c r="G4240">
        <f t="shared" si="331"/>
        <v>0</v>
      </c>
      <c r="H4240">
        <f t="shared" si="332"/>
        <v>0</v>
      </c>
      <c r="I4240" s="141">
        <f t="shared" si="333"/>
        <v>0</v>
      </c>
      <c r="J4240">
        <f t="shared" si="334"/>
        <v>0</v>
      </c>
      <c r="K4240" s="141">
        <f t="shared" si="335"/>
        <v>0</v>
      </c>
    </row>
    <row r="4241" spans="7:11" hidden="1" x14ac:dyDescent="0.25">
      <c r="G4241">
        <f t="shared" si="331"/>
        <v>0</v>
      </c>
      <c r="H4241">
        <f t="shared" si="332"/>
        <v>0</v>
      </c>
      <c r="I4241" s="141">
        <f t="shared" si="333"/>
        <v>0</v>
      </c>
      <c r="J4241">
        <f t="shared" si="334"/>
        <v>0</v>
      </c>
      <c r="K4241" s="141">
        <f t="shared" si="335"/>
        <v>0</v>
      </c>
    </row>
    <row r="4242" spans="7:11" hidden="1" x14ac:dyDescent="0.25">
      <c r="G4242">
        <f t="shared" si="331"/>
        <v>0</v>
      </c>
      <c r="H4242">
        <f t="shared" si="332"/>
        <v>0</v>
      </c>
      <c r="I4242" s="141">
        <f t="shared" si="333"/>
        <v>0</v>
      </c>
      <c r="J4242">
        <f t="shared" si="334"/>
        <v>0</v>
      </c>
      <c r="K4242" s="141">
        <f t="shared" si="335"/>
        <v>0</v>
      </c>
    </row>
    <row r="4243" spans="7:11" hidden="1" x14ac:dyDescent="0.25">
      <c r="G4243">
        <f t="shared" si="331"/>
        <v>0</v>
      </c>
      <c r="H4243">
        <f t="shared" si="332"/>
        <v>0</v>
      </c>
      <c r="I4243" s="141">
        <f t="shared" si="333"/>
        <v>0</v>
      </c>
      <c r="J4243">
        <f t="shared" si="334"/>
        <v>0</v>
      </c>
      <c r="K4243" s="141">
        <f t="shared" si="335"/>
        <v>0</v>
      </c>
    </row>
    <row r="4244" spans="7:11" hidden="1" x14ac:dyDescent="0.25">
      <c r="G4244">
        <f t="shared" si="331"/>
        <v>0</v>
      </c>
      <c r="H4244">
        <f t="shared" si="332"/>
        <v>0</v>
      </c>
      <c r="I4244" s="141">
        <f t="shared" si="333"/>
        <v>0</v>
      </c>
      <c r="J4244">
        <f t="shared" si="334"/>
        <v>0</v>
      </c>
      <c r="K4244" s="141">
        <f t="shared" si="335"/>
        <v>0</v>
      </c>
    </row>
    <row r="4245" spans="7:11" hidden="1" x14ac:dyDescent="0.25">
      <c r="G4245">
        <f t="shared" si="331"/>
        <v>0</v>
      </c>
      <c r="H4245">
        <f t="shared" si="332"/>
        <v>0</v>
      </c>
      <c r="I4245" s="141">
        <f t="shared" si="333"/>
        <v>0</v>
      </c>
      <c r="J4245">
        <f t="shared" si="334"/>
        <v>0</v>
      </c>
      <c r="K4245" s="141">
        <f t="shared" si="335"/>
        <v>0</v>
      </c>
    </row>
    <row r="4246" spans="7:11" hidden="1" x14ac:dyDescent="0.25">
      <c r="G4246">
        <f t="shared" si="331"/>
        <v>0</v>
      </c>
      <c r="H4246">
        <f t="shared" si="332"/>
        <v>0</v>
      </c>
      <c r="I4246" s="141">
        <f t="shared" si="333"/>
        <v>0</v>
      </c>
      <c r="J4246">
        <f t="shared" si="334"/>
        <v>0</v>
      </c>
      <c r="K4246" s="141">
        <f t="shared" si="335"/>
        <v>0</v>
      </c>
    </row>
    <row r="4247" spans="7:11" hidden="1" x14ac:dyDescent="0.25">
      <c r="G4247">
        <f t="shared" si="331"/>
        <v>0</v>
      </c>
      <c r="H4247">
        <f t="shared" si="332"/>
        <v>0</v>
      </c>
      <c r="I4247" s="141">
        <f t="shared" si="333"/>
        <v>0</v>
      </c>
      <c r="J4247">
        <f t="shared" si="334"/>
        <v>0</v>
      </c>
      <c r="K4247" s="141">
        <f t="shared" si="335"/>
        <v>0</v>
      </c>
    </row>
    <row r="4248" spans="7:11" hidden="1" x14ac:dyDescent="0.25">
      <c r="G4248">
        <f t="shared" si="331"/>
        <v>0</v>
      </c>
      <c r="H4248">
        <f t="shared" si="332"/>
        <v>0</v>
      </c>
      <c r="I4248" s="141">
        <f t="shared" si="333"/>
        <v>0</v>
      </c>
      <c r="J4248">
        <f t="shared" si="334"/>
        <v>0</v>
      </c>
      <c r="K4248" s="141">
        <f t="shared" si="335"/>
        <v>0</v>
      </c>
    </row>
    <row r="4249" spans="7:11" hidden="1" x14ac:dyDescent="0.25">
      <c r="G4249">
        <f t="shared" si="331"/>
        <v>0</v>
      </c>
      <c r="H4249">
        <f t="shared" si="332"/>
        <v>0</v>
      </c>
      <c r="I4249" s="141">
        <f t="shared" si="333"/>
        <v>0</v>
      </c>
      <c r="J4249">
        <f t="shared" si="334"/>
        <v>0</v>
      </c>
      <c r="K4249" s="141">
        <f t="shared" si="335"/>
        <v>0</v>
      </c>
    </row>
    <row r="4250" spans="7:11" hidden="1" x14ac:dyDescent="0.25">
      <c r="G4250">
        <f t="shared" si="331"/>
        <v>0</v>
      </c>
      <c r="H4250">
        <f t="shared" si="332"/>
        <v>0</v>
      </c>
      <c r="I4250" s="141">
        <f t="shared" si="333"/>
        <v>0</v>
      </c>
      <c r="J4250">
        <f t="shared" si="334"/>
        <v>0</v>
      </c>
      <c r="K4250" s="141">
        <f t="shared" si="335"/>
        <v>0</v>
      </c>
    </row>
    <row r="4251" spans="7:11" hidden="1" x14ac:dyDescent="0.25">
      <c r="G4251">
        <f t="shared" si="331"/>
        <v>0</v>
      </c>
      <c r="H4251">
        <f t="shared" si="332"/>
        <v>0</v>
      </c>
      <c r="I4251" s="141">
        <f t="shared" si="333"/>
        <v>0</v>
      </c>
      <c r="J4251">
        <f t="shared" si="334"/>
        <v>0</v>
      </c>
      <c r="K4251" s="141">
        <f t="shared" si="335"/>
        <v>0</v>
      </c>
    </row>
    <row r="4252" spans="7:11" hidden="1" x14ac:dyDescent="0.25">
      <c r="G4252">
        <f t="shared" si="331"/>
        <v>0</v>
      </c>
      <c r="H4252">
        <f t="shared" si="332"/>
        <v>0</v>
      </c>
      <c r="I4252" s="141">
        <f t="shared" si="333"/>
        <v>0</v>
      </c>
      <c r="J4252">
        <f t="shared" si="334"/>
        <v>0</v>
      </c>
      <c r="K4252" s="141">
        <f t="shared" si="335"/>
        <v>0</v>
      </c>
    </row>
    <row r="4253" spans="7:11" hidden="1" x14ac:dyDescent="0.25">
      <c r="G4253">
        <f t="shared" si="331"/>
        <v>0</v>
      </c>
      <c r="H4253">
        <f t="shared" si="332"/>
        <v>0</v>
      </c>
      <c r="I4253" s="141">
        <f t="shared" si="333"/>
        <v>0</v>
      </c>
      <c r="J4253">
        <f t="shared" si="334"/>
        <v>0</v>
      </c>
      <c r="K4253" s="141">
        <f t="shared" si="335"/>
        <v>0</v>
      </c>
    </row>
    <row r="4254" spans="7:11" hidden="1" x14ac:dyDescent="0.25">
      <c r="G4254">
        <f t="shared" si="331"/>
        <v>0</v>
      </c>
      <c r="H4254">
        <f t="shared" si="332"/>
        <v>0</v>
      </c>
      <c r="I4254" s="141">
        <f t="shared" si="333"/>
        <v>0</v>
      </c>
      <c r="J4254">
        <f t="shared" si="334"/>
        <v>0</v>
      </c>
      <c r="K4254" s="141">
        <f t="shared" si="335"/>
        <v>0</v>
      </c>
    </row>
    <row r="4255" spans="7:11" hidden="1" x14ac:dyDescent="0.25">
      <c r="G4255">
        <f t="shared" si="331"/>
        <v>0</v>
      </c>
      <c r="H4255">
        <f t="shared" si="332"/>
        <v>0</v>
      </c>
      <c r="I4255" s="141">
        <f t="shared" si="333"/>
        <v>0</v>
      </c>
      <c r="J4255">
        <f t="shared" si="334"/>
        <v>0</v>
      </c>
      <c r="K4255" s="141">
        <f t="shared" si="335"/>
        <v>0</v>
      </c>
    </row>
    <row r="4256" spans="7:11" hidden="1" x14ac:dyDescent="0.25">
      <c r="G4256">
        <f t="shared" si="331"/>
        <v>0</v>
      </c>
      <c r="H4256">
        <f t="shared" si="332"/>
        <v>0</v>
      </c>
      <c r="I4256" s="141">
        <f t="shared" si="333"/>
        <v>0</v>
      </c>
      <c r="J4256">
        <f t="shared" si="334"/>
        <v>0</v>
      </c>
      <c r="K4256" s="141">
        <f t="shared" si="335"/>
        <v>0</v>
      </c>
    </row>
    <row r="4257" spans="7:11" hidden="1" x14ac:dyDescent="0.25">
      <c r="G4257">
        <f t="shared" si="331"/>
        <v>0</v>
      </c>
      <c r="H4257">
        <f t="shared" si="332"/>
        <v>0</v>
      </c>
      <c r="I4257" s="141">
        <f t="shared" si="333"/>
        <v>0</v>
      </c>
      <c r="J4257">
        <f t="shared" si="334"/>
        <v>0</v>
      </c>
      <c r="K4257" s="141">
        <f t="shared" si="335"/>
        <v>0</v>
      </c>
    </row>
    <row r="4258" spans="7:11" hidden="1" x14ac:dyDescent="0.25">
      <c r="G4258">
        <f t="shared" si="331"/>
        <v>0</v>
      </c>
      <c r="H4258">
        <f t="shared" si="332"/>
        <v>0</v>
      </c>
      <c r="I4258" s="141">
        <f t="shared" si="333"/>
        <v>0</v>
      </c>
      <c r="J4258">
        <f t="shared" si="334"/>
        <v>0</v>
      </c>
      <c r="K4258" s="141">
        <f t="shared" si="335"/>
        <v>0</v>
      </c>
    </row>
    <row r="4259" spans="7:11" hidden="1" x14ac:dyDescent="0.25">
      <c r="G4259">
        <f t="shared" si="331"/>
        <v>0</v>
      </c>
      <c r="H4259">
        <f t="shared" si="332"/>
        <v>0</v>
      </c>
      <c r="I4259" s="141">
        <f t="shared" si="333"/>
        <v>0</v>
      </c>
      <c r="J4259">
        <f t="shared" si="334"/>
        <v>0</v>
      </c>
      <c r="K4259" s="141">
        <f t="shared" si="335"/>
        <v>0</v>
      </c>
    </row>
    <row r="4260" spans="7:11" hidden="1" x14ac:dyDescent="0.25">
      <c r="G4260">
        <f t="shared" si="331"/>
        <v>0</v>
      </c>
      <c r="H4260">
        <f t="shared" si="332"/>
        <v>0</v>
      </c>
      <c r="I4260" s="141">
        <f t="shared" si="333"/>
        <v>0</v>
      </c>
      <c r="J4260">
        <f t="shared" si="334"/>
        <v>0</v>
      </c>
      <c r="K4260" s="141">
        <f t="shared" si="335"/>
        <v>0</v>
      </c>
    </row>
    <row r="4261" spans="7:11" hidden="1" x14ac:dyDescent="0.25">
      <c r="G4261">
        <f t="shared" si="331"/>
        <v>0</v>
      </c>
      <c r="H4261">
        <f t="shared" si="332"/>
        <v>0</v>
      </c>
      <c r="I4261" s="141">
        <f t="shared" si="333"/>
        <v>0</v>
      </c>
      <c r="J4261">
        <f t="shared" si="334"/>
        <v>0</v>
      </c>
      <c r="K4261" s="141">
        <f t="shared" si="335"/>
        <v>0</v>
      </c>
    </row>
    <row r="4262" spans="7:11" hidden="1" x14ac:dyDescent="0.25">
      <c r="G4262">
        <f t="shared" si="331"/>
        <v>0</v>
      </c>
      <c r="H4262">
        <f t="shared" si="332"/>
        <v>0</v>
      </c>
      <c r="I4262" s="141">
        <f t="shared" si="333"/>
        <v>0</v>
      </c>
      <c r="J4262">
        <f t="shared" si="334"/>
        <v>0</v>
      </c>
      <c r="K4262" s="141">
        <f t="shared" si="335"/>
        <v>0</v>
      </c>
    </row>
    <row r="4263" spans="7:11" hidden="1" x14ac:dyDescent="0.25">
      <c r="G4263">
        <f t="shared" si="331"/>
        <v>0</v>
      </c>
      <c r="H4263">
        <f t="shared" si="332"/>
        <v>0</v>
      </c>
      <c r="I4263" s="141">
        <f t="shared" si="333"/>
        <v>0</v>
      </c>
      <c r="J4263">
        <f t="shared" si="334"/>
        <v>0</v>
      </c>
      <c r="K4263" s="141">
        <f t="shared" si="335"/>
        <v>0</v>
      </c>
    </row>
    <row r="4264" spans="7:11" hidden="1" x14ac:dyDescent="0.25">
      <c r="G4264">
        <f t="shared" si="331"/>
        <v>0</v>
      </c>
      <c r="H4264">
        <f t="shared" si="332"/>
        <v>0</v>
      </c>
      <c r="I4264" s="141">
        <f t="shared" si="333"/>
        <v>0</v>
      </c>
      <c r="J4264">
        <f t="shared" si="334"/>
        <v>0</v>
      </c>
      <c r="K4264" s="141">
        <f t="shared" si="335"/>
        <v>0</v>
      </c>
    </row>
    <row r="4265" spans="7:11" hidden="1" x14ac:dyDescent="0.25">
      <c r="G4265">
        <f t="shared" si="331"/>
        <v>0</v>
      </c>
      <c r="H4265">
        <f t="shared" si="332"/>
        <v>0</v>
      </c>
      <c r="I4265" s="141">
        <f t="shared" si="333"/>
        <v>0</v>
      </c>
      <c r="J4265">
        <f t="shared" si="334"/>
        <v>0</v>
      </c>
      <c r="K4265" s="141">
        <f t="shared" si="335"/>
        <v>0</v>
      </c>
    </row>
    <row r="4266" spans="7:11" hidden="1" x14ac:dyDescent="0.25">
      <c r="G4266">
        <f t="shared" si="331"/>
        <v>0</v>
      </c>
      <c r="H4266">
        <f t="shared" si="332"/>
        <v>0</v>
      </c>
      <c r="I4266" s="141">
        <f t="shared" si="333"/>
        <v>0</v>
      </c>
      <c r="J4266">
        <f t="shared" si="334"/>
        <v>0</v>
      </c>
      <c r="K4266" s="141">
        <f t="shared" si="335"/>
        <v>0</v>
      </c>
    </row>
    <row r="4267" spans="7:11" hidden="1" x14ac:dyDescent="0.25">
      <c r="G4267">
        <f t="shared" si="331"/>
        <v>0</v>
      </c>
      <c r="H4267">
        <f t="shared" si="332"/>
        <v>0</v>
      </c>
      <c r="I4267" s="141">
        <f t="shared" si="333"/>
        <v>0</v>
      </c>
      <c r="J4267">
        <f t="shared" si="334"/>
        <v>0</v>
      </c>
      <c r="K4267" s="141">
        <f t="shared" si="335"/>
        <v>0</v>
      </c>
    </row>
    <row r="4268" spans="7:11" hidden="1" x14ac:dyDescent="0.25">
      <c r="G4268">
        <f t="shared" si="331"/>
        <v>0</v>
      </c>
      <c r="H4268">
        <f t="shared" si="332"/>
        <v>0</v>
      </c>
      <c r="I4268" s="141">
        <f t="shared" si="333"/>
        <v>0</v>
      </c>
      <c r="J4268">
        <f t="shared" si="334"/>
        <v>0</v>
      </c>
      <c r="K4268" s="141">
        <f t="shared" si="335"/>
        <v>0</v>
      </c>
    </row>
    <row r="4269" spans="7:11" hidden="1" x14ac:dyDescent="0.25">
      <c r="G4269">
        <f t="shared" si="331"/>
        <v>0</v>
      </c>
      <c r="H4269">
        <f t="shared" si="332"/>
        <v>0</v>
      </c>
      <c r="I4269" s="141">
        <f t="shared" si="333"/>
        <v>0</v>
      </c>
      <c r="J4269">
        <f t="shared" si="334"/>
        <v>0</v>
      </c>
      <c r="K4269" s="141">
        <f t="shared" si="335"/>
        <v>0</v>
      </c>
    </row>
    <row r="4270" spans="7:11" hidden="1" x14ac:dyDescent="0.25">
      <c r="G4270">
        <f t="shared" si="331"/>
        <v>0</v>
      </c>
      <c r="H4270">
        <f t="shared" si="332"/>
        <v>0</v>
      </c>
      <c r="I4270" s="141">
        <f t="shared" si="333"/>
        <v>0</v>
      </c>
      <c r="J4270">
        <f t="shared" si="334"/>
        <v>0</v>
      </c>
      <c r="K4270" s="141">
        <f t="shared" si="335"/>
        <v>0</v>
      </c>
    </row>
    <row r="4271" spans="7:11" hidden="1" x14ac:dyDescent="0.25">
      <c r="G4271">
        <f t="shared" si="331"/>
        <v>0</v>
      </c>
      <c r="H4271">
        <f t="shared" si="332"/>
        <v>0</v>
      </c>
      <c r="I4271" s="141">
        <f t="shared" si="333"/>
        <v>0</v>
      </c>
      <c r="J4271">
        <f t="shared" si="334"/>
        <v>0</v>
      </c>
      <c r="K4271" s="141">
        <f t="shared" si="335"/>
        <v>0</v>
      </c>
    </row>
    <row r="4272" spans="7:11" hidden="1" x14ac:dyDescent="0.25">
      <c r="G4272">
        <f t="shared" si="331"/>
        <v>0</v>
      </c>
      <c r="H4272">
        <f t="shared" si="332"/>
        <v>0</v>
      </c>
      <c r="I4272" s="141">
        <f t="shared" si="333"/>
        <v>0</v>
      </c>
      <c r="J4272">
        <f t="shared" si="334"/>
        <v>0</v>
      </c>
      <c r="K4272" s="141">
        <f t="shared" si="335"/>
        <v>0</v>
      </c>
    </row>
    <row r="4273" spans="7:11" hidden="1" x14ac:dyDescent="0.25">
      <c r="G4273">
        <f t="shared" si="331"/>
        <v>0</v>
      </c>
      <c r="H4273">
        <f t="shared" si="332"/>
        <v>0</v>
      </c>
      <c r="I4273" s="141">
        <f t="shared" si="333"/>
        <v>0</v>
      </c>
      <c r="J4273">
        <f t="shared" si="334"/>
        <v>0</v>
      </c>
      <c r="K4273" s="141">
        <f t="shared" si="335"/>
        <v>0</v>
      </c>
    </row>
    <row r="4274" spans="7:11" hidden="1" x14ac:dyDescent="0.25">
      <c r="G4274">
        <f t="shared" si="331"/>
        <v>0</v>
      </c>
      <c r="H4274">
        <f t="shared" si="332"/>
        <v>0</v>
      </c>
      <c r="I4274" s="141">
        <f t="shared" si="333"/>
        <v>0</v>
      </c>
      <c r="J4274">
        <f t="shared" si="334"/>
        <v>0</v>
      </c>
      <c r="K4274" s="141">
        <f t="shared" si="335"/>
        <v>0</v>
      </c>
    </row>
    <row r="4275" spans="7:11" hidden="1" x14ac:dyDescent="0.25">
      <c r="G4275">
        <f t="shared" si="331"/>
        <v>0</v>
      </c>
      <c r="H4275">
        <f t="shared" si="332"/>
        <v>0</v>
      </c>
      <c r="I4275" s="141">
        <f t="shared" si="333"/>
        <v>0</v>
      </c>
      <c r="J4275">
        <f t="shared" si="334"/>
        <v>0</v>
      </c>
      <c r="K4275" s="141">
        <f t="shared" si="335"/>
        <v>0</v>
      </c>
    </row>
    <row r="4276" spans="7:11" hidden="1" x14ac:dyDescent="0.25">
      <c r="G4276">
        <f t="shared" si="331"/>
        <v>0</v>
      </c>
      <c r="H4276">
        <f t="shared" si="332"/>
        <v>0</v>
      </c>
      <c r="I4276" s="141">
        <f t="shared" si="333"/>
        <v>0</v>
      </c>
      <c r="J4276">
        <f t="shared" si="334"/>
        <v>0</v>
      </c>
      <c r="K4276" s="141">
        <f t="shared" si="335"/>
        <v>0</v>
      </c>
    </row>
    <row r="4277" spans="7:11" hidden="1" x14ac:dyDescent="0.25">
      <c r="G4277">
        <f t="shared" si="331"/>
        <v>0</v>
      </c>
      <c r="H4277">
        <f t="shared" si="332"/>
        <v>0</v>
      </c>
      <c r="I4277" s="141">
        <f t="shared" si="333"/>
        <v>0</v>
      </c>
      <c r="J4277">
        <f t="shared" si="334"/>
        <v>0</v>
      </c>
      <c r="K4277" s="141">
        <f t="shared" si="335"/>
        <v>0</v>
      </c>
    </row>
    <row r="4278" spans="7:11" hidden="1" x14ac:dyDescent="0.25">
      <c r="G4278">
        <f t="shared" si="331"/>
        <v>0</v>
      </c>
      <c r="H4278">
        <f t="shared" si="332"/>
        <v>0</v>
      </c>
      <c r="I4278" s="141">
        <f t="shared" si="333"/>
        <v>0</v>
      </c>
      <c r="J4278">
        <f t="shared" si="334"/>
        <v>0</v>
      </c>
      <c r="K4278" s="141">
        <f t="shared" si="335"/>
        <v>0</v>
      </c>
    </row>
    <row r="4279" spans="7:11" hidden="1" x14ac:dyDescent="0.25">
      <c r="G4279">
        <f t="shared" si="331"/>
        <v>0</v>
      </c>
      <c r="H4279">
        <f t="shared" si="332"/>
        <v>0</v>
      </c>
      <c r="I4279" s="141">
        <f t="shared" si="333"/>
        <v>0</v>
      </c>
      <c r="J4279">
        <f t="shared" si="334"/>
        <v>0</v>
      </c>
      <c r="K4279" s="141">
        <f t="shared" si="335"/>
        <v>0</v>
      </c>
    </row>
    <row r="4280" spans="7:11" hidden="1" x14ac:dyDescent="0.25">
      <c r="G4280">
        <f t="shared" si="331"/>
        <v>0</v>
      </c>
      <c r="H4280">
        <f t="shared" si="332"/>
        <v>0</v>
      </c>
      <c r="I4280" s="141">
        <f t="shared" si="333"/>
        <v>0</v>
      </c>
      <c r="J4280">
        <f t="shared" si="334"/>
        <v>0</v>
      </c>
      <c r="K4280" s="141">
        <f t="shared" si="335"/>
        <v>0</v>
      </c>
    </row>
    <row r="4281" spans="7:11" hidden="1" x14ac:dyDescent="0.25">
      <c r="G4281">
        <f t="shared" si="331"/>
        <v>0</v>
      </c>
      <c r="H4281">
        <f t="shared" si="332"/>
        <v>0</v>
      </c>
      <c r="I4281" s="141">
        <f t="shared" si="333"/>
        <v>0</v>
      </c>
      <c r="J4281">
        <f t="shared" si="334"/>
        <v>0</v>
      </c>
      <c r="K4281" s="141">
        <f t="shared" si="335"/>
        <v>0</v>
      </c>
    </row>
    <row r="4282" spans="7:11" hidden="1" x14ac:dyDescent="0.25">
      <c r="G4282">
        <f t="shared" si="331"/>
        <v>0</v>
      </c>
      <c r="H4282">
        <f t="shared" si="332"/>
        <v>0</v>
      </c>
      <c r="I4282" s="141">
        <f t="shared" si="333"/>
        <v>0</v>
      </c>
      <c r="J4282">
        <f t="shared" si="334"/>
        <v>0</v>
      </c>
      <c r="K4282" s="141">
        <f t="shared" si="335"/>
        <v>0</v>
      </c>
    </row>
    <row r="4283" spans="7:11" hidden="1" x14ac:dyDescent="0.25">
      <c r="G4283">
        <f t="shared" si="331"/>
        <v>0</v>
      </c>
      <c r="H4283">
        <f t="shared" si="332"/>
        <v>0</v>
      </c>
      <c r="I4283" s="141">
        <f t="shared" si="333"/>
        <v>0</v>
      </c>
      <c r="J4283">
        <f t="shared" si="334"/>
        <v>0</v>
      </c>
      <c r="K4283" s="141">
        <f t="shared" si="335"/>
        <v>0</v>
      </c>
    </row>
    <row r="4284" spans="7:11" hidden="1" x14ac:dyDescent="0.25">
      <c r="G4284">
        <f t="shared" si="331"/>
        <v>0</v>
      </c>
      <c r="H4284">
        <f t="shared" si="332"/>
        <v>0</v>
      </c>
      <c r="I4284" s="141">
        <f t="shared" si="333"/>
        <v>0</v>
      </c>
      <c r="J4284">
        <f t="shared" si="334"/>
        <v>0</v>
      </c>
      <c r="K4284" s="141">
        <f t="shared" si="335"/>
        <v>0</v>
      </c>
    </row>
    <row r="4285" spans="7:11" hidden="1" x14ac:dyDescent="0.25">
      <c r="G4285">
        <f t="shared" si="331"/>
        <v>0</v>
      </c>
      <c r="H4285">
        <f t="shared" si="332"/>
        <v>0</v>
      </c>
      <c r="I4285" s="141">
        <f t="shared" si="333"/>
        <v>0</v>
      </c>
      <c r="J4285">
        <f t="shared" si="334"/>
        <v>0</v>
      </c>
      <c r="K4285" s="141">
        <f t="shared" si="335"/>
        <v>0</v>
      </c>
    </row>
    <row r="4286" spans="7:11" hidden="1" x14ac:dyDescent="0.25">
      <c r="G4286">
        <f t="shared" si="331"/>
        <v>0</v>
      </c>
      <c r="H4286">
        <f t="shared" si="332"/>
        <v>0</v>
      </c>
      <c r="I4286" s="141">
        <f t="shared" si="333"/>
        <v>0</v>
      </c>
      <c r="J4286">
        <f t="shared" si="334"/>
        <v>0</v>
      </c>
      <c r="K4286" s="141">
        <f t="shared" si="335"/>
        <v>0</v>
      </c>
    </row>
    <row r="4287" spans="7:11" hidden="1" x14ac:dyDescent="0.25">
      <c r="G4287">
        <f t="shared" si="331"/>
        <v>0</v>
      </c>
      <c r="H4287">
        <f t="shared" si="332"/>
        <v>0</v>
      </c>
      <c r="I4287" s="141">
        <f t="shared" si="333"/>
        <v>0</v>
      </c>
      <c r="J4287">
        <f t="shared" si="334"/>
        <v>0</v>
      </c>
      <c r="K4287" s="141">
        <f t="shared" si="335"/>
        <v>0</v>
      </c>
    </row>
    <row r="4288" spans="7:11" hidden="1" x14ac:dyDescent="0.25">
      <c r="G4288">
        <f t="shared" si="331"/>
        <v>0</v>
      </c>
      <c r="H4288">
        <f t="shared" si="332"/>
        <v>0</v>
      </c>
      <c r="I4288" s="141">
        <f t="shared" si="333"/>
        <v>0</v>
      </c>
      <c r="J4288">
        <f t="shared" si="334"/>
        <v>0</v>
      </c>
      <c r="K4288" s="141">
        <f t="shared" si="335"/>
        <v>0</v>
      </c>
    </row>
    <row r="4289" spans="7:11" hidden="1" x14ac:dyDescent="0.25">
      <c r="G4289">
        <f t="shared" si="331"/>
        <v>0</v>
      </c>
      <c r="H4289">
        <f t="shared" si="332"/>
        <v>0</v>
      </c>
      <c r="I4289" s="141">
        <f t="shared" si="333"/>
        <v>0</v>
      </c>
      <c r="J4289">
        <f t="shared" si="334"/>
        <v>0</v>
      </c>
      <c r="K4289" s="141">
        <f t="shared" si="335"/>
        <v>0</v>
      </c>
    </row>
    <row r="4290" spans="7:11" hidden="1" x14ac:dyDescent="0.25">
      <c r="G4290">
        <f t="shared" ref="G4290:G4353" si="336">A4290</f>
        <v>0</v>
      </c>
      <c r="H4290">
        <f t="shared" ref="H4290:H4353" si="337">B4290</f>
        <v>0</v>
      </c>
      <c r="I4290" s="141">
        <f t="shared" ref="I4290:I4353" si="338">C4290</f>
        <v>0</v>
      </c>
      <c r="J4290">
        <f t="shared" ref="J4290:J4353" si="339">D4290</f>
        <v>0</v>
      </c>
      <c r="K4290" s="141">
        <f t="shared" ref="K4290:K4353" si="340">E4290</f>
        <v>0</v>
      </c>
    </row>
    <row r="4291" spans="7:11" hidden="1" x14ac:dyDescent="0.25">
      <c r="G4291">
        <f t="shared" si="336"/>
        <v>0</v>
      </c>
      <c r="H4291">
        <f t="shared" si="337"/>
        <v>0</v>
      </c>
      <c r="I4291" s="141">
        <f t="shared" si="338"/>
        <v>0</v>
      </c>
      <c r="J4291">
        <f t="shared" si="339"/>
        <v>0</v>
      </c>
      <c r="K4291" s="141">
        <f t="shared" si="340"/>
        <v>0</v>
      </c>
    </row>
    <row r="4292" spans="7:11" hidden="1" x14ac:dyDescent="0.25">
      <c r="G4292">
        <f t="shared" si="336"/>
        <v>0</v>
      </c>
      <c r="H4292">
        <f t="shared" si="337"/>
        <v>0</v>
      </c>
      <c r="I4292" s="141">
        <f t="shared" si="338"/>
        <v>0</v>
      </c>
      <c r="J4292">
        <f t="shared" si="339"/>
        <v>0</v>
      </c>
      <c r="K4292" s="141">
        <f t="shared" si="340"/>
        <v>0</v>
      </c>
    </row>
    <row r="4293" spans="7:11" hidden="1" x14ac:dyDescent="0.25">
      <c r="G4293">
        <f t="shared" si="336"/>
        <v>0</v>
      </c>
      <c r="H4293">
        <f t="shared" si="337"/>
        <v>0</v>
      </c>
      <c r="I4293" s="141">
        <f t="shared" si="338"/>
        <v>0</v>
      </c>
      <c r="J4293">
        <f t="shared" si="339"/>
        <v>0</v>
      </c>
      <c r="K4293" s="141">
        <f t="shared" si="340"/>
        <v>0</v>
      </c>
    </row>
    <row r="4294" spans="7:11" hidden="1" x14ac:dyDescent="0.25">
      <c r="G4294">
        <f t="shared" si="336"/>
        <v>0</v>
      </c>
      <c r="H4294">
        <f t="shared" si="337"/>
        <v>0</v>
      </c>
      <c r="I4294" s="141">
        <f t="shared" si="338"/>
        <v>0</v>
      </c>
      <c r="J4294">
        <f t="shared" si="339"/>
        <v>0</v>
      </c>
      <c r="K4294" s="141">
        <f t="shared" si="340"/>
        <v>0</v>
      </c>
    </row>
    <row r="4295" spans="7:11" hidden="1" x14ac:dyDescent="0.25">
      <c r="G4295">
        <f t="shared" si="336"/>
        <v>0</v>
      </c>
      <c r="H4295">
        <f t="shared" si="337"/>
        <v>0</v>
      </c>
      <c r="I4295" s="141">
        <f t="shared" si="338"/>
        <v>0</v>
      </c>
      <c r="J4295">
        <f t="shared" si="339"/>
        <v>0</v>
      </c>
      <c r="K4295" s="141">
        <f t="shared" si="340"/>
        <v>0</v>
      </c>
    </row>
    <row r="4296" spans="7:11" hidden="1" x14ac:dyDescent="0.25">
      <c r="G4296">
        <f t="shared" si="336"/>
        <v>0</v>
      </c>
      <c r="H4296">
        <f t="shared" si="337"/>
        <v>0</v>
      </c>
      <c r="I4296" s="141">
        <f t="shared" si="338"/>
        <v>0</v>
      </c>
      <c r="J4296">
        <f t="shared" si="339"/>
        <v>0</v>
      </c>
      <c r="K4296" s="141">
        <f t="shared" si="340"/>
        <v>0</v>
      </c>
    </row>
    <row r="4297" spans="7:11" hidden="1" x14ac:dyDescent="0.25">
      <c r="G4297">
        <f t="shared" si="336"/>
        <v>0</v>
      </c>
      <c r="H4297">
        <f t="shared" si="337"/>
        <v>0</v>
      </c>
      <c r="I4297" s="141">
        <f t="shared" si="338"/>
        <v>0</v>
      </c>
      <c r="J4297">
        <f t="shared" si="339"/>
        <v>0</v>
      </c>
      <c r="K4297" s="141">
        <f t="shared" si="340"/>
        <v>0</v>
      </c>
    </row>
    <row r="4298" spans="7:11" hidden="1" x14ac:dyDescent="0.25">
      <c r="G4298">
        <f t="shared" si="336"/>
        <v>0</v>
      </c>
      <c r="H4298">
        <f t="shared" si="337"/>
        <v>0</v>
      </c>
      <c r="I4298" s="141">
        <f t="shared" si="338"/>
        <v>0</v>
      </c>
      <c r="J4298">
        <f t="shared" si="339"/>
        <v>0</v>
      </c>
      <c r="K4298" s="141">
        <f t="shared" si="340"/>
        <v>0</v>
      </c>
    </row>
    <row r="4299" spans="7:11" hidden="1" x14ac:dyDescent="0.25">
      <c r="G4299">
        <f t="shared" si="336"/>
        <v>0</v>
      </c>
      <c r="H4299">
        <f t="shared" si="337"/>
        <v>0</v>
      </c>
      <c r="I4299" s="141">
        <f t="shared" si="338"/>
        <v>0</v>
      </c>
      <c r="J4299">
        <f t="shared" si="339"/>
        <v>0</v>
      </c>
      <c r="K4299" s="141">
        <f t="shared" si="340"/>
        <v>0</v>
      </c>
    </row>
    <row r="4300" spans="7:11" hidden="1" x14ac:dyDescent="0.25">
      <c r="G4300">
        <f t="shared" si="336"/>
        <v>0</v>
      </c>
      <c r="H4300">
        <f t="shared" si="337"/>
        <v>0</v>
      </c>
      <c r="I4300" s="141">
        <f t="shared" si="338"/>
        <v>0</v>
      </c>
      <c r="J4300">
        <f t="shared" si="339"/>
        <v>0</v>
      </c>
      <c r="K4300" s="141">
        <f t="shared" si="340"/>
        <v>0</v>
      </c>
    </row>
    <row r="4301" spans="7:11" hidden="1" x14ac:dyDescent="0.25">
      <c r="G4301">
        <f t="shared" si="336"/>
        <v>0</v>
      </c>
      <c r="H4301">
        <f t="shared" si="337"/>
        <v>0</v>
      </c>
      <c r="I4301" s="141">
        <f t="shared" si="338"/>
        <v>0</v>
      </c>
      <c r="J4301">
        <f t="shared" si="339"/>
        <v>0</v>
      </c>
      <c r="K4301" s="141">
        <f t="shared" si="340"/>
        <v>0</v>
      </c>
    </row>
    <row r="4302" spans="7:11" hidden="1" x14ac:dyDescent="0.25">
      <c r="G4302">
        <f t="shared" si="336"/>
        <v>0</v>
      </c>
      <c r="H4302">
        <f t="shared" si="337"/>
        <v>0</v>
      </c>
      <c r="I4302" s="141">
        <f t="shared" si="338"/>
        <v>0</v>
      </c>
      <c r="J4302">
        <f t="shared" si="339"/>
        <v>0</v>
      </c>
      <c r="K4302" s="141">
        <f t="shared" si="340"/>
        <v>0</v>
      </c>
    </row>
    <row r="4303" spans="7:11" hidden="1" x14ac:dyDescent="0.25">
      <c r="G4303">
        <f t="shared" si="336"/>
        <v>0</v>
      </c>
      <c r="H4303">
        <f t="shared" si="337"/>
        <v>0</v>
      </c>
      <c r="I4303" s="141">
        <f t="shared" si="338"/>
        <v>0</v>
      </c>
      <c r="J4303">
        <f t="shared" si="339"/>
        <v>0</v>
      </c>
      <c r="K4303" s="141">
        <f t="shared" si="340"/>
        <v>0</v>
      </c>
    </row>
    <row r="4304" spans="7:11" hidden="1" x14ac:dyDescent="0.25">
      <c r="G4304">
        <f t="shared" si="336"/>
        <v>0</v>
      </c>
      <c r="H4304">
        <f t="shared" si="337"/>
        <v>0</v>
      </c>
      <c r="I4304" s="141">
        <f t="shared" si="338"/>
        <v>0</v>
      </c>
      <c r="J4304">
        <f t="shared" si="339"/>
        <v>0</v>
      </c>
      <c r="K4304" s="141">
        <f t="shared" si="340"/>
        <v>0</v>
      </c>
    </row>
    <row r="4305" spans="7:11" hidden="1" x14ac:dyDescent="0.25">
      <c r="G4305">
        <f t="shared" si="336"/>
        <v>0</v>
      </c>
      <c r="H4305">
        <f t="shared" si="337"/>
        <v>0</v>
      </c>
      <c r="I4305" s="141">
        <f t="shared" si="338"/>
        <v>0</v>
      </c>
      <c r="J4305">
        <f t="shared" si="339"/>
        <v>0</v>
      </c>
      <c r="K4305" s="141">
        <f t="shared" si="340"/>
        <v>0</v>
      </c>
    </row>
    <row r="4306" spans="7:11" hidden="1" x14ac:dyDescent="0.25">
      <c r="G4306">
        <f t="shared" si="336"/>
        <v>0</v>
      </c>
      <c r="H4306">
        <f t="shared" si="337"/>
        <v>0</v>
      </c>
      <c r="I4306" s="141">
        <f t="shared" si="338"/>
        <v>0</v>
      </c>
      <c r="J4306">
        <f t="shared" si="339"/>
        <v>0</v>
      </c>
      <c r="K4306" s="141">
        <f t="shared" si="340"/>
        <v>0</v>
      </c>
    </row>
    <row r="4307" spans="7:11" hidden="1" x14ac:dyDescent="0.25">
      <c r="G4307">
        <f t="shared" si="336"/>
        <v>0</v>
      </c>
      <c r="H4307">
        <f t="shared" si="337"/>
        <v>0</v>
      </c>
      <c r="I4307" s="141">
        <f t="shared" si="338"/>
        <v>0</v>
      </c>
      <c r="J4307">
        <f t="shared" si="339"/>
        <v>0</v>
      </c>
      <c r="K4307" s="141">
        <f t="shared" si="340"/>
        <v>0</v>
      </c>
    </row>
    <row r="4308" spans="7:11" hidden="1" x14ac:dyDescent="0.25">
      <c r="G4308">
        <f t="shared" si="336"/>
        <v>0</v>
      </c>
      <c r="H4308">
        <f t="shared" si="337"/>
        <v>0</v>
      </c>
      <c r="I4308" s="141">
        <f t="shared" si="338"/>
        <v>0</v>
      </c>
      <c r="J4308">
        <f t="shared" si="339"/>
        <v>0</v>
      </c>
      <c r="K4308" s="141">
        <f t="shared" si="340"/>
        <v>0</v>
      </c>
    </row>
    <row r="4309" spans="7:11" hidden="1" x14ac:dyDescent="0.25">
      <c r="G4309">
        <f t="shared" si="336"/>
        <v>0</v>
      </c>
      <c r="H4309">
        <f t="shared" si="337"/>
        <v>0</v>
      </c>
      <c r="I4309" s="141">
        <f t="shared" si="338"/>
        <v>0</v>
      </c>
      <c r="J4309">
        <f t="shared" si="339"/>
        <v>0</v>
      </c>
      <c r="K4309" s="141">
        <f t="shared" si="340"/>
        <v>0</v>
      </c>
    </row>
    <row r="4310" spans="7:11" hidden="1" x14ac:dyDescent="0.25">
      <c r="G4310">
        <f t="shared" si="336"/>
        <v>0</v>
      </c>
      <c r="H4310">
        <f t="shared" si="337"/>
        <v>0</v>
      </c>
      <c r="I4310" s="141">
        <f t="shared" si="338"/>
        <v>0</v>
      </c>
      <c r="J4310">
        <f t="shared" si="339"/>
        <v>0</v>
      </c>
      <c r="K4310" s="141">
        <f t="shared" si="340"/>
        <v>0</v>
      </c>
    </row>
    <row r="4311" spans="7:11" hidden="1" x14ac:dyDescent="0.25">
      <c r="G4311">
        <f t="shared" si="336"/>
        <v>0</v>
      </c>
      <c r="H4311">
        <f t="shared" si="337"/>
        <v>0</v>
      </c>
      <c r="I4311" s="141">
        <f t="shared" si="338"/>
        <v>0</v>
      </c>
      <c r="J4311">
        <f t="shared" si="339"/>
        <v>0</v>
      </c>
      <c r="K4311" s="141">
        <f t="shared" si="340"/>
        <v>0</v>
      </c>
    </row>
    <row r="4312" spans="7:11" hidden="1" x14ac:dyDescent="0.25">
      <c r="G4312">
        <f t="shared" si="336"/>
        <v>0</v>
      </c>
      <c r="H4312">
        <f t="shared" si="337"/>
        <v>0</v>
      </c>
      <c r="I4312" s="141">
        <f t="shared" si="338"/>
        <v>0</v>
      </c>
      <c r="J4312">
        <f t="shared" si="339"/>
        <v>0</v>
      </c>
      <c r="K4312" s="141">
        <f t="shared" si="340"/>
        <v>0</v>
      </c>
    </row>
    <row r="4313" spans="7:11" hidden="1" x14ac:dyDescent="0.25">
      <c r="G4313">
        <f t="shared" si="336"/>
        <v>0</v>
      </c>
      <c r="H4313">
        <f t="shared" si="337"/>
        <v>0</v>
      </c>
      <c r="I4313" s="141">
        <f t="shared" si="338"/>
        <v>0</v>
      </c>
      <c r="J4313">
        <f t="shared" si="339"/>
        <v>0</v>
      </c>
      <c r="K4313" s="141">
        <f t="shared" si="340"/>
        <v>0</v>
      </c>
    </row>
    <row r="4314" spans="7:11" hidden="1" x14ac:dyDescent="0.25">
      <c r="G4314">
        <f t="shared" si="336"/>
        <v>0</v>
      </c>
      <c r="H4314">
        <f t="shared" si="337"/>
        <v>0</v>
      </c>
      <c r="I4314" s="141">
        <f t="shared" si="338"/>
        <v>0</v>
      </c>
      <c r="J4314">
        <f t="shared" si="339"/>
        <v>0</v>
      </c>
      <c r="K4314" s="141">
        <f t="shared" si="340"/>
        <v>0</v>
      </c>
    </row>
    <row r="4315" spans="7:11" hidden="1" x14ac:dyDescent="0.25">
      <c r="G4315">
        <f t="shared" si="336"/>
        <v>0</v>
      </c>
      <c r="H4315">
        <f t="shared" si="337"/>
        <v>0</v>
      </c>
      <c r="I4315" s="141">
        <f t="shared" si="338"/>
        <v>0</v>
      </c>
      <c r="J4315">
        <f t="shared" si="339"/>
        <v>0</v>
      </c>
      <c r="K4315" s="141">
        <f t="shared" si="340"/>
        <v>0</v>
      </c>
    </row>
    <row r="4316" spans="7:11" hidden="1" x14ac:dyDescent="0.25">
      <c r="G4316">
        <f t="shared" si="336"/>
        <v>0</v>
      </c>
      <c r="H4316">
        <f t="shared" si="337"/>
        <v>0</v>
      </c>
      <c r="I4316" s="141">
        <f t="shared" si="338"/>
        <v>0</v>
      </c>
      <c r="J4316">
        <f t="shared" si="339"/>
        <v>0</v>
      </c>
      <c r="K4316" s="141">
        <f t="shared" si="340"/>
        <v>0</v>
      </c>
    </row>
    <row r="4317" spans="7:11" hidden="1" x14ac:dyDescent="0.25">
      <c r="G4317">
        <f t="shared" si="336"/>
        <v>0</v>
      </c>
      <c r="H4317">
        <f t="shared" si="337"/>
        <v>0</v>
      </c>
      <c r="I4317" s="141">
        <f t="shared" si="338"/>
        <v>0</v>
      </c>
      <c r="J4317">
        <f t="shared" si="339"/>
        <v>0</v>
      </c>
      <c r="K4317" s="141">
        <f t="shared" si="340"/>
        <v>0</v>
      </c>
    </row>
    <row r="4318" spans="7:11" hidden="1" x14ac:dyDescent="0.25">
      <c r="G4318">
        <f t="shared" si="336"/>
        <v>0</v>
      </c>
      <c r="H4318">
        <f t="shared" si="337"/>
        <v>0</v>
      </c>
      <c r="I4318" s="141">
        <f t="shared" si="338"/>
        <v>0</v>
      </c>
      <c r="J4318">
        <f t="shared" si="339"/>
        <v>0</v>
      </c>
      <c r="K4318" s="141">
        <f t="shared" si="340"/>
        <v>0</v>
      </c>
    </row>
    <row r="4319" spans="7:11" hidden="1" x14ac:dyDescent="0.25">
      <c r="G4319">
        <f t="shared" si="336"/>
        <v>0</v>
      </c>
      <c r="H4319">
        <f t="shared" si="337"/>
        <v>0</v>
      </c>
      <c r="I4319" s="141">
        <f t="shared" si="338"/>
        <v>0</v>
      </c>
      <c r="J4319">
        <f t="shared" si="339"/>
        <v>0</v>
      </c>
      <c r="K4319" s="141">
        <f t="shared" si="340"/>
        <v>0</v>
      </c>
    </row>
    <row r="4320" spans="7:11" hidden="1" x14ac:dyDescent="0.25">
      <c r="G4320">
        <f t="shared" si="336"/>
        <v>0</v>
      </c>
      <c r="H4320">
        <f t="shared" si="337"/>
        <v>0</v>
      </c>
      <c r="I4320" s="141">
        <f t="shared" si="338"/>
        <v>0</v>
      </c>
      <c r="J4320">
        <f t="shared" si="339"/>
        <v>0</v>
      </c>
      <c r="K4320" s="141">
        <f t="shared" si="340"/>
        <v>0</v>
      </c>
    </row>
    <row r="4321" spans="7:11" hidden="1" x14ac:dyDescent="0.25">
      <c r="G4321">
        <f t="shared" si="336"/>
        <v>0</v>
      </c>
      <c r="H4321">
        <f t="shared" si="337"/>
        <v>0</v>
      </c>
      <c r="I4321" s="141">
        <f t="shared" si="338"/>
        <v>0</v>
      </c>
      <c r="J4321">
        <f t="shared" si="339"/>
        <v>0</v>
      </c>
      <c r="K4321" s="141">
        <f t="shared" si="340"/>
        <v>0</v>
      </c>
    </row>
    <row r="4322" spans="7:11" hidden="1" x14ac:dyDescent="0.25">
      <c r="G4322">
        <f t="shared" si="336"/>
        <v>0</v>
      </c>
      <c r="H4322">
        <f t="shared" si="337"/>
        <v>0</v>
      </c>
      <c r="I4322" s="141">
        <f t="shared" si="338"/>
        <v>0</v>
      </c>
      <c r="J4322">
        <f t="shared" si="339"/>
        <v>0</v>
      </c>
      <c r="K4322" s="141">
        <f t="shared" si="340"/>
        <v>0</v>
      </c>
    </row>
    <row r="4323" spans="7:11" hidden="1" x14ac:dyDescent="0.25">
      <c r="G4323">
        <f t="shared" si="336"/>
        <v>0</v>
      </c>
      <c r="H4323">
        <f t="shared" si="337"/>
        <v>0</v>
      </c>
      <c r="I4323" s="141">
        <f t="shared" si="338"/>
        <v>0</v>
      </c>
      <c r="J4323">
        <f t="shared" si="339"/>
        <v>0</v>
      </c>
      <c r="K4323" s="141">
        <f t="shared" si="340"/>
        <v>0</v>
      </c>
    </row>
    <row r="4324" spans="7:11" hidden="1" x14ac:dyDescent="0.25">
      <c r="G4324">
        <f t="shared" si="336"/>
        <v>0</v>
      </c>
      <c r="H4324">
        <f t="shared" si="337"/>
        <v>0</v>
      </c>
      <c r="I4324" s="141">
        <f t="shared" si="338"/>
        <v>0</v>
      </c>
      <c r="J4324">
        <f t="shared" si="339"/>
        <v>0</v>
      </c>
      <c r="K4324" s="141">
        <f t="shared" si="340"/>
        <v>0</v>
      </c>
    </row>
    <row r="4325" spans="7:11" hidden="1" x14ac:dyDescent="0.25">
      <c r="G4325">
        <f t="shared" si="336"/>
        <v>0</v>
      </c>
      <c r="H4325">
        <f t="shared" si="337"/>
        <v>0</v>
      </c>
      <c r="I4325" s="141">
        <f t="shared" si="338"/>
        <v>0</v>
      </c>
      <c r="J4325">
        <f t="shared" si="339"/>
        <v>0</v>
      </c>
      <c r="K4325" s="141">
        <f t="shared" si="340"/>
        <v>0</v>
      </c>
    </row>
    <row r="4326" spans="7:11" hidden="1" x14ac:dyDescent="0.25">
      <c r="G4326">
        <f t="shared" si="336"/>
        <v>0</v>
      </c>
      <c r="H4326">
        <f t="shared" si="337"/>
        <v>0</v>
      </c>
      <c r="I4326" s="141">
        <f t="shared" si="338"/>
        <v>0</v>
      </c>
      <c r="J4326">
        <f t="shared" si="339"/>
        <v>0</v>
      </c>
      <c r="K4326" s="141">
        <f t="shared" si="340"/>
        <v>0</v>
      </c>
    </row>
    <row r="4327" spans="7:11" hidden="1" x14ac:dyDescent="0.25">
      <c r="G4327">
        <f t="shared" si="336"/>
        <v>0</v>
      </c>
      <c r="H4327">
        <f t="shared" si="337"/>
        <v>0</v>
      </c>
      <c r="I4327" s="141">
        <f t="shared" si="338"/>
        <v>0</v>
      </c>
      <c r="J4327">
        <f t="shared" si="339"/>
        <v>0</v>
      </c>
      <c r="K4327" s="141">
        <f t="shared" si="340"/>
        <v>0</v>
      </c>
    </row>
    <row r="4328" spans="7:11" hidden="1" x14ac:dyDescent="0.25">
      <c r="G4328">
        <f t="shared" si="336"/>
        <v>0</v>
      </c>
      <c r="H4328">
        <f t="shared" si="337"/>
        <v>0</v>
      </c>
      <c r="I4328" s="141">
        <f t="shared" si="338"/>
        <v>0</v>
      </c>
      <c r="J4328">
        <f t="shared" si="339"/>
        <v>0</v>
      </c>
      <c r="K4328" s="141">
        <f t="shared" si="340"/>
        <v>0</v>
      </c>
    </row>
    <row r="4329" spans="7:11" hidden="1" x14ac:dyDescent="0.25">
      <c r="G4329">
        <f t="shared" si="336"/>
        <v>0</v>
      </c>
      <c r="H4329">
        <f t="shared" si="337"/>
        <v>0</v>
      </c>
      <c r="I4329" s="141">
        <f t="shared" si="338"/>
        <v>0</v>
      </c>
      <c r="J4329">
        <f t="shared" si="339"/>
        <v>0</v>
      </c>
      <c r="K4329" s="141">
        <f t="shared" si="340"/>
        <v>0</v>
      </c>
    </row>
    <row r="4330" spans="7:11" hidden="1" x14ac:dyDescent="0.25">
      <c r="G4330">
        <f t="shared" si="336"/>
        <v>0</v>
      </c>
      <c r="H4330">
        <f t="shared" si="337"/>
        <v>0</v>
      </c>
      <c r="I4330" s="141">
        <f t="shared" si="338"/>
        <v>0</v>
      </c>
      <c r="J4330">
        <f t="shared" si="339"/>
        <v>0</v>
      </c>
      <c r="K4330" s="141">
        <f t="shared" si="340"/>
        <v>0</v>
      </c>
    </row>
    <row r="4331" spans="7:11" hidden="1" x14ac:dyDescent="0.25">
      <c r="G4331">
        <f t="shared" si="336"/>
        <v>0</v>
      </c>
      <c r="H4331">
        <f t="shared" si="337"/>
        <v>0</v>
      </c>
      <c r="I4331" s="141">
        <f t="shared" si="338"/>
        <v>0</v>
      </c>
      <c r="J4331">
        <f t="shared" si="339"/>
        <v>0</v>
      </c>
      <c r="K4331" s="141">
        <f t="shared" si="340"/>
        <v>0</v>
      </c>
    </row>
    <row r="4332" spans="7:11" hidden="1" x14ac:dyDescent="0.25">
      <c r="G4332">
        <f t="shared" si="336"/>
        <v>0</v>
      </c>
      <c r="H4332">
        <f t="shared" si="337"/>
        <v>0</v>
      </c>
      <c r="I4332" s="141">
        <f t="shared" si="338"/>
        <v>0</v>
      </c>
      <c r="J4332">
        <f t="shared" si="339"/>
        <v>0</v>
      </c>
      <c r="K4332" s="141">
        <f t="shared" si="340"/>
        <v>0</v>
      </c>
    </row>
    <row r="4333" spans="7:11" hidden="1" x14ac:dyDescent="0.25">
      <c r="G4333">
        <f t="shared" si="336"/>
        <v>0</v>
      </c>
      <c r="H4333">
        <f t="shared" si="337"/>
        <v>0</v>
      </c>
      <c r="I4333" s="141">
        <f t="shared" si="338"/>
        <v>0</v>
      </c>
      <c r="J4333">
        <f t="shared" si="339"/>
        <v>0</v>
      </c>
      <c r="K4333" s="141">
        <f t="shared" si="340"/>
        <v>0</v>
      </c>
    </row>
    <row r="4334" spans="7:11" hidden="1" x14ac:dyDescent="0.25">
      <c r="G4334">
        <f t="shared" si="336"/>
        <v>0</v>
      </c>
      <c r="H4334">
        <f t="shared" si="337"/>
        <v>0</v>
      </c>
      <c r="I4334" s="141">
        <f t="shared" si="338"/>
        <v>0</v>
      </c>
      <c r="J4334">
        <f t="shared" si="339"/>
        <v>0</v>
      </c>
      <c r="K4334" s="141">
        <f t="shared" si="340"/>
        <v>0</v>
      </c>
    </row>
    <row r="4335" spans="7:11" hidden="1" x14ac:dyDescent="0.25">
      <c r="G4335">
        <f t="shared" si="336"/>
        <v>0</v>
      </c>
      <c r="H4335">
        <f t="shared" si="337"/>
        <v>0</v>
      </c>
      <c r="I4335" s="141">
        <f t="shared" si="338"/>
        <v>0</v>
      </c>
      <c r="J4335">
        <f t="shared" si="339"/>
        <v>0</v>
      </c>
      <c r="K4335" s="141">
        <f t="shared" si="340"/>
        <v>0</v>
      </c>
    </row>
    <row r="4336" spans="7:11" hidden="1" x14ac:dyDescent="0.25">
      <c r="G4336">
        <f t="shared" si="336"/>
        <v>0</v>
      </c>
      <c r="H4336">
        <f t="shared" si="337"/>
        <v>0</v>
      </c>
      <c r="I4336" s="141">
        <f t="shared" si="338"/>
        <v>0</v>
      </c>
      <c r="J4336">
        <f t="shared" si="339"/>
        <v>0</v>
      </c>
      <c r="K4336" s="141">
        <f t="shared" si="340"/>
        <v>0</v>
      </c>
    </row>
    <row r="4337" spans="7:11" hidden="1" x14ac:dyDescent="0.25">
      <c r="G4337">
        <f t="shared" si="336"/>
        <v>0</v>
      </c>
      <c r="H4337">
        <f t="shared" si="337"/>
        <v>0</v>
      </c>
      <c r="I4337" s="141">
        <f t="shared" si="338"/>
        <v>0</v>
      </c>
      <c r="J4337">
        <f t="shared" si="339"/>
        <v>0</v>
      </c>
      <c r="K4337" s="141">
        <f t="shared" si="340"/>
        <v>0</v>
      </c>
    </row>
    <row r="4338" spans="7:11" hidden="1" x14ac:dyDescent="0.25">
      <c r="G4338">
        <f t="shared" si="336"/>
        <v>0</v>
      </c>
      <c r="H4338">
        <f t="shared" si="337"/>
        <v>0</v>
      </c>
      <c r="I4338" s="141">
        <f t="shared" si="338"/>
        <v>0</v>
      </c>
      <c r="J4338">
        <f t="shared" si="339"/>
        <v>0</v>
      </c>
      <c r="K4338" s="141">
        <f t="shared" si="340"/>
        <v>0</v>
      </c>
    </row>
    <row r="4339" spans="7:11" hidden="1" x14ac:dyDescent="0.25">
      <c r="G4339">
        <f t="shared" si="336"/>
        <v>0</v>
      </c>
      <c r="H4339">
        <f t="shared" si="337"/>
        <v>0</v>
      </c>
      <c r="I4339" s="141">
        <f t="shared" si="338"/>
        <v>0</v>
      </c>
      <c r="J4339">
        <f t="shared" si="339"/>
        <v>0</v>
      </c>
      <c r="K4339" s="141">
        <f t="shared" si="340"/>
        <v>0</v>
      </c>
    </row>
    <row r="4340" spans="7:11" hidden="1" x14ac:dyDescent="0.25">
      <c r="G4340">
        <f t="shared" si="336"/>
        <v>0</v>
      </c>
      <c r="H4340">
        <f t="shared" si="337"/>
        <v>0</v>
      </c>
      <c r="I4340" s="141">
        <f t="shared" si="338"/>
        <v>0</v>
      </c>
      <c r="J4340">
        <f t="shared" si="339"/>
        <v>0</v>
      </c>
      <c r="K4340" s="141">
        <f t="shared" si="340"/>
        <v>0</v>
      </c>
    </row>
    <row r="4341" spans="7:11" hidden="1" x14ac:dyDescent="0.25">
      <c r="G4341">
        <f t="shared" si="336"/>
        <v>0</v>
      </c>
      <c r="H4341">
        <f t="shared" si="337"/>
        <v>0</v>
      </c>
      <c r="I4341" s="141">
        <f t="shared" si="338"/>
        <v>0</v>
      </c>
      <c r="J4341">
        <f t="shared" si="339"/>
        <v>0</v>
      </c>
      <c r="K4341" s="141">
        <f t="shared" si="340"/>
        <v>0</v>
      </c>
    </row>
    <row r="4342" spans="7:11" hidden="1" x14ac:dyDescent="0.25">
      <c r="G4342">
        <f t="shared" si="336"/>
        <v>0</v>
      </c>
      <c r="H4342">
        <f t="shared" si="337"/>
        <v>0</v>
      </c>
      <c r="I4342" s="141">
        <f t="shared" si="338"/>
        <v>0</v>
      </c>
      <c r="J4342">
        <f t="shared" si="339"/>
        <v>0</v>
      </c>
      <c r="K4342" s="141">
        <f t="shared" si="340"/>
        <v>0</v>
      </c>
    </row>
    <row r="4343" spans="7:11" hidden="1" x14ac:dyDescent="0.25">
      <c r="G4343">
        <f t="shared" si="336"/>
        <v>0</v>
      </c>
      <c r="H4343">
        <f t="shared" si="337"/>
        <v>0</v>
      </c>
      <c r="I4343" s="141">
        <f t="shared" si="338"/>
        <v>0</v>
      </c>
      <c r="J4343">
        <f t="shared" si="339"/>
        <v>0</v>
      </c>
      <c r="K4343" s="141">
        <f t="shared" si="340"/>
        <v>0</v>
      </c>
    </row>
    <row r="4344" spans="7:11" hidden="1" x14ac:dyDescent="0.25">
      <c r="G4344">
        <f t="shared" si="336"/>
        <v>0</v>
      </c>
      <c r="H4344">
        <f t="shared" si="337"/>
        <v>0</v>
      </c>
      <c r="I4344" s="141">
        <f t="shared" si="338"/>
        <v>0</v>
      </c>
      <c r="J4344">
        <f t="shared" si="339"/>
        <v>0</v>
      </c>
      <c r="K4344" s="141">
        <f t="shared" si="340"/>
        <v>0</v>
      </c>
    </row>
    <row r="4345" spans="7:11" hidden="1" x14ac:dyDescent="0.25">
      <c r="G4345">
        <f t="shared" si="336"/>
        <v>0</v>
      </c>
      <c r="H4345">
        <f t="shared" si="337"/>
        <v>0</v>
      </c>
      <c r="I4345" s="141">
        <f t="shared" si="338"/>
        <v>0</v>
      </c>
      <c r="J4345">
        <f t="shared" si="339"/>
        <v>0</v>
      </c>
      <c r="K4345" s="141">
        <f t="shared" si="340"/>
        <v>0</v>
      </c>
    </row>
    <row r="4346" spans="7:11" hidden="1" x14ac:dyDescent="0.25">
      <c r="G4346">
        <f t="shared" si="336"/>
        <v>0</v>
      </c>
      <c r="H4346">
        <f t="shared" si="337"/>
        <v>0</v>
      </c>
      <c r="I4346" s="141">
        <f t="shared" si="338"/>
        <v>0</v>
      </c>
      <c r="J4346">
        <f t="shared" si="339"/>
        <v>0</v>
      </c>
      <c r="K4346" s="141">
        <f t="shared" si="340"/>
        <v>0</v>
      </c>
    </row>
    <row r="4347" spans="7:11" hidden="1" x14ac:dyDescent="0.25">
      <c r="G4347">
        <f t="shared" si="336"/>
        <v>0</v>
      </c>
      <c r="H4347">
        <f t="shared" si="337"/>
        <v>0</v>
      </c>
      <c r="I4347" s="141">
        <f t="shared" si="338"/>
        <v>0</v>
      </c>
      <c r="J4347">
        <f t="shared" si="339"/>
        <v>0</v>
      </c>
      <c r="K4347" s="141">
        <f t="shared" si="340"/>
        <v>0</v>
      </c>
    </row>
    <row r="4348" spans="7:11" hidden="1" x14ac:dyDescent="0.25">
      <c r="G4348">
        <f t="shared" si="336"/>
        <v>0</v>
      </c>
      <c r="H4348">
        <f t="shared" si="337"/>
        <v>0</v>
      </c>
      <c r="I4348" s="141">
        <f t="shared" si="338"/>
        <v>0</v>
      </c>
      <c r="J4348">
        <f t="shared" si="339"/>
        <v>0</v>
      </c>
      <c r="K4348" s="141">
        <f t="shared" si="340"/>
        <v>0</v>
      </c>
    </row>
    <row r="4349" spans="7:11" hidden="1" x14ac:dyDescent="0.25">
      <c r="G4349">
        <f t="shared" si="336"/>
        <v>0</v>
      </c>
      <c r="H4349">
        <f t="shared" si="337"/>
        <v>0</v>
      </c>
      <c r="I4349" s="141">
        <f t="shared" si="338"/>
        <v>0</v>
      </c>
      <c r="J4349">
        <f t="shared" si="339"/>
        <v>0</v>
      </c>
      <c r="K4349" s="141">
        <f t="shared" si="340"/>
        <v>0</v>
      </c>
    </row>
    <row r="4350" spans="7:11" hidden="1" x14ac:dyDescent="0.25">
      <c r="G4350">
        <f t="shared" si="336"/>
        <v>0</v>
      </c>
      <c r="H4350">
        <f t="shared" si="337"/>
        <v>0</v>
      </c>
      <c r="I4350" s="141">
        <f t="shared" si="338"/>
        <v>0</v>
      </c>
      <c r="J4350">
        <f t="shared" si="339"/>
        <v>0</v>
      </c>
      <c r="K4350" s="141">
        <f t="shared" si="340"/>
        <v>0</v>
      </c>
    </row>
    <row r="4351" spans="7:11" hidden="1" x14ac:dyDescent="0.25">
      <c r="G4351">
        <f t="shared" si="336"/>
        <v>0</v>
      </c>
      <c r="H4351">
        <f t="shared" si="337"/>
        <v>0</v>
      </c>
      <c r="I4351" s="141">
        <f t="shared" si="338"/>
        <v>0</v>
      </c>
      <c r="J4351">
        <f t="shared" si="339"/>
        <v>0</v>
      </c>
      <c r="K4351" s="141">
        <f t="shared" si="340"/>
        <v>0</v>
      </c>
    </row>
    <row r="4352" spans="7:11" hidden="1" x14ac:dyDescent="0.25">
      <c r="G4352">
        <f t="shared" si="336"/>
        <v>0</v>
      </c>
      <c r="H4352">
        <f t="shared" si="337"/>
        <v>0</v>
      </c>
      <c r="I4352" s="141">
        <f t="shared" si="338"/>
        <v>0</v>
      </c>
      <c r="J4352">
        <f t="shared" si="339"/>
        <v>0</v>
      </c>
      <c r="K4352" s="141">
        <f t="shared" si="340"/>
        <v>0</v>
      </c>
    </row>
    <row r="4353" spans="7:11" hidden="1" x14ac:dyDescent="0.25">
      <c r="G4353">
        <f t="shared" si="336"/>
        <v>0</v>
      </c>
      <c r="H4353">
        <f t="shared" si="337"/>
        <v>0</v>
      </c>
      <c r="I4353" s="141">
        <f t="shared" si="338"/>
        <v>0</v>
      </c>
      <c r="J4353">
        <f t="shared" si="339"/>
        <v>0</v>
      </c>
      <c r="K4353" s="141">
        <f t="shared" si="340"/>
        <v>0</v>
      </c>
    </row>
    <row r="4354" spans="7:11" hidden="1" x14ac:dyDescent="0.25">
      <c r="G4354">
        <f t="shared" ref="G4354:G4417" si="341">A4354</f>
        <v>0</v>
      </c>
      <c r="H4354">
        <f t="shared" ref="H4354:H4417" si="342">B4354</f>
        <v>0</v>
      </c>
      <c r="I4354" s="141">
        <f t="shared" ref="I4354:I4417" si="343">C4354</f>
        <v>0</v>
      </c>
      <c r="J4354">
        <f t="shared" ref="J4354:J4417" si="344">D4354</f>
        <v>0</v>
      </c>
      <c r="K4354" s="141">
        <f t="shared" ref="K4354:K4417" si="345">E4354</f>
        <v>0</v>
      </c>
    </row>
    <row r="4355" spans="7:11" hidden="1" x14ac:dyDescent="0.25">
      <c r="G4355">
        <f t="shared" si="341"/>
        <v>0</v>
      </c>
      <c r="H4355">
        <f t="shared" si="342"/>
        <v>0</v>
      </c>
      <c r="I4355" s="141">
        <f t="shared" si="343"/>
        <v>0</v>
      </c>
      <c r="J4355">
        <f t="shared" si="344"/>
        <v>0</v>
      </c>
      <c r="K4355" s="141">
        <f t="shared" si="345"/>
        <v>0</v>
      </c>
    </row>
    <row r="4356" spans="7:11" hidden="1" x14ac:dyDescent="0.25">
      <c r="G4356">
        <f t="shared" si="341"/>
        <v>0</v>
      </c>
      <c r="H4356">
        <f t="shared" si="342"/>
        <v>0</v>
      </c>
      <c r="I4356" s="141">
        <f t="shared" si="343"/>
        <v>0</v>
      </c>
      <c r="J4356">
        <f t="shared" si="344"/>
        <v>0</v>
      </c>
      <c r="K4356" s="141">
        <f t="shared" si="345"/>
        <v>0</v>
      </c>
    </row>
    <row r="4357" spans="7:11" hidden="1" x14ac:dyDescent="0.25">
      <c r="G4357">
        <f t="shared" si="341"/>
        <v>0</v>
      </c>
      <c r="H4357">
        <f t="shared" si="342"/>
        <v>0</v>
      </c>
      <c r="I4357" s="141">
        <f t="shared" si="343"/>
        <v>0</v>
      </c>
      <c r="J4357">
        <f t="shared" si="344"/>
        <v>0</v>
      </c>
      <c r="K4357" s="141">
        <f t="shared" si="345"/>
        <v>0</v>
      </c>
    </row>
    <row r="4358" spans="7:11" hidden="1" x14ac:dyDescent="0.25">
      <c r="G4358">
        <f t="shared" si="341"/>
        <v>0</v>
      </c>
      <c r="H4358">
        <f t="shared" si="342"/>
        <v>0</v>
      </c>
      <c r="I4358" s="141">
        <f t="shared" si="343"/>
        <v>0</v>
      </c>
      <c r="J4358">
        <f t="shared" si="344"/>
        <v>0</v>
      </c>
      <c r="K4358" s="141">
        <f t="shared" si="345"/>
        <v>0</v>
      </c>
    </row>
    <row r="4359" spans="7:11" hidden="1" x14ac:dyDescent="0.25">
      <c r="G4359">
        <f t="shared" si="341"/>
        <v>0</v>
      </c>
      <c r="H4359">
        <f t="shared" si="342"/>
        <v>0</v>
      </c>
      <c r="I4359" s="141">
        <f t="shared" si="343"/>
        <v>0</v>
      </c>
      <c r="J4359">
        <f t="shared" si="344"/>
        <v>0</v>
      </c>
      <c r="K4359" s="141">
        <f t="shared" si="345"/>
        <v>0</v>
      </c>
    </row>
    <row r="4360" spans="7:11" hidden="1" x14ac:dyDescent="0.25">
      <c r="G4360">
        <f t="shared" si="341"/>
        <v>0</v>
      </c>
      <c r="H4360">
        <f t="shared" si="342"/>
        <v>0</v>
      </c>
      <c r="I4360" s="141">
        <f t="shared" si="343"/>
        <v>0</v>
      </c>
      <c r="J4360">
        <f t="shared" si="344"/>
        <v>0</v>
      </c>
      <c r="K4360" s="141">
        <f t="shared" si="345"/>
        <v>0</v>
      </c>
    </row>
    <row r="4361" spans="7:11" hidden="1" x14ac:dyDescent="0.25">
      <c r="G4361">
        <f t="shared" si="341"/>
        <v>0</v>
      </c>
      <c r="H4361">
        <f t="shared" si="342"/>
        <v>0</v>
      </c>
      <c r="I4361" s="141">
        <f t="shared" si="343"/>
        <v>0</v>
      </c>
      <c r="J4361">
        <f t="shared" si="344"/>
        <v>0</v>
      </c>
      <c r="K4361" s="141">
        <f t="shared" si="345"/>
        <v>0</v>
      </c>
    </row>
    <row r="4362" spans="7:11" hidden="1" x14ac:dyDescent="0.25">
      <c r="G4362">
        <f t="shared" si="341"/>
        <v>0</v>
      </c>
      <c r="H4362">
        <f t="shared" si="342"/>
        <v>0</v>
      </c>
      <c r="I4362" s="141">
        <f t="shared" si="343"/>
        <v>0</v>
      </c>
      <c r="J4362">
        <f t="shared" si="344"/>
        <v>0</v>
      </c>
      <c r="K4362" s="141">
        <f t="shared" si="345"/>
        <v>0</v>
      </c>
    </row>
    <row r="4363" spans="7:11" hidden="1" x14ac:dyDescent="0.25">
      <c r="G4363">
        <f t="shared" si="341"/>
        <v>0</v>
      </c>
      <c r="H4363">
        <f t="shared" si="342"/>
        <v>0</v>
      </c>
      <c r="I4363" s="141">
        <f t="shared" si="343"/>
        <v>0</v>
      </c>
      <c r="J4363">
        <f t="shared" si="344"/>
        <v>0</v>
      </c>
      <c r="K4363" s="141">
        <f t="shared" si="345"/>
        <v>0</v>
      </c>
    </row>
    <row r="4364" spans="7:11" hidden="1" x14ac:dyDescent="0.25">
      <c r="G4364">
        <f t="shared" si="341"/>
        <v>0</v>
      </c>
      <c r="H4364">
        <f t="shared" si="342"/>
        <v>0</v>
      </c>
      <c r="I4364" s="141">
        <f t="shared" si="343"/>
        <v>0</v>
      </c>
      <c r="J4364">
        <f t="shared" si="344"/>
        <v>0</v>
      </c>
      <c r="K4364" s="141">
        <f t="shared" si="345"/>
        <v>0</v>
      </c>
    </row>
    <row r="4365" spans="7:11" hidden="1" x14ac:dyDescent="0.25">
      <c r="G4365">
        <f t="shared" si="341"/>
        <v>0</v>
      </c>
      <c r="H4365">
        <f t="shared" si="342"/>
        <v>0</v>
      </c>
      <c r="I4365" s="141">
        <f t="shared" si="343"/>
        <v>0</v>
      </c>
      <c r="J4365">
        <f t="shared" si="344"/>
        <v>0</v>
      </c>
      <c r="K4365" s="141">
        <f t="shared" si="345"/>
        <v>0</v>
      </c>
    </row>
    <row r="4366" spans="7:11" hidden="1" x14ac:dyDescent="0.25">
      <c r="G4366">
        <f t="shared" si="341"/>
        <v>0</v>
      </c>
      <c r="H4366">
        <f t="shared" si="342"/>
        <v>0</v>
      </c>
      <c r="I4366" s="141">
        <f t="shared" si="343"/>
        <v>0</v>
      </c>
      <c r="J4366">
        <f t="shared" si="344"/>
        <v>0</v>
      </c>
      <c r="K4366" s="141">
        <f t="shared" si="345"/>
        <v>0</v>
      </c>
    </row>
    <row r="4367" spans="7:11" hidden="1" x14ac:dyDescent="0.25">
      <c r="G4367">
        <f t="shared" si="341"/>
        <v>0</v>
      </c>
      <c r="H4367">
        <f t="shared" si="342"/>
        <v>0</v>
      </c>
      <c r="I4367" s="141">
        <f t="shared" si="343"/>
        <v>0</v>
      </c>
      <c r="J4367">
        <f t="shared" si="344"/>
        <v>0</v>
      </c>
      <c r="K4367" s="141">
        <f t="shared" si="345"/>
        <v>0</v>
      </c>
    </row>
    <row r="4368" spans="7:11" hidden="1" x14ac:dyDescent="0.25">
      <c r="G4368">
        <f t="shared" si="341"/>
        <v>0</v>
      </c>
      <c r="H4368">
        <f t="shared" si="342"/>
        <v>0</v>
      </c>
      <c r="I4368" s="141">
        <f t="shared" si="343"/>
        <v>0</v>
      </c>
      <c r="J4368">
        <f t="shared" si="344"/>
        <v>0</v>
      </c>
      <c r="K4368" s="141">
        <f t="shared" si="345"/>
        <v>0</v>
      </c>
    </row>
    <row r="4369" spans="7:11" hidden="1" x14ac:dyDescent="0.25">
      <c r="G4369">
        <f t="shared" si="341"/>
        <v>0</v>
      </c>
      <c r="H4369">
        <f t="shared" si="342"/>
        <v>0</v>
      </c>
      <c r="I4369" s="141">
        <f t="shared" si="343"/>
        <v>0</v>
      </c>
      <c r="J4369">
        <f t="shared" si="344"/>
        <v>0</v>
      </c>
      <c r="K4369" s="141">
        <f t="shared" si="345"/>
        <v>0</v>
      </c>
    </row>
    <row r="4370" spans="7:11" hidden="1" x14ac:dyDescent="0.25">
      <c r="G4370">
        <f t="shared" si="341"/>
        <v>0</v>
      </c>
      <c r="H4370">
        <f t="shared" si="342"/>
        <v>0</v>
      </c>
      <c r="I4370" s="141">
        <f t="shared" si="343"/>
        <v>0</v>
      </c>
      <c r="J4370">
        <f t="shared" si="344"/>
        <v>0</v>
      </c>
      <c r="K4370" s="141">
        <f t="shared" si="345"/>
        <v>0</v>
      </c>
    </row>
    <row r="4371" spans="7:11" hidden="1" x14ac:dyDescent="0.25">
      <c r="G4371">
        <f t="shared" si="341"/>
        <v>0</v>
      </c>
      <c r="H4371">
        <f t="shared" si="342"/>
        <v>0</v>
      </c>
      <c r="I4371" s="141">
        <f t="shared" si="343"/>
        <v>0</v>
      </c>
      <c r="J4371">
        <f t="shared" si="344"/>
        <v>0</v>
      </c>
      <c r="K4371" s="141">
        <f t="shared" si="345"/>
        <v>0</v>
      </c>
    </row>
    <row r="4372" spans="7:11" hidden="1" x14ac:dyDescent="0.25">
      <c r="G4372">
        <f t="shared" si="341"/>
        <v>0</v>
      </c>
      <c r="H4372">
        <f t="shared" si="342"/>
        <v>0</v>
      </c>
      <c r="I4372" s="141">
        <f t="shared" si="343"/>
        <v>0</v>
      </c>
      <c r="J4372">
        <f t="shared" si="344"/>
        <v>0</v>
      </c>
      <c r="K4372" s="141">
        <f t="shared" si="345"/>
        <v>0</v>
      </c>
    </row>
    <row r="4373" spans="7:11" hidden="1" x14ac:dyDescent="0.25">
      <c r="G4373">
        <f t="shared" si="341"/>
        <v>0</v>
      </c>
      <c r="H4373">
        <f t="shared" si="342"/>
        <v>0</v>
      </c>
      <c r="I4373" s="141">
        <f t="shared" si="343"/>
        <v>0</v>
      </c>
      <c r="J4373">
        <f t="shared" si="344"/>
        <v>0</v>
      </c>
      <c r="K4373" s="141">
        <f t="shared" si="345"/>
        <v>0</v>
      </c>
    </row>
    <row r="4374" spans="7:11" hidden="1" x14ac:dyDescent="0.25">
      <c r="G4374">
        <f t="shared" si="341"/>
        <v>0</v>
      </c>
      <c r="H4374">
        <f t="shared" si="342"/>
        <v>0</v>
      </c>
      <c r="I4374" s="141">
        <f t="shared" si="343"/>
        <v>0</v>
      </c>
      <c r="J4374">
        <f t="shared" si="344"/>
        <v>0</v>
      </c>
      <c r="K4374" s="141">
        <f t="shared" si="345"/>
        <v>0</v>
      </c>
    </row>
    <row r="4375" spans="7:11" hidden="1" x14ac:dyDescent="0.25">
      <c r="G4375">
        <f t="shared" si="341"/>
        <v>0</v>
      </c>
      <c r="H4375">
        <f t="shared" si="342"/>
        <v>0</v>
      </c>
      <c r="I4375" s="141">
        <f t="shared" si="343"/>
        <v>0</v>
      </c>
      <c r="J4375">
        <f t="shared" si="344"/>
        <v>0</v>
      </c>
      <c r="K4375" s="141">
        <f t="shared" si="345"/>
        <v>0</v>
      </c>
    </row>
    <row r="4376" spans="7:11" hidden="1" x14ac:dyDescent="0.25">
      <c r="G4376">
        <f t="shared" si="341"/>
        <v>0</v>
      </c>
      <c r="H4376">
        <f t="shared" si="342"/>
        <v>0</v>
      </c>
      <c r="I4376" s="141">
        <f t="shared" si="343"/>
        <v>0</v>
      </c>
      <c r="J4376">
        <f t="shared" si="344"/>
        <v>0</v>
      </c>
      <c r="K4376" s="141">
        <f t="shared" si="345"/>
        <v>0</v>
      </c>
    </row>
    <row r="4377" spans="7:11" hidden="1" x14ac:dyDescent="0.25">
      <c r="G4377">
        <f t="shared" si="341"/>
        <v>0</v>
      </c>
      <c r="H4377">
        <f t="shared" si="342"/>
        <v>0</v>
      </c>
      <c r="I4377" s="141">
        <f t="shared" si="343"/>
        <v>0</v>
      </c>
      <c r="J4377">
        <f t="shared" si="344"/>
        <v>0</v>
      </c>
      <c r="K4377" s="141">
        <f t="shared" si="345"/>
        <v>0</v>
      </c>
    </row>
    <row r="4378" spans="7:11" hidden="1" x14ac:dyDescent="0.25">
      <c r="G4378">
        <f t="shared" si="341"/>
        <v>0</v>
      </c>
      <c r="H4378">
        <f t="shared" si="342"/>
        <v>0</v>
      </c>
      <c r="I4378" s="141">
        <f t="shared" si="343"/>
        <v>0</v>
      </c>
      <c r="J4378">
        <f t="shared" si="344"/>
        <v>0</v>
      </c>
      <c r="K4378" s="141">
        <f t="shared" si="345"/>
        <v>0</v>
      </c>
    </row>
    <row r="4379" spans="7:11" hidden="1" x14ac:dyDescent="0.25">
      <c r="G4379">
        <f t="shared" si="341"/>
        <v>0</v>
      </c>
      <c r="H4379">
        <f t="shared" si="342"/>
        <v>0</v>
      </c>
      <c r="I4379" s="141">
        <f t="shared" si="343"/>
        <v>0</v>
      </c>
      <c r="J4379">
        <f t="shared" si="344"/>
        <v>0</v>
      </c>
      <c r="K4379" s="141">
        <f t="shared" si="345"/>
        <v>0</v>
      </c>
    </row>
    <row r="4380" spans="7:11" hidden="1" x14ac:dyDescent="0.25">
      <c r="G4380">
        <f t="shared" si="341"/>
        <v>0</v>
      </c>
      <c r="H4380">
        <f t="shared" si="342"/>
        <v>0</v>
      </c>
      <c r="I4380" s="141">
        <f t="shared" si="343"/>
        <v>0</v>
      </c>
      <c r="J4380">
        <f t="shared" si="344"/>
        <v>0</v>
      </c>
      <c r="K4380" s="141">
        <f t="shared" si="345"/>
        <v>0</v>
      </c>
    </row>
    <row r="4381" spans="7:11" hidden="1" x14ac:dyDescent="0.25">
      <c r="G4381">
        <f t="shared" si="341"/>
        <v>0</v>
      </c>
      <c r="H4381">
        <f t="shared" si="342"/>
        <v>0</v>
      </c>
      <c r="I4381" s="141">
        <f t="shared" si="343"/>
        <v>0</v>
      </c>
      <c r="J4381">
        <f t="shared" si="344"/>
        <v>0</v>
      </c>
      <c r="K4381" s="141">
        <f t="shared" si="345"/>
        <v>0</v>
      </c>
    </row>
    <row r="4382" spans="7:11" hidden="1" x14ac:dyDescent="0.25">
      <c r="G4382">
        <f t="shared" si="341"/>
        <v>0</v>
      </c>
      <c r="H4382">
        <f t="shared" si="342"/>
        <v>0</v>
      </c>
      <c r="I4382" s="141">
        <f t="shared" si="343"/>
        <v>0</v>
      </c>
      <c r="J4382">
        <f t="shared" si="344"/>
        <v>0</v>
      </c>
      <c r="K4382" s="141">
        <f t="shared" si="345"/>
        <v>0</v>
      </c>
    </row>
    <row r="4383" spans="7:11" hidden="1" x14ac:dyDescent="0.25">
      <c r="G4383">
        <f t="shared" si="341"/>
        <v>0</v>
      </c>
      <c r="H4383">
        <f t="shared" si="342"/>
        <v>0</v>
      </c>
      <c r="I4383" s="141">
        <f t="shared" si="343"/>
        <v>0</v>
      </c>
      <c r="J4383">
        <f t="shared" si="344"/>
        <v>0</v>
      </c>
      <c r="K4383" s="141">
        <f t="shared" si="345"/>
        <v>0</v>
      </c>
    </row>
    <row r="4384" spans="7:11" hidden="1" x14ac:dyDescent="0.25">
      <c r="G4384">
        <f t="shared" si="341"/>
        <v>0</v>
      </c>
      <c r="H4384">
        <f t="shared" si="342"/>
        <v>0</v>
      </c>
      <c r="I4384" s="141">
        <f t="shared" si="343"/>
        <v>0</v>
      </c>
      <c r="J4384">
        <f t="shared" si="344"/>
        <v>0</v>
      </c>
      <c r="K4384" s="141">
        <f t="shared" si="345"/>
        <v>0</v>
      </c>
    </row>
    <row r="4385" spans="7:11" hidden="1" x14ac:dyDescent="0.25">
      <c r="G4385">
        <f t="shared" si="341"/>
        <v>0</v>
      </c>
      <c r="H4385">
        <f t="shared" si="342"/>
        <v>0</v>
      </c>
      <c r="I4385" s="141">
        <f t="shared" si="343"/>
        <v>0</v>
      </c>
      <c r="J4385">
        <f t="shared" si="344"/>
        <v>0</v>
      </c>
      <c r="K4385" s="141">
        <f t="shared" si="345"/>
        <v>0</v>
      </c>
    </row>
    <row r="4386" spans="7:11" hidden="1" x14ac:dyDescent="0.25">
      <c r="G4386">
        <f t="shared" si="341"/>
        <v>0</v>
      </c>
      <c r="H4386">
        <f t="shared" si="342"/>
        <v>0</v>
      </c>
      <c r="I4386" s="141">
        <f t="shared" si="343"/>
        <v>0</v>
      </c>
      <c r="J4386">
        <f t="shared" si="344"/>
        <v>0</v>
      </c>
      <c r="K4386" s="141">
        <f t="shared" si="345"/>
        <v>0</v>
      </c>
    </row>
    <row r="4387" spans="7:11" hidden="1" x14ac:dyDescent="0.25">
      <c r="G4387">
        <f t="shared" si="341"/>
        <v>0</v>
      </c>
      <c r="H4387">
        <f t="shared" si="342"/>
        <v>0</v>
      </c>
      <c r="I4387" s="141">
        <f t="shared" si="343"/>
        <v>0</v>
      </c>
      <c r="J4387">
        <f t="shared" si="344"/>
        <v>0</v>
      </c>
      <c r="K4387" s="141">
        <f t="shared" si="345"/>
        <v>0</v>
      </c>
    </row>
    <row r="4388" spans="7:11" hidden="1" x14ac:dyDescent="0.25">
      <c r="G4388">
        <f t="shared" si="341"/>
        <v>0</v>
      </c>
      <c r="H4388">
        <f t="shared" si="342"/>
        <v>0</v>
      </c>
      <c r="I4388" s="141">
        <f t="shared" si="343"/>
        <v>0</v>
      </c>
      <c r="J4388">
        <f t="shared" si="344"/>
        <v>0</v>
      </c>
      <c r="K4388" s="141">
        <f t="shared" si="345"/>
        <v>0</v>
      </c>
    </row>
    <row r="4389" spans="7:11" hidden="1" x14ac:dyDescent="0.25">
      <c r="G4389">
        <f t="shared" si="341"/>
        <v>0</v>
      </c>
      <c r="H4389">
        <f t="shared" si="342"/>
        <v>0</v>
      </c>
      <c r="I4389" s="141">
        <f t="shared" si="343"/>
        <v>0</v>
      </c>
      <c r="J4389">
        <f t="shared" si="344"/>
        <v>0</v>
      </c>
      <c r="K4389" s="141">
        <f t="shared" si="345"/>
        <v>0</v>
      </c>
    </row>
    <row r="4390" spans="7:11" hidden="1" x14ac:dyDescent="0.25">
      <c r="G4390">
        <f t="shared" si="341"/>
        <v>0</v>
      </c>
      <c r="H4390">
        <f t="shared" si="342"/>
        <v>0</v>
      </c>
      <c r="I4390" s="141">
        <f t="shared" si="343"/>
        <v>0</v>
      </c>
      <c r="J4390">
        <f t="shared" si="344"/>
        <v>0</v>
      </c>
      <c r="K4390" s="141">
        <f t="shared" si="345"/>
        <v>0</v>
      </c>
    </row>
    <row r="4391" spans="7:11" hidden="1" x14ac:dyDescent="0.25">
      <c r="G4391">
        <f t="shared" si="341"/>
        <v>0</v>
      </c>
      <c r="H4391">
        <f t="shared" si="342"/>
        <v>0</v>
      </c>
      <c r="I4391" s="141">
        <f t="shared" si="343"/>
        <v>0</v>
      </c>
      <c r="J4391">
        <f t="shared" si="344"/>
        <v>0</v>
      </c>
      <c r="K4391" s="141">
        <f t="shared" si="345"/>
        <v>0</v>
      </c>
    </row>
    <row r="4392" spans="7:11" hidden="1" x14ac:dyDescent="0.25">
      <c r="G4392">
        <f t="shared" si="341"/>
        <v>0</v>
      </c>
      <c r="H4392">
        <f t="shared" si="342"/>
        <v>0</v>
      </c>
      <c r="I4392" s="141">
        <f t="shared" si="343"/>
        <v>0</v>
      </c>
      <c r="J4392">
        <f t="shared" si="344"/>
        <v>0</v>
      </c>
      <c r="K4392" s="141">
        <f t="shared" si="345"/>
        <v>0</v>
      </c>
    </row>
    <row r="4393" spans="7:11" hidden="1" x14ac:dyDescent="0.25">
      <c r="G4393">
        <f t="shared" si="341"/>
        <v>0</v>
      </c>
      <c r="H4393">
        <f t="shared" si="342"/>
        <v>0</v>
      </c>
      <c r="I4393" s="141">
        <f t="shared" si="343"/>
        <v>0</v>
      </c>
      <c r="J4393">
        <f t="shared" si="344"/>
        <v>0</v>
      </c>
      <c r="K4393" s="141">
        <f t="shared" si="345"/>
        <v>0</v>
      </c>
    </row>
    <row r="4394" spans="7:11" hidden="1" x14ac:dyDescent="0.25">
      <c r="G4394">
        <f t="shared" si="341"/>
        <v>0</v>
      </c>
      <c r="H4394">
        <f t="shared" si="342"/>
        <v>0</v>
      </c>
      <c r="I4394" s="141">
        <f t="shared" si="343"/>
        <v>0</v>
      </c>
      <c r="J4394">
        <f t="shared" si="344"/>
        <v>0</v>
      </c>
      <c r="K4394" s="141">
        <f t="shared" si="345"/>
        <v>0</v>
      </c>
    </row>
    <row r="4395" spans="7:11" hidden="1" x14ac:dyDescent="0.25">
      <c r="G4395">
        <f t="shared" si="341"/>
        <v>0</v>
      </c>
      <c r="H4395">
        <f t="shared" si="342"/>
        <v>0</v>
      </c>
      <c r="I4395" s="141">
        <f t="shared" si="343"/>
        <v>0</v>
      </c>
      <c r="J4395">
        <f t="shared" si="344"/>
        <v>0</v>
      </c>
      <c r="K4395" s="141">
        <f t="shared" si="345"/>
        <v>0</v>
      </c>
    </row>
    <row r="4396" spans="7:11" hidden="1" x14ac:dyDescent="0.25">
      <c r="G4396">
        <f t="shared" si="341"/>
        <v>0</v>
      </c>
      <c r="H4396">
        <f t="shared" si="342"/>
        <v>0</v>
      </c>
      <c r="I4396" s="141">
        <f t="shared" si="343"/>
        <v>0</v>
      </c>
      <c r="J4396">
        <f t="shared" si="344"/>
        <v>0</v>
      </c>
      <c r="K4396" s="141">
        <f t="shared" si="345"/>
        <v>0</v>
      </c>
    </row>
    <row r="4397" spans="7:11" hidden="1" x14ac:dyDescent="0.25">
      <c r="G4397">
        <f t="shared" si="341"/>
        <v>0</v>
      </c>
      <c r="H4397">
        <f t="shared" si="342"/>
        <v>0</v>
      </c>
      <c r="I4397" s="141">
        <f t="shared" si="343"/>
        <v>0</v>
      </c>
      <c r="J4397">
        <f t="shared" si="344"/>
        <v>0</v>
      </c>
      <c r="K4397" s="141">
        <f t="shared" si="345"/>
        <v>0</v>
      </c>
    </row>
    <row r="4398" spans="7:11" hidden="1" x14ac:dyDescent="0.25">
      <c r="G4398">
        <f t="shared" si="341"/>
        <v>0</v>
      </c>
      <c r="H4398">
        <f t="shared" si="342"/>
        <v>0</v>
      </c>
      <c r="I4398" s="141">
        <f t="shared" si="343"/>
        <v>0</v>
      </c>
      <c r="J4398">
        <f t="shared" si="344"/>
        <v>0</v>
      </c>
      <c r="K4398" s="141">
        <f t="shared" si="345"/>
        <v>0</v>
      </c>
    </row>
    <row r="4399" spans="7:11" hidden="1" x14ac:dyDescent="0.25">
      <c r="G4399">
        <f t="shared" si="341"/>
        <v>0</v>
      </c>
      <c r="H4399">
        <f t="shared" si="342"/>
        <v>0</v>
      </c>
      <c r="I4399" s="141">
        <f t="shared" si="343"/>
        <v>0</v>
      </c>
      <c r="J4399">
        <f t="shared" si="344"/>
        <v>0</v>
      </c>
      <c r="K4399" s="141">
        <f t="shared" si="345"/>
        <v>0</v>
      </c>
    </row>
    <row r="4400" spans="7:11" hidden="1" x14ac:dyDescent="0.25">
      <c r="G4400">
        <f t="shared" si="341"/>
        <v>0</v>
      </c>
      <c r="H4400">
        <f t="shared" si="342"/>
        <v>0</v>
      </c>
      <c r="I4400" s="141">
        <f t="shared" si="343"/>
        <v>0</v>
      </c>
      <c r="J4400">
        <f t="shared" si="344"/>
        <v>0</v>
      </c>
      <c r="K4400" s="141">
        <f t="shared" si="345"/>
        <v>0</v>
      </c>
    </row>
    <row r="4401" spans="7:11" hidden="1" x14ac:dyDescent="0.25">
      <c r="G4401">
        <f t="shared" si="341"/>
        <v>0</v>
      </c>
      <c r="H4401">
        <f t="shared" si="342"/>
        <v>0</v>
      </c>
      <c r="I4401" s="141">
        <f t="shared" si="343"/>
        <v>0</v>
      </c>
      <c r="J4401">
        <f t="shared" si="344"/>
        <v>0</v>
      </c>
      <c r="K4401" s="141">
        <f t="shared" si="345"/>
        <v>0</v>
      </c>
    </row>
    <row r="4402" spans="7:11" hidden="1" x14ac:dyDescent="0.25">
      <c r="G4402">
        <f t="shared" si="341"/>
        <v>0</v>
      </c>
      <c r="H4402">
        <f t="shared" si="342"/>
        <v>0</v>
      </c>
      <c r="I4402" s="141">
        <f t="shared" si="343"/>
        <v>0</v>
      </c>
      <c r="J4402">
        <f t="shared" si="344"/>
        <v>0</v>
      </c>
      <c r="K4402" s="141">
        <f t="shared" si="345"/>
        <v>0</v>
      </c>
    </row>
    <row r="4403" spans="7:11" hidden="1" x14ac:dyDescent="0.25">
      <c r="G4403">
        <f t="shared" si="341"/>
        <v>0</v>
      </c>
      <c r="H4403">
        <f t="shared" si="342"/>
        <v>0</v>
      </c>
      <c r="I4403" s="141">
        <f t="shared" si="343"/>
        <v>0</v>
      </c>
      <c r="J4403">
        <f t="shared" si="344"/>
        <v>0</v>
      </c>
      <c r="K4403" s="141">
        <f t="shared" si="345"/>
        <v>0</v>
      </c>
    </row>
    <row r="4404" spans="7:11" hidden="1" x14ac:dyDescent="0.25">
      <c r="G4404">
        <f t="shared" si="341"/>
        <v>0</v>
      </c>
      <c r="H4404">
        <f t="shared" si="342"/>
        <v>0</v>
      </c>
      <c r="I4404" s="141">
        <f t="shared" si="343"/>
        <v>0</v>
      </c>
      <c r="J4404">
        <f t="shared" si="344"/>
        <v>0</v>
      </c>
      <c r="K4404" s="141">
        <f t="shared" si="345"/>
        <v>0</v>
      </c>
    </row>
    <row r="4405" spans="7:11" hidden="1" x14ac:dyDescent="0.25">
      <c r="G4405">
        <f t="shared" si="341"/>
        <v>0</v>
      </c>
      <c r="H4405">
        <f t="shared" si="342"/>
        <v>0</v>
      </c>
      <c r="I4405" s="141">
        <f t="shared" si="343"/>
        <v>0</v>
      </c>
      <c r="J4405">
        <f t="shared" si="344"/>
        <v>0</v>
      </c>
      <c r="K4405" s="141">
        <f t="shared" si="345"/>
        <v>0</v>
      </c>
    </row>
    <row r="4406" spans="7:11" hidden="1" x14ac:dyDescent="0.25">
      <c r="G4406">
        <f t="shared" si="341"/>
        <v>0</v>
      </c>
      <c r="H4406">
        <f t="shared" si="342"/>
        <v>0</v>
      </c>
      <c r="I4406" s="141">
        <f t="shared" si="343"/>
        <v>0</v>
      </c>
      <c r="J4406">
        <f t="shared" si="344"/>
        <v>0</v>
      </c>
      <c r="K4406" s="141">
        <f t="shared" si="345"/>
        <v>0</v>
      </c>
    </row>
    <row r="4407" spans="7:11" hidden="1" x14ac:dyDescent="0.25">
      <c r="G4407">
        <f t="shared" si="341"/>
        <v>0</v>
      </c>
      <c r="H4407">
        <f t="shared" si="342"/>
        <v>0</v>
      </c>
      <c r="I4407" s="141">
        <f t="shared" si="343"/>
        <v>0</v>
      </c>
      <c r="J4407">
        <f t="shared" si="344"/>
        <v>0</v>
      </c>
      <c r="K4407" s="141">
        <f t="shared" si="345"/>
        <v>0</v>
      </c>
    </row>
    <row r="4408" spans="7:11" hidden="1" x14ac:dyDescent="0.25">
      <c r="G4408">
        <f t="shared" si="341"/>
        <v>0</v>
      </c>
      <c r="H4408">
        <f t="shared" si="342"/>
        <v>0</v>
      </c>
      <c r="I4408" s="141">
        <f t="shared" si="343"/>
        <v>0</v>
      </c>
      <c r="J4408">
        <f t="shared" si="344"/>
        <v>0</v>
      </c>
      <c r="K4408" s="141">
        <f t="shared" si="345"/>
        <v>0</v>
      </c>
    </row>
    <row r="4409" spans="7:11" hidden="1" x14ac:dyDescent="0.25">
      <c r="G4409">
        <f t="shared" si="341"/>
        <v>0</v>
      </c>
      <c r="H4409">
        <f t="shared" si="342"/>
        <v>0</v>
      </c>
      <c r="I4409" s="141">
        <f t="shared" si="343"/>
        <v>0</v>
      </c>
      <c r="J4409">
        <f t="shared" si="344"/>
        <v>0</v>
      </c>
      <c r="K4409" s="141">
        <f t="shared" si="345"/>
        <v>0</v>
      </c>
    </row>
    <row r="4410" spans="7:11" hidden="1" x14ac:dyDescent="0.25">
      <c r="G4410">
        <f t="shared" si="341"/>
        <v>0</v>
      </c>
      <c r="H4410">
        <f t="shared" si="342"/>
        <v>0</v>
      </c>
      <c r="I4410" s="141">
        <f t="shared" si="343"/>
        <v>0</v>
      </c>
      <c r="J4410">
        <f t="shared" si="344"/>
        <v>0</v>
      </c>
      <c r="K4410" s="141">
        <f t="shared" si="345"/>
        <v>0</v>
      </c>
    </row>
    <row r="4411" spans="7:11" hidden="1" x14ac:dyDescent="0.25">
      <c r="G4411">
        <f t="shared" si="341"/>
        <v>0</v>
      </c>
      <c r="H4411">
        <f t="shared" si="342"/>
        <v>0</v>
      </c>
      <c r="I4411" s="141">
        <f t="shared" si="343"/>
        <v>0</v>
      </c>
      <c r="J4411">
        <f t="shared" si="344"/>
        <v>0</v>
      </c>
      <c r="K4411" s="141">
        <f t="shared" si="345"/>
        <v>0</v>
      </c>
    </row>
    <row r="4412" spans="7:11" hidden="1" x14ac:dyDescent="0.25">
      <c r="G4412">
        <f t="shared" si="341"/>
        <v>0</v>
      </c>
      <c r="H4412">
        <f t="shared" si="342"/>
        <v>0</v>
      </c>
      <c r="I4412" s="141">
        <f t="shared" si="343"/>
        <v>0</v>
      </c>
      <c r="J4412">
        <f t="shared" si="344"/>
        <v>0</v>
      </c>
      <c r="K4412" s="141">
        <f t="shared" si="345"/>
        <v>0</v>
      </c>
    </row>
    <row r="4413" spans="7:11" hidden="1" x14ac:dyDescent="0.25">
      <c r="G4413">
        <f t="shared" si="341"/>
        <v>0</v>
      </c>
      <c r="H4413">
        <f t="shared" si="342"/>
        <v>0</v>
      </c>
      <c r="I4413" s="141">
        <f t="shared" si="343"/>
        <v>0</v>
      </c>
      <c r="J4413">
        <f t="shared" si="344"/>
        <v>0</v>
      </c>
      <c r="K4413" s="141">
        <f t="shared" si="345"/>
        <v>0</v>
      </c>
    </row>
    <row r="4414" spans="7:11" hidden="1" x14ac:dyDescent="0.25">
      <c r="G4414">
        <f t="shared" si="341"/>
        <v>0</v>
      </c>
      <c r="H4414">
        <f t="shared" si="342"/>
        <v>0</v>
      </c>
      <c r="I4414" s="141">
        <f t="shared" si="343"/>
        <v>0</v>
      </c>
      <c r="J4414">
        <f t="shared" si="344"/>
        <v>0</v>
      </c>
      <c r="K4414" s="141">
        <f t="shared" si="345"/>
        <v>0</v>
      </c>
    </row>
    <row r="4415" spans="7:11" hidden="1" x14ac:dyDescent="0.25">
      <c r="G4415">
        <f t="shared" si="341"/>
        <v>0</v>
      </c>
      <c r="H4415">
        <f t="shared" si="342"/>
        <v>0</v>
      </c>
      <c r="I4415" s="141">
        <f t="shared" si="343"/>
        <v>0</v>
      </c>
      <c r="J4415">
        <f t="shared" si="344"/>
        <v>0</v>
      </c>
      <c r="K4415" s="141">
        <f t="shared" si="345"/>
        <v>0</v>
      </c>
    </row>
    <row r="4416" spans="7:11" hidden="1" x14ac:dyDescent="0.25">
      <c r="G4416">
        <f t="shared" si="341"/>
        <v>0</v>
      </c>
      <c r="H4416">
        <f t="shared" si="342"/>
        <v>0</v>
      </c>
      <c r="I4416" s="141">
        <f t="shared" si="343"/>
        <v>0</v>
      </c>
      <c r="J4416">
        <f t="shared" si="344"/>
        <v>0</v>
      </c>
      <c r="K4416" s="141">
        <f t="shared" si="345"/>
        <v>0</v>
      </c>
    </row>
    <row r="4417" spans="7:11" hidden="1" x14ac:dyDescent="0.25">
      <c r="G4417">
        <f t="shared" si="341"/>
        <v>0</v>
      </c>
      <c r="H4417">
        <f t="shared" si="342"/>
        <v>0</v>
      </c>
      <c r="I4417" s="141">
        <f t="shared" si="343"/>
        <v>0</v>
      </c>
      <c r="J4417">
        <f t="shared" si="344"/>
        <v>0</v>
      </c>
      <c r="K4417" s="141">
        <f t="shared" si="345"/>
        <v>0</v>
      </c>
    </row>
    <row r="4418" spans="7:11" hidden="1" x14ac:dyDescent="0.25">
      <c r="G4418">
        <f t="shared" ref="G4418:G4481" si="346">A4418</f>
        <v>0</v>
      </c>
      <c r="H4418">
        <f t="shared" ref="H4418:H4481" si="347">B4418</f>
        <v>0</v>
      </c>
      <c r="I4418" s="141">
        <f t="shared" ref="I4418:I4481" si="348">C4418</f>
        <v>0</v>
      </c>
      <c r="J4418">
        <f t="shared" ref="J4418:J4481" si="349">D4418</f>
        <v>0</v>
      </c>
      <c r="K4418" s="141">
        <f t="shared" ref="K4418:K4481" si="350">E4418</f>
        <v>0</v>
      </c>
    </row>
    <row r="4419" spans="7:11" hidden="1" x14ac:dyDescent="0.25">
      <c r="G4419">
        <f t="shared" si="346"/>
        <v>0</v>
      </c>
      <c r="H4419">
        <f t="shared" si="347"/>
        <v>0</v>
      </c>
      <c r="I4419" s="141">
        <f t="shared" si="348"/>
        <v>0</v>
      </c>
      <c r="J4419">
        <f t="shared" si="349"/>
        <v>0</v>
      </c>
      <c r="K4419" s="141">
        <f t="shared" si="350"/>
        <v>0</v>
      </c>
    </row>
    <row r="4420" spans="7:11" hidden="1" x14ac:dyDescent="0.25">
      <c r="G4420">
        <f t="shared" si="346"/>
        <v>0</v>
      </c>
      <c r="H4420">
        <f t="shared" si="347"/>
        <v>0</v>
      </c>
      <c r="I4420" s="141">
        <f t="shared" si="348"/>
        <v>0</v>
      </c>
      <c r="J4420">
        <f t="shared" si="349"/>
        <v>0</v>
      </c>
      <c r="K4420" s="141">
        <f t="shared" si="350"/>
        <v>0</v>
      </c>
    </row>
    <row r="4421" spans="7:11" hidden="1" x14ac:dyDescent="0.25">
      <c r="G4421">
        <f t="shared" si="346"/>
        <v>0</v>
      </c>
      <c r="H4421">
        <f t="shared" si="347"/>
        <v>0</v>
      </c>
      <c r="I4421" s="141">
        <f t="shared" si="348"/>
        <v>0</v>
      </c>
      <c r="J4421">
        <f t="shared" si="349"/>
        <v>0</v>
      </c>
      <c r="K4421" s="141">
        <f t="shared" si="350"/>
        <v>0</v>
      </c>
    </row>
    <row r="4422" spans="7:11" hidden="1" x14ac:dyDescent="0.25">
      <c r="G4422">
        <f t="shared" si="346"/>
        <v>0</v>
      </c>
      <c r="H4422">
        <f t="shared" si="347"/>
        <v>0</v>
      </c>
      <c r="I4422" s="141">
        <f t="shared" si="348"/>
        <v>0</v>
      </c>
      <c r="J4422">
        <f t="shared" si="349"/>
        <v>0</v>
      </c>
      <c r="K4422" s="141">
        <f t="shared" si="350"/>
        <v>0</v>
      </c>
    </row>
    <row r="4423" spans="7:11" hidden="1" x14ac:dyDescent="0.25">
      <c r="G4423">
        <f t="shared" si="346"/>
        <v>0</v>
      </c>
      <c r="H4423">
        <f t="shared" si="347"/>
        <v>0</v>
      </c>
      <c r="I4423" s="141">
        <f t="shared" si="348"/>
        <v>0</v>
      </c>
      <c r="J4423">
        <f t="shared" si="349"/>
        <v>0</v>
      </c>
      <c r="K4423" s="141">
        <f t="shared" si="350"/>
        <v>0</v>
      </c>
    </row>
    <row r="4424" spans="7:11" hidden="1" x14ac:dyDescent="0.25">
      <c r="G4424">
        <f t="shared" si="346"/>
        <v>0</v>
      </c>
      <c r="H4424">
        <f t="shared" si="347"/>
        <v>0</v>
      </c>
      <c r="I4424" s="141">
        <f t="shared" si="348"/>
        <v>0</v>
      </c>
      <c r="J4424">
        <f t="shared" si="349"/>
        <v>0</v>
      </c>
      <c r="K4424" s="141">
        <f t="shared" si="350"/>
        <v>0</v>
      </c>
    </row>
    <row r="4425" spans="7:11" hidden="1" x14ac:dyDescent="0.25">
      <c r="G4425">
        <f t="shared" si="346"/>
        <v>0</v>
      </c>
      <c r="H4425">
        <f t="shared" si="347"/>
        <v>0</v>
      </c>
      <c r="I4425" s="141">
        <f t="shared" si="348"/>
        <v>0</v>
      </c>
      <c r="J4425">
        <f t="shared" si="349"/>
        <v>0</v>
      </c>
      <c r="K4425" s="141">
        <f t="shared" si="350"/>
        <v>0</v>
      </c>
    </row>
    <row r="4426" spans="7:11" hidden="1" x14ac:dyDescent="0.25">
      <c r="G4426">
        <f t="shared" si="346"/>
        <v>0</v>
      </c>
      <c r="H4426">
        <f t="shared" si="347"/>
        <v>0</v>
      </c>
      <c r="I4426" s="141">
        <f t="shared" si="348"/>
        <v>0</v>
      </c>
      <c r="J4426">
        <f t="shared" si="349"/>
        <v>0</v>
      </c>
      <c r="K4426" s="141">
        <f t="shared" si="350"/>
        <v>0</v>
      </c>
    </row>
    <row r="4427" spans="7:11" hidden="1" x14ac:dyDescent="0.25">
      <c r="G4427">
        <f t="shared" si="346"/>
        <v>0</v>
      </c>
      <c r="H4427">
        <f t="shared" si="347"/>
        <v>0</v>
      </c>
      <c r="I4427" s="141">
        <f t="shared" si="348"/>
        <v>0</v>
      </c>
      <c r="J4427">
        <f t="shared" si="349"/>
        <v>0</v>
      </c>
      <c r="K4427" s="141">
        <f t="shared" si="350"/>
        <v>0</v>
      </c>
    </row>
    <row r="4428" spans="7:11" hidden="1" x14ac:dyDescent="0.25">
      <c r="G4428">
        <f t="shared" si="346"/>
        <v>0</v>
      </c>
      <c r="H4428">
        <f t="shared" si="347"/>
        <v>0</v>
      </c>
      <c r="I4428" s="141">
        <f t="shared" si="348"/>
        <v>0</v>
      </c>
      <c r="J4428">
        <f t="shared" si="349"/>
        <v>0</v>
      </c>
      <c r="K4428" s="141">
        <f t="shared" si="350"/>
        <v>0</v>
      </c>
    </row>
    <row r="4429" spans="7:11" hidden="1" x14ac:dyDescent="0.25">
      <c r="G4429">
        <f t="shared" si="346"/>
        <v>0</v>
      </c>
      <c r="H4429">
        <f t="shared" si="347"/>
        <v>0</v>
      </c>
      <c r="I4429" s="141">
        <f t="shared" si="348"/>
        <v>0</v>
      </c>
      <c r="J4429">
        <f t="shared" si="349"/>
        <v>0</v>
      </c>
      <c r="K4429" s="141">
        <f t="shared" si="350"/>
        <v>0</v>
      </c>
    </row>
    <row r="4430" spans="7:11" hidden="1" x14ac:dyDescent="0.25">
      <c r="G4430">
        <f t="shared" si="346"/>
        <v>0</v>
      </c>
      <c r="H4430">
        <f t="shared" si="347"/>
        <v>0</v>
      </c>
      <c r="I4430" s="141">
        <f t="shared" si="348"/>
        <v>0</v>
      </c>
      <c r="J4430">
        <f t="shared" si="349"/>
        <v>0</v>
      </c>
      <c r="K4430" s="141">
        <f t="shared" si="350"/>
        <v>0</v>
      </c>
    </row>
    <row r="4431" spans="7:11" hidden="1" x14ac:dyDescent="0.25">
      <c r="G4431">
        <f t="shared" si="346"/>
        <v>0</v>
      </c>
      <c r="H4431">
        <f t="shared" si="347"/>
        <v>0</v>
      </c>
      <c r="I4431" s="141">
        <f t="shared" si="348"/>
        <v>0</v>
      </c>
      <c r="J4431">
        <f t="shared" si="349"/>
        <v>0</v>
      </c>
      <c r="K4431" s="141">
        <f t="shared" si="350"/>
        <v>0</v>
      </c>
    </row>
    <row r="4432" spans="7:11" hidden="1" x14ac:dyDescent="0.25">
      <c r="G4432">
        <f t="shared" si="346"/>
        <v>0</v>
      </c>
      <c r="H4432">
        <f t="shared" si="347"/>
        <v>0</v>
      </c>
      <c r="I4432" s="141">
        <f t="shared" si="348"/>
        <v>0</v>
      </c>
      <c r="J4432">
        <f t="shared" si="349"/>
        <v>0</v>
      </c>
      <c r="K4432" s="141">
        <f t="shared" si="350"/>
        <v>0</v>
      </c>
    </row>
    <row r="4433" spans="7:11" hidden="1" x14ac:dyDescent="0.25">
      <c r="G4433">
        <f t="shared" si="346"/>
        <v>0</v>
      </c>
      <c r="H4433">
        <f t="shared" si="347"/>
        <v>0</v>
      </c>
      <c r="I4433" s="141">
        <f t="shared" si="348"/>
        <v>0</v>
      </c>
      <c r="J4433">
        <f t="shared" si="349"/>
        <v>0</v>
      </c>
      <c r="K4433" s="141">
        <f t="shared" si="350"/>
        <v>0</v>
      </c>
    </row>
    <row r="4434" spans="7:11" hidden="1" x14ac:dyDescent="0.25">
      <c r="G4434">
        <f t="shared" si="346"/>
        <v>0</v>
      </c>
      <c r="H4434">
        <f t="shared" si="347"/>
        <v>0</v>
      </c>
      <c r="I4434" s="141">
        <f t="shared" si="348"/>
        <v>0</v>
      </c>
      <c r="J4434">
        <f t="shared" si="349"/>
        <v>0</v>
      </c>
      <c r="K4434" s="141">
        <f t="shared" si="350"/>
        <v>0</v>
      </c>
    </row>
    <row r="4435" spans="7:11" hidden="1" x14ac:dyDescent="0.25">
      <c r="G4435">
        <f t="shared" si="346"/>
        <v>0</v>
      </c>
      <c r="H4435">
        <f t="shared" si="347"/>
        <v>0</v>
      </c>
      <c r="I4435" s="141">
        <f t="shared" si="348"/>
        <v>0</v>
      </c>
      <c r="J4435">
        <f t="shared" si="349"/>
        <v>0</v>
      </c>
      <c r="K4435" s="141">
        <f t="shared" si="350"/>
        <v>0</v>
      </c>
    </row>
    <row r="4436" spans="7:11" hidden="1" x14ac:dyDescent="0.25">
      <c r="G4436">
        <f t="shared" si="346"/>
        <v>0</v>
      </c>
      <c r="H4436">
        <f t="shared" si="347"/>
        <v>0</v>
      </c>
      <c r="I4436" s="141">
        <f t="shared" si="348"/>
        <v>0</v>
      </c>
      <c r="J4436">
        <f t="shared" si="349"/>
        <v>0</v>
      </c>
      <c r="K4436" s="141">
        <f t="shared" si="350"/>
        <v>0</v>
      </c>
    </row>
    <row r="4437" spans="7:11" hidden="1" x14ac:dyDescent="0.25">
      <c r="G4437">
        <f t="shared" si="346"/>
        <v>0</v>
      </c>
      <c r="H4437">
        <f t="shared" si="347"/>
        <v>0</v>
      </c>
      <c r="I4437" s="141">
        <f t="shared" si="348"/>
        <v>0</v>
      </c>
      <c r="J4437">
        <f t="shared" si="349"/>
        <v>0</v>
      </c>
      <c r="K4437" s="141">
        <f t="shared" si="350"/>
        <v>0</v>
      </c>
    </row>
    <row r="4438" spans="7:11" hidden="1" x14ac:dyDescent="0.25">
      <c r="G4438">
        <f t="shared" si="346"/>
        <v>0</v>
      </c>
      <c r="H4438">
        <f t="shared" si="347"/>
        <v>0</v>
      </c>
      <c r="I4438" s="141">
        <f t="shared" si="348"/>
        <v>0</v>
      </c>
      <c r="J4438">
        <f t="shared" si="349"/>
        <v>0</v>
      </c>
      <c r="K4438" s="141">
        <f t="shared" si="350"/>
        <v>0</v>
      </c>
    </row>
    <row r="4439" spans="7:11" hidden="1" x14ac:dyDescent="0.25">
      <c r="G4439">
        <f t="shared" si="346"/>
        <v>0</v>
      </c>
      <c r="H4439">
        <f t="shared" si="347"/>
        <v>0</v>
      </c>
      <c r="I4439" s="141">
        <f t="shared" si="348"/>
        <v>0</v>
      </c>
      <c r="J4439">
        <f t="shared" si="349"/>
        <v>0</v>
      </c>
      <c r="K4439" s="141">
        <f t="shared" si="350"/>
        <v>0</v>
      </c>
    </row>
    <row r="4440" spans="7:11" hidden="1" x14ac:dyDescent="0.25">
      <c r="G4440">
        <f t="shared" si="346"/>
        <v>0</v>
      </c>
      <c r="H4440">
        <f t="shared" si="347"/>
        <v>0</v>
      </c>
      <c r="I4440" s="141">
        <f t="shared" si="348"/>
        <v>0</v>
      </c>
      <c r="J4440">
        <f t="shared" si="349"/>
        <v>0</v>
      </c>
      <c r="K4440" s="141">
        <f t="shared" si="350"/>
        <v>0</v>
      </c>
    </row>
    <row r="4441" spans="7:11" hidden="1" x14ac:dyDescent="0.25">
      <c r="G4441">
        <f t="shared" si="346"/>
        <v>0</v>
      </c>
      <c r="H4441">
        <f t="shared" si="347"/>
        <v>0</v>
      </c>
      <c r="I4441" s="141">
        <f t="shared" si="348"/>
        <v>0</v>
      </c>
      <c r="J4441">
        <f t="shared" si="349"/>
        <v>0</v>
      </c>
      <c r="K4441" s="141">
        <f t="shared" si="350"/>
        <v>0</v>
      </c>
    </row>
    <row r="4442" spans="7:11" hidden="1" x14ac:dyDescent="0.25">
      <c r="G4442">
        <f t="shared" si="346"/>
        <v>0</v>
      </c>
      <c r="H4442">
        <f t="shared" si="347"/>
        <v>0</v>
      </c>
      <c r="I4442" s="141">
        <f t="shared" si="348"/>
        <v>0</v>
      </c>
      <c r="J4442">
        <f t="shared" si="349"/>
        <v>0</v>
      </c>
      <c r="K4442" s="141">
        <f t="shared" si="350"/>
        <v>0</v>
      </c>
    </row>
    <row r="4443" spans="7:11" hidden="1" x14ac:dyDescent="0.25">
      <c r="G4443">
        <f t="shared" si="346"/>
        <v>0</v>
      </c>
      <c r="H4443">
        <f t="shared" si="347"/>
        <v>0</v>
      </c>
      <c r="I4443" s="141">
        <f t="shared" si="348"/>
        <v>0</v>
      </c>
      <c r="J4443">
        <f t="shared" si="349"/>
        <v>0</v>
      </c>
      <c r="K4443" s="141">
        <f t="shared" si="350"/>
        <v>0</v>
      </c>
    </row>
    <row r="4444" spans="7:11" hidden="1" x14ac:dyDescent="0.25">
      <c r="G4444">
        <f t="shared" si="346"/>
        <v>0</v>
      </c>
      <c r="H4444">
        <f t="shared" si="347"/>
        <v>0</v>
      </c>
      <c r="I4444" s="141">
        <f t="shared" si="348"/>
        <v>0</v>
      </c>
      <c r="J4444">
        <f t="shared" si="349"/>
        <v>0</v>
      </c>
      <c r="K4444" s="141">
        <f t="shared" si="350"/>
        <v>0</v>
      </c>
    </row>
    <row r="4445" spans="7:11" hidden="1" x14ac:dyDescent="0.25">
      <c r="G4445">
        <f t="shared" si="346"/>
        <v>0</v>
      </c>
      <c r="H4445">
        <f t="shared" si="347"/>
        <v>0</v>
      </c>
      <c r="I4445" s="141">
        <f t="shared" si="348"/>
        <v>0</v>
      </c>
      <c r="J4445">
        <f t="shared" si="349"/>
        <v>0</v>
      </c>
      <c r="K4445" s="141">
        <f t="shared" si="350"/>
        <v>0</v>
      </c>
    </row>
    <row r="4446" spans="7:11" hidden="1" x14ac:dyDescent="0.25">
      <c r="G4446">
        <f t="shared" si="346"/>
        <v>0</v>
      </c>
      <c r="H4446">
        <f t="shared" si="347"/>
        <v>0</v>
      </c>
      <c r="I4446" s="141">
        <f t="shared" si="348"/>
        <v>0</v>
      </c>
      <c r="J4446">
        <f t="shared" si="349"/>
        <v>0</v>
      </c>
      <c r="K4446" s="141">
        <f t="shared" si="350"/>
        <v>0</v>
      </c>
    </row>
    <row r="4447" spans="7:11" hidden="1" x14ac:dyDescent="0.25">
      <c r="G4447">
        <f t="shared" si="346"/>
        <v>0</v>
      </c>
      <c r="H4447">
        <f t="shared" si="347"/>
        <v>0</v>
      </c>
      <c r="I4447" s="141">
        <f t="shared" si="348"/>
        <v>0</v>
      </c>
      <c r="J4447">
        <f t="shared" si="349"/>
        <v>0</v>
      </c>
      <c r="K4447" s="141">
        <f t="shared" si="350"/>
        <v>0</v>
      </c>
    </row>
    <row r="4448" spans="7:11" hidden="1" x14ac:dyDescent="0.25">
      <c r="G4448">
        <f t="shared" si="346"/>
        <v>0</v>
      </c>
      <c r="H4448">
        <f t="shared" si="347"/>
        <v>0</v>
      </c>
      <c r="I4448" s="141">
        <f t="shared" si="348"/>
        <v>0</v>
      </c>
      <c r="J4448">
        <f t="shared" si="349"/>
        <v>0</v>
      </c>
      <c r="K4448" s="141">
        <f t="shared" si="350"/>
        <v>0</v>
      </c>
    </row>
    <row r="4449" spans="7:11" hidden="1" x14ac:dyDescent="0.25">
      <c r="G4449">
        <f t="shared" si="346"/>
        <v>0</v>
      </c>
      <c r="H4449">
        <f t="shared" si="347"/>
        <v>0</v>
      </c>
      <c r="I4449" s="141">
        <f t="shared" si="348"/>
        <v>0</v>
      </c>
      <c r="J4449">
        <f t="shared" si="349"/>
        <v>0</v>
      </c>
      <c r="K4449" s="141">
        <f t="shared" si="350"/>
        <v>0</v>
      </c>
    </row>
    <row r="4450" spans="7:11" hidden="1" x14ac:dyDescent="0.25">
      <c r="G4450">
        <f t="shared" si="346"/>
        <v>0</v>
      </c>
      <c r="H4450">
        <f t="shared" si="347"/>
        <v>0</v>
      </c>
      <c r="I4450" s="141">
        <f t="shared" si="348"/>
        <v>0</v>
      </c>
      <c r="J4450">
        <f t="shared" si="349"/>
        <v>0</v>
      </c>
      <c r="K4450" s="141">
        <f t="shared" si="350"/>
        <v>0</v>
      </c>
    </row>
    <row r="4451" spans="7:11" hidden="1" x14ac:dyDescent="0.25">
      <c r="G4451">
        <f t="shared" si="346"/>
        <v>0</v>
      </c>
      <c r="H4451">
        <f t="shared" si="347"/>
        <v>0</v>
      </c>
      <c r="I4451" s="141">
        <f t="shared" si="348"/>
        <v>0</v>
      </c>
      <c r="J4451">
        <f t="shared" si="349"/>
        <v>0</v>
      </c>
      <c r="K4451" s="141">
        <f t="shared" si="350"/>
        <v>0</v>
      </c>
    </row>
    <row r="4452" spans="7:11" hidden="1" x14ac:dyDescent="0.25">
      <c r="G4452">
        <f t="shared" si="346"/>
        <v>0</v>
      </c>
      <c r="H4452">
        <f t="shared" si="347"/>
        <v>0</v>
      </c>
      <c r="I4452" s="141">
        <f t="shared" si="348"/>
        <v>0</v>
      </c>
      <c r="J4452">
        <f t="shared" si="349"/>
        <v>0</v>
      </c>
      <c r="K4452" s="141">
        <f t="shared" si="350"/>
        <v>0</v>
      </c>
    </row>
    <row r="4453" spans="7:11" hidden="1" x14ac:dyDescent="0.25">
      <c r="G4453">
        <f t="shared" si="346"/>
        <v>0</v>
      </c>
      <c r="H4453">
        <f t="shared" si="347"/>
        <v>0</v>
      </c>
      <c r="I4453" s="141">
        <f t="shared" si="348"/>
        <v>0</v>
      </c>
      <c r="J4453">
        <f t="shared" si="349"/>
        <v>0</v>
      </c>
      <c r="K4453" s="141">
        <f t="shared" si="350"/>
        <v>0</v>
      </c>
    </row>
    <row r="4454" spans="7:11" hidden="1" x14ac:dyDescent="0.25">
      <c r="G4454">
        <f t="shared" si="346"/>
        <v>0</v>
      </c>
      <c r="H4454">
        <f t="shared" si="347"/>
        <v>0</v>
      </c>
      <c r="I4454" s="141">
        <f t="shared" si="348"/>
        <v>0</v>
      </c>
      <c r="J4454">
        <f t="shared" si="349"/>
        <v>0</v>
      </c>
      <c r="K4454" s="141">
        <f t="shared" si="350"/>
        <v>0</v>
      </c>
    </row>
    <row r="4455" spans="7:11" hidden="1" x14ac:dyDescent="0.25">
      <c r="G4455">
        <f t="shared" si="346"/>
        <v>0</v>
      </c>
      <c r="H4455">
        <f t="shared" si="347"/>
        <v>0</v>
      </c>
      <c r="I4455" s="141">
        <f t="shared" si="348"/>
        <v>0</v>
      </c>
      <c r="J4455">
        <f t="shared" si="349"/>
        <v>0</v>
      </c>
      <c r="K4455" s="141">
        <f t="shared" si="350"/>
        <v>0</v>
      </c>
    </row>
    <row r="4456" spans="7:11" hidden="1" x14ac:dyDescent="0.25">
      <c r="G4456">
        <f t="shared" si="346"/>
        <v>0</v>
      </c>
      <c r="H4456">
        <f t="shared" si="347"/>
        <v>0</v>
      </c>
      <c r="I4456" s="141">
        <f t="shared" si="348"/>
        <v>0</v>
      </c>
      <c r="J4456">
        <f t="shared" si="349"/>
        <v>0</v>
      </c>
      <c r="K4456" s="141">
        <f t="shared" si="350"/>
        <v>0</v>
      </c>
    </row>
    <row r="4457" spans="7:11" hidden="1" x14ac:dyDescent="0.25">
      <c r="G4457">
        <f t="shared" si="346"/>
        <v>0</v>
      </c>
      <c r="H4457">
        <f t="shared" si="347"/>
        <v>0</v>
      </c>
      <c r="I4457" s="141">
        <f t="shared" si="348"/>
        <v>0</v>
      </c>
      <c r="J4457">
        <f t="shared" si="349"/>
        <v>0</v>
      </c>
      <c r="K4457" s="141">
        <f t="shared" si="350"/>
        <v>0</v>
      </c>
    </row>
    <row r="4458" spans="7:11" hidden="1" x14ac:dyDescent="0.25">
      <c r="G4458">
        <f t="shared" si="346"/>
        <v>0</v>
      </c>
      <c r="H4458">
        <f t="shared" si="347"/>
        <v>0</v>
      </c>
      <c r="I4458" s="141">
        <f t="shared" si="348"/>
        <v>0</v>
      </c>
      <c r="J4458">
        <f t="shared" si="349"/>
        <v>0</v>
      </c>
      <c r="K4458" s="141">
        <f t="shared" si="350"/>
        <v>0</v>
      </c>
    </row>
    <row r="4459" spans="7:11" hidden="1" x14ac:dyDescent="0.25">
      <c r="G4459">
        <f t="shared" si="346"/>
        <v>0</v>
      </c>
      <c r="H4459">
        <f t="shared" si="347"/>
        <v>0</v>
      </c>
      <c r="I4459" s="141">
        <f t="shared" si="348"/>
        <v>0</v>
      </c>
      <c r="J4459">
        <f t="shared" si="349"/>
        <v>0</v>
      </c>
      <c r="K4459" s="141">
        <f t="shared" si="350"/>
        <v>0</v>
      </c>
    </row>
    <row r="4460" spans="7:11" hidden="1" x14ac:dyDescent="0.25">
      <c r="G4460">
        <f t="shared" si="346"/>
        <v>0</v>
      </c>
      <c r="H4460">
        <f t="shared" si="347"/>
        <v>0</v>
      </c>
      <c r="I4460" s="141">
        <f t="shared" si="348"/>
        <v>0</v>
      </c>
      <c r="J4460">
        <f t="shared" si="349"/>
        <v>0</v>
      </c>
      <c r="K4460" s="141">
        <f t="shared" si="350"/>
        <v>0</v>
      </c>
    </row>
    <row r="4461" spans="7:11" hidden="1" x14ac:dyDescent="0.25">
      <c r="G4461">
        <f t="shared" si="346"/>
        <v>0</v>
      </c>
      <c r="H4461">
        <f t="shared" si="347"/>
        <v>0</v>
      </c>
      <c r="I4461" s="141">
        <f t="shared" si="348"/>
        <v>0</v>
      </c>
      <c r="J4461">
        <f t="shared" si="349"/>
        <v>0</v>
      </c>
      <c r="K4461" s="141">
        <f t="shared" si="350"/>
        <v>0</v>
      </c>
    </row>
    <row r="4462" spans="7:11" hidden="1" x14ac:dyDescent="0.25">
      <c r="G4462">
        <f t="shared" si="346"/>
        <v>0</v>
      </c>
      <c r="H4462">
        <f t="shared" si="347"/>
        <v>0</v>
      </c>
      <c r="I4462" s="141">
        <f t="shared" si="348"/>
        <v>0</v>
      </c>
      <c r="J4462">
        <f t="shared" si="349"/>
        <v>0</v>
      </c>
      <c r="K4462" s="141">
        <f t="shared" si="350"/>
        <v>0</v>
      </c>
    </row>
    <row r="4463" spans="7:11" hidden="1" x14ac:dyDescent="0.25">
      <c r="G4463">
        <f t="shared" si="346"/>
        <v>0</v>
      </c>
      <c r="H4463">
        <f t="shared" si="347"/>
        <v>0</v>
      </c>
      <c r="I4463" s="141">
        <f t="shared" si="348"/>
        <v>0</v>
      </c>
      <c r="J4463">
        <f t="shared" si="349"/>
        <v>0</v>
      </c>
      <c r="K4463" s="141">
        <f t="shared" si="350"/>
        <v>0</v>
      </c>
    </row>
    <row r="4464" spans="7:11" hidden="1" x14ac:dyDescent="0.25">
      <c r="G4464">
        <f t="shared" si="346"/>
        <v>0</v>
      </c>
      <c r="H4464">
        <f t="shared" si="347"/>
        <v>0</v>
      </c>
      <c r="I4464" s="141">
        <f t="shared" si="348"/>
        <v>0</v>
      </c>
      <c r="J4464">
        <f t="shared" si="349"/>
        <v>0</v>
      </c>
      <c r="K4464" s="141">
        <f t="shared" si="350"/>
        <v>0</v>
      </c>
    </row>
    <row r="4465" spans="7:11" hidden="1" x14ac:dyDescent="0.25">
      <c r="G4465">
        <f t="shared" si="346"/>
        <v>0</v>
      </c>
      <c r="H4465">
        <f t="shared" si="347"/>
        <v>0</v>
      </c>
      <c r="I4465" s="141">
        <f t="shared" si="348"/>
        <v>0</v>
      </c>
      <c r="J4465">
        <f t="shared" si="349"/>
        <v>0</v>
      </c>
      <c r="K4465" s="141">
        <f t="shared" si="350"/>
        <v>0</v>
      </c>
    </row>
    <row r="4466" spans="7:11" hidden="1" x14ac:dyDescent="0.25">
      <c r="G4466">
        <f t="shared" si="346"/>
        <v>0</v>
      </c>
      <c r="H4466">
        <f t="shared" si="347"/>
        <v>0</v>
      </c>
      <c r="I4466" s="141">
        <f t="shared" si="348"/>
        <v>0</v>
      </c>
      <c r="J4466">
        <f t="shared" si="349"/>
        <v>0</v>
      </c>
      <c r="K4466" s="141">
        <f t="shared" si="350"/>
        <v>0</v>
      </c>
    </row>
    <row r="4467" spans="7:11" hidden="1" x14ac:dyDescent="0.25">
      <c r="G4467">
        <f t="shared" si="346"/>
        <v>0</v>
      </c>
      <c r="H4467">
        <f t="shared" si="347"/>
        <v>0</v>
      </c>
      <c r="I4467" s="141">
        <f t="shared" si="348"/>
        <v>0</v>
      </c>
      <c r="J4467">
        <f t="shared" si="349"/>
        <v>0</v>
      </c>
      <c r="K4467" s="141">
        <f t="shared" si="350"/>
        <v>0</v>
      </c>
    </row>
    <row r="4468" spans="7:11" hidden="1" x14ac:dyDescent="0.25">
      <c r="G4468">
        <f t="shared" si="346"/>
        <v>0</v>
      </c>
      <c r="H4468">
        <f t="shared" si="347"/>
        <v>0</v>
      </c>
      <c r="I4468" s="141">
        <f t="shared" si="348"/>
        <v>0</v>
      </c>
      <c r="J4468">
        <f t="shared" si="349"/>
        <v>0</v>
      </c>
      <c r="K4468" s="141">
        <f t="shared" si="350"/>
        <v>0</v>
      </c>
    </row>
    <row r="4469" spans="7:11" hidden="1" x14ac:dyDescent="0.25">
      <c r="G4469">
        <f t="shared" si="346"/>
        <v>0</v>
      </c>
      <c r="H4469">
        <f t="shared" si="347"/>
        <v>0</v>
      </c>
      <c r="I4469" s="141">
        <f t="shared" si="348"/>
        <v>0</v>
      </c>
      <c r="J4469">
        <f t="shared" si="349"/>
        <v>0</v>
      </c>
      <c r="K4469" s="141">
        <f t="shared" si="350"/>
        <v>0</v>
      </c>
    </row>
    <row r="4470" spans="7:11" hidden="1" x14ac:dyDescent="0.25">
      <c r="G4470">
        <f t="shared" si="346"/>
        <v>0</v>
      </c>
      <c r="H4470">
        <f t="shared" si="347"/>
        <v>0</v>
      </c>
      <c r="I4470" s="141">
        <f t="shared" si="348"/>
        <v>0</v>
      </c>
      <c r="J4470">
        <f t="shared" si="349"/>
        <v>0</v>
      </c>
      <c r="K4470" s="141">
        <f t="shared" si="350"/>
        <v>0</v>
      </c>
    </row>
    <row r="4471" spans="7:11" hidden="1" x14ac:dyDescent="0.25">
      <c r="G4471">
        <f t="shared" si="346"/>
        <v>0</v>
      </c>
      <c r="H4471">
        <f t="shared" si="347"/>
        <v>0</v>
      </c>
      <c r="I4471" s="141">
        <f t="shared" si="348"/>
        <v>0</v>
      </c>
      <c r="J4471">
        <f t="shared" si="349"/>
        <v>0</v>
      </c>
      <c r="K4471" s="141">
        <f t="shared" si="350"/>
        <v>0</v>
      </c>
    </row>
    <row r="4472" spans="7:11" hidden="1" x14ac:dyDescent="0.25">
      <c r="G4472">
        <f t="shared" si="346"/>
        <v>0</v>
      </c>
      <c r="H4472">
        <f t="shared" si="347"/>
        <v>0</v>
      </c>
      <c r="I4472" s="141">
        <f t="shared" si="348"/>
        <v>0</v>
      </c>
      <c r="J4472">
        <f t="shared" si="349"/>
        <v>0</v>
      </c>
      <c r="K4472" s="141">
        <f t="shared" si="350"/>
        <v>0</v>
      </c>
    </row>
    <row r="4473" spans="7:11" hidden="1" x14ac:dyDescent="0.25">
      <c r="G4473">
        <f t="shared" si="346"/>
        <v>0</v>
      </c>
      <c r="H4473">
        <f t="shared" si="347"/>
        <v>0</v>
      </c>
      <c r="I4473" s="141">
        <f t="shared" si="348"/>
        <v>0</v>
      </c>
      <c r="J4473">
        <f t="shared" si="349"/>
        <v>0</v>
      </c>
      <c r="K4473" s="141">
        <f t="shared" si="350"/>
        <v>0</v>
      </c>
    </row>
    <row r="4474" spans="7:11" hidden="1" x14ac:dyDescent="0.25">
      <c r="G4474">
        <f t="shared" si="346"/>
        <v>0</v>
      </c>
      <c r="H4474">
        <f t="shared" si="347"/>
        <v>0</v>
      </c>
      <c r="I4474" s="141">
        <f t="shared" si="348"/>
        <v>0</v>
      </c>
      <c r="J4474">
        <f t="shared" si="349"/>
        <v>0</v>
      </c>
      <c r="K4474" s="141">
        <f t="shared" si="350"/>
        <v>0</v>
      </c>
    </row>
    <row r="4475" spans="7:11" hidden="1" x14ac:dyDescent="0.25">
      <c r="G4475">
        <f t="shared" si="346"/>
        <v>0</v>
      </c>
      <c r="H4475">
        <f t="shared" si="347"/>
        <v>0</v>
      </c>
      <c r="I4475" s="141">
        <f t="shared" si="348"/>
        <v>0</v>
      </c>
      <c r="J4475">
        <f t="shared" si="349"/>
        <v>0</v>
      </c>
      <c r="K4475" s="141">
        <f t="shared" si="350"/>
        <v>0</v>
      </c>
    </row>
    <row r="4476" spans="7:11" hidden="1" x14ac:dyDescent="0.25">
      <c r="G4476">
        <f t="shared" si="346"/>
        <v>0</v>
      </c>
      <c r="H4476">
        <f t="shared" si="347"/>
        <v>0</v>
      </c>
      <c r="I4476" s="141">
        <f t="shared" si="348"/>
        <v>0</v>
      </c>
      <c r="J4476">
        <f t="shared" si="349"/>
        <v>0</v>
      </c>
      <c r="K4476" s="141">
        <f t="shared" si="350"/>
        <v>0</v>
      </c>
    </row>
    <row r="4477" spans="7:11" hidden="1" x14ac:dyDescent="0.25">
      <c r="G4477">
        <f t="shared" si="346"/>
        <v>0</v>
      </c>
      <c r="H4477">
        <f t="shared" si="347"/>
        <v>0</v>
      </c>
      <c r="I4477" s="141">
        <f t="shared" si="348"/>
        <v>0</v>
      </c>
      <c r="J4477">
        <f t="shared" si="349"/>
        <v>0</v>
      </c>
      <c r="K4477" s="141">
        <f t="shared" si="350"/>
        <v>0</v>
      </c>
    </row>
    <row r="4478" spans="7:11" hidden="1" x14ac:dyDescent="0.25">
      <c r="G4478">
        <f t="shared" si="346"/>
        <v>0</v>
      </c>
      <c r="H4478">
        <f t="shared" si="347"/>
        <v>0</v>
      </c>
      <c r="I4478" s="141">
        <f t="shared" si="348"/>
        <v>0</v>
      </c>
      <c r="J4478">
        <f t="shared" si="349"/>
        <v>0</v>
      </c>
      <c r="K4478" s="141">
        <f t="shared" si="350"/>
        <v>0</v>
      </c>
    </row>
    <row r="4479" spans="7:11" hidden="1" x14ac:dyDescent="0.25">
      <c r="G4479">
        <f t="shared" si="346"/>
        <v>0</v>
      </c>
      <c r="H4479">
        <f t="shared" si="347"/>
        <v>0</v>
      </c>
      <c r="I4479" s="141">
        <f t="shared" si="348"/>
        <v>0</v>
      </c>
      <c r="J4479">
        <f t="shared" si="349"/>
        <v>0</v>
      </c>
      <c r="K4479" s="141">
        <f t="shared" si="350"/>
        <v>0</v>
      </c>
    </row>
    <row r="4480" spans="7:11" hidden="1" x14ac:dyDescent="0.25">
      <c r="G4480">
        <f t="shared" si="346"/>
        <v>0</v>
      </c>
      <c r="H4480">
        <f t="shared" si="347"/>
        <v>0</v>
      </c>
      <c r="I4480" s="141">
        <f t="shared" si="348"/>
        <v>0</v>
      </c>
      <c r="J4480">
        <f t="shared" si="349"/>
        <v>0</v>
      </c>
      <c r="K4480" s="141">
        <f t="shared" si="350"/>
        <v>0</v>
      </c>
    </row>
    <row r="4481" spans="7:11" hidden="1" x14ac:dyDescent="0.25">
      <c r="G4481">
        <f t="shared" si="346"/>
        <v>0</v>
      </c>
      <c r="H4481">
        <f t="shared" si="347"/>
        <v>0</v>
      </c>
      <c r="I4481" s="141">
        <f t="shared" si="348"/>
        <v>0</v>
      </c>
      <c r="J4481">
        <f t="shared" si="349"/>
        <v>0</v>
      </c>
      <c r="K4481" s="141">
        <f t="shared" si="350"/>
        <v>0</v>
      </c>
    </row>
    <row r="4482" spans="7:11" hidden="1" x14ac:dyDescent="0.25">
      <c r="G4482">
        <f t="shared" ref="G4482:G4545" si="351">A4482</f>
        <v>0</v>
      </c>
      <c r="H4482">
        <f t="shared" ref="H4482:H4545" si="352">B4482</f>
        <v>0</v>
      </c>
      <c r="I4482" s="141">
        <f t="shared" ref="I4482:I4545" si="353">C4482</f>
        <v>0</v>
      </c>
      <c r="J4482">
        <f t="shared" ref="J4482:J4545" si="354">D4482</f>
        <v>0</v>
      </c>
      <c r="K4482" s="141">
        <f t="shared" ref="K4482:K4545" si="355">E4482</f>
        <v>0</v>
      </c>
    </row>
    <row r="4483" spans="7:11" hidden="1" x14ac:dyDescent="0.25">
      <c r="G4483">
        <f t="shared" si="351"/>
        <v>0</v>
      </c>
      <c r="H4483">
        <f t="shared" si="352"/>
        <v>0</v>
      </c>
      <c r="I4483" s="141">
        <f t="shared" si="353"/>
        <v>0</v>
      </c>
      <c r="J4483">
        <f t="shared" si="354"/>
        <v>0</v>
      </c>
      <c r="K4483" s="141">
        <f t="shared" si="355"/>
        <v>0</v>
      </c>
    </row>
    <row r="4484" spans="7:11" hidden="1" x14ac:dyDescent="0.25">
      <c r="G4484">
        <f t="shared" si="351"/>
        <v>0</v>
      </c>
      <c r="H4484">
        <f t="shared" si="352"/>
        <v>0</v>
      </c>
      <c r="I4484" s="141">
        <f t="shared" si="353"/>
        <v>0</v>
      </c>
      <c r="J4484">
        <f t="shared" si="354"/>
        <v>0</v>
      </c>
      <c r="K4484" s="141">
        <f t="shared" si="355"/>
        <v>0</v>
      </c>
    </row>
    <row r="4485" spans="7:11" hidden="1" x14ac:dyDescent="0.25">
      <c r="G4485">
        <f t="shared" si="351"/>
        <v>0</v>
      </c>
      <c r="H4485">
        <f t="shared" si="352"/>
        <v>0</v>
      </c>
      <c r="I4485" s="141">
        <f t="shared" si="353"/>
        <v>0</v>
      </c>
      <c r="J4485">
        <f t="shared" si="354"/>
        <v>0</v>
      </c>
      <c r="K4485" s="141">
        <f t="shared" si="355"/>
        <v>0</v>
      </c>
    </row>
    <row r="4486" spans="7:11" hidden="1" x14ac:dyDescent="0.25">
      <c r="G4486">
        <f t="shared" si="351"/>
        <v>0</v>
      </c>
      <c r="H4486">
        <f t="shared" si="352"/>
        <v>0</v>
      </c>
      <c r="I4486" s="141">
        <f t="shared" si="353"/>
        <v>0</v>
      </c>
      <c r="J4486">
        <f t="shared" si="354"/>
        <v>0</v>
      </c>
      <c r="K4486" s="141">
        <f t="shared" si="355"/>
        <v>0</v>
      </c>
    </row>
    <row r="4487" spans="7:11" hidden="1" x14ac:dyDescent="0.25">
      <c r="G4487">
        <f t="shared" si="351"/>
        <v>0</v>
      </c>
      <c r="H4487">
        <f t="shared" si="352"/>
        <v>0</v>
      </c>
      <c r="I4487" s="141">
        <f t="shared" si="353"/>
        <v>0</v>
      </c>
      <c r="J4487">
        <f t="shared" si="354"/>
        <v>0</v>
      </c>
      <c r="K4487" s="141">
        <f t="shared" si="355"/>
        <v>0</v>
      </c>
    </row>
    <row r="4488" spans="7:11" hidden="1" x14ac:dyDescent="0.25">
      <c r="G4488">
        <f t="shared" si="351"/>
        <v>0</v>
      </c>
      <c r="H4488">
        <f t="shared" si="352"/>
        <v>0</v>
      </c>
      <c r="I4488" s="141">
        <f t="shared" si="353"/>
        <v>0</v>
      </c>
      <c r="J4488">
        <f t="shared" si="354"/>
        <v>0</v>
      </c>
      <c r="K4488" s="141">
        <f t="shared" si="355"/>
        <v>0</v>
      </c>
    </row>
    <row r="4489" spans="7:11" hidden="1" x14ac:dyDescent="0.25">
      <c r="G4489">
        <f t="shared" si="351"/>
        <v>0</v>
      </c>
      <c r="H4489">
        <f t="shared" si="352"/>
        <v>0</v>
      </c>
      <c r="I4489" s="141">
        <f t="shared" si="353"/>
        <v>0</v>
      </c>
      <c r="J4489">
        <f t="shared" si="354"/>
        <v>0</v>
      </c>
      <c r="K4489" s="141">
        <f t="shared" si="355"/>
        <v>0</v>
      </c>
    </row>
    <row r="4490" spans="7:11" hidden="1" x14ac:dyDescent="0.25">
      <c r="G4490">
        <f t="shared" si="351"/>
        <v>0</v>
      </c>
      <c r="H4490">
        <f t="shared" si="352"/>
        <v>0</v>
      </c>
      <c r="I4490" s="141">
        <f t="shared" si="353"/>
        <v>0</v>
      </c>
      <c r="J4490">
        <f t="shared" si="354"/>
        <v>0</v>
      </c>
      <c r="K4490" s="141">
        <f t="shared" si="355"/>
        <v>0</v>
      </c>
    </row>
    <row r="4491" spans="7:11" hidden="1" x14ac:dyDescent="0.25">
      <c r="G4491">
        <f t="shared" si="351"/>
        <v>0</v>
      </c>
      <c r="H4491">
        <f t="shared" si="352"/>
        <v>0</v>
      </c>
      <c r="I4491" s="141">
        <f t="shared" si="353"/>
        <v>0</v>
      </c>
      <c r="J4491">
        <f t="shared" si="354"/>
        <v>0</v>
      </c>
      <c r="K4491" s="141">
        <f t="shared" si="355"/>
        <v>0</v>
      </c>
    </row>
    <row r="4492" spans="7:11" hidden="1" x14ac:dyDescent="0.25">
      <c r="G4492">
        <f t="shared" si="351"/>
        <v>0</v>
      </c>
      <c r="H4492">
        <f t="shared" si="352"/>
        <v>0</v>
      </c>
      <c r="I4492" s="141">
        <f t="shared" si="353"/>
        <v>0</v>
      </c>
      <c r="J4492">
        <f t="shared" si="354"/>
        <v>0</v>
      </c>
      <c r="K4492" s="141">
        <f t="shared" si="355"/>
        <v>0</v>
      </c>
    </row>
    <row r="4493" spans="7:11" hidden="1" x14ac:dyDescent="0.25">
      <c r="G4493">
        <f t="shared" si="351"/>
        <v>0</v>
      </c>
      <c r="H4493">
        <f t="shared" si="352"/>
        <v>0</v>
      </c>
      <c r="I4493" s="141">
        <f t="shared" si="353"/>
        <v>0</v>
      </c>
      <c r="J4493">
        <f t="shared" si="354"/>
        <v>0</v>
      </c>
      <c r="K4493" s="141">
        <f t="shared" si="355"/>
        <v>0</v>
      </c>
    </row>
    <row r="4494" spans="7:11" hidden="1" x14ac:dyDescent="0.25">
      <c r="G4494">
        <f t="shared" si="351"/>
        <v>0</v>
      </c>
      <c r="H4494">
        <f t="shared" si="352"/>
        <v>0</v>
      </c>
      <c r="I4494" s="141">
        <f t="shared" si="353"/>
        <v>0</v>
      </c>
      <c r="J4494">
        <f t="shared" si="354"/>
        <v>0</v>
      </c>
      <c r="K4494" s="141">
        <f t="shared" si="355"/>
        <v>0</v>
      </c>
    </row>
    <row r="4495" spans="7:11" hidden="1" x14ac:dyDescent="0.25">
      <c r="G4495">
        <f t="shared" si="351"/>
        <v>0</v>
      </c>
      <c r="H4495">
        <f t="shared" si="352"/>
        <v>0</v>
      </c>
      <c r="I4495" s="141">
        <f t="shared" si="353"/>
        <v>0</v>
      </c>
      <c r="J4495">
        <f t="shared" si="354"/>
        <v>0</v>
      </c>
      <c r="K4495" s="141">
        <f t="shared" si="355"/>
        <v>0</v>
      </c>
    </row>
    <row r="4496" spans="7:11" hidden="1" x14ac:dyDescent="0.25">
      <c r="G4496">
        <f t="shared" si="351"/>
        <v>0</v>
      </c>
      <c r="H4496">
        <f t="shared" si="352"/>
        <v>0</v>
      </c>
      <c r="I4496" s="141">
        <f t="shared" si="353"/>
        <v>0</v>
      </c>
      <c r="J4496">
        <f t="shared" si="354"/>
        <v>0</v>
      </c>
      <c r="K4496" s="141">
        <f t="shared" si="355"/>
        <v>0</v>
      </c>
    </row>
    <row r="4497" spans="7:11" hidden="1" x14ac:dyDescent="0.25">
      <c r="G4497">
        <f t="shared" si="351"/>
        <v>0</v>
      </c>
      <c r="H4497">
        <f t="shared" si="352"/>
        <v>0</v>
      </c>
      <c r="I4497" s="141">
        <f t="shared" si="353"/>
        <v>0</v>
      </c>
      <c r="J4497">
        <f t="shared" si="354"/>
        <v>0</v>
      </c>
      <c r="K4497" s="141">
        <f t="shared" si="355"/>
        <v>0</v>
      </c>
    </row>
    <row r="4498" spans="7:11" hidden="1" x14ac:dyDescent="0.25">
      <c r="G4498">
        <f t="shared" si="351"/>
        <v>0</v>
      </c>
      <c r="H4498">
        <f t="shared" si="352"/>
        <v>0</v>
      </c>
      <c r="I4498" s="141">
        <f t="shared" si="353"/>
        <v>0</v>
      </c>
      <c r="J4498">
        <f t="shared" si="354"/>
        <v>0</v>
      </c>
      <c r="K4498" s="141">
        <f t="shared" si="355"/>
        <v>0</v>
      </c>
    </row>
    <row r="4499" spans="7:11" hidden="1" x14ac:dyDescent="0.25">
      <c r="G4499">
        <f t="shared" si="351"/>
        <v>0</v>
      </c>
      <c r="H4499">
        <f t="shared" si="352"/>
        <v>0</v>
      </c>
      <c r="I4499" s="141">
        <f t="shared" si="353"/>
        <v>0</v>
      </c>
      <c r="J4499">
        <f t="shared" si="354"/>
        <v>0</v>
      </c>
      <c r="K4499" s="141">
        <f t="shared" si="355"/>
        <v>0</v>
      </c>
    </row>
    <row r="4500" spans="7:11" hidden="1" x14ac:dyDescent="0.25">
      <c r="G4500">
        <f t="shared" si="351"/>
        <v>0</v>
      </c>
      <c r="H4500">
        <f t="shared" si="352"/>
        <v>0</v>
      </c>
      <c r="I4500" s="141">
        <f t="shared" si="353"/>
        <v>0</v>
      </c>
      <c r="J4500">
        <f t="shared" si="354"/>
        <v>0</v>
      </c>
      <c r="K4500" s="141">
        <f t="shared" si="355"/>
        <v>0</v>
      </c>
    </row>
    <row r="4501" spans="7:11" hidden="1" x14ac:dyDescent="0.25">
      <c r="G4501">
        <f t="shared" si="351"/>
        <v>0</v>
      </c>
      <c r="H4501">
        <f t="shared" si="352"/>
        <v>0</v>
      </c>
      <c r="I4501" s="141">
        <f t="shared" si="353"/>
        <v>0</v>
      </c>
      <c r="J4501">
        <f t="shared" si="354"/>
        <v>0</v>
      </c>
      <c r="K4501" s="141">
        <f t="shared" si="355"/>
        <v>0</v>
      </c>
    </row>
    <row r="4502" spans="7:11" hidden="1" x14ac:dyDescent="0.25">
      <c r="G4502">
        <f t="shared" si="351"/>
        <v>0</v>
      </c>
      <c r="H4502">
        <f t="shared" si="352"/>
        <v>0</v>
      </c>
      <c r="I4502" s="141">
        <f t="shared" si="353"/>
        <v>0</v>
      </c>
      <c r="J4502">
        <f t="shared" si="354"/>
        <v>0</v>
      </c>
      <c r="K4502" s="141">
        <f t="shared" si="355"/>
        <v>0</v>
      </c>
    </row>
    <row r="4503" spans="7:11" hidden="1" x14ac:dyDescent="0.25">
      <c r="G4503">
        <f t="shared" si="351"/>
        <v>0</v>
      </c>
      <c r="H4503">
        <f t="shared" si="352"/>
        <v>0</v>
      </c>
      <c r="I4503" s="141">
        <f t="shared" si="353"/>
        <v>0</v>
      </c>
      <c r="J4503">
        <f t="shared" si="354"/>
        <v>0</v>
      </c>
      <c r="K4503" s="141">
        <f t="shared" si="355"/>
        <v>0</v>
      </c>
    </row>
    <row r="4504" spans="7:11" hidden="1" x14ac:dyDescent="0.25">
      <c r="G4504">
        <f t="shared" si="351"/>
        <v>0</v>
      </c>
      <c r="H4504">
        <f t="shared" si="352"/>
        <v>0</v>
      </c>
      <c r="I4504" s="141">
        <f t="shared" si="353"/>
        <v>0</v>
      </c>
      <c r="J4504">
        <f t="shared" si="354"/>
        <v>0</v>
      </c>
      <c r="K4504" s="141">
        <f t="shared" si="355"/>
        <v>0</v>
      </c>
    </row>
    <row r="4505" spans="7:11" hidden="1" x14ac:dyDescent="0.25">
      <c r="G4505">
        <f t="shared" si="351"/>
        <v>0</v>
      </c>
      <c r="H4505">
        <f t="shared" si="352"/>
        <v>0</v>
      </c>
      <c r="I4505" s="141">
        <f t="shared" si="353"/>
        <v>0</v>
      </c>
      <c r="J4505">
        <f t="shared" si="354"/>
        <v>0</v>
      </c>
      <c r="K4505" s="141">
        <f t="shared" si="355"/>
        <v>0</v>
      </c>
    </row>
    <row r="4506" spans="7:11" hidden="1" x14ac:dyDescent="0.25">
      <c r="G4506">
        <f t="shared" si="351"/>
        <v>0</v>
      </c>
      <c r="H4506">
        <f t="shared" si="352"/>
        <v>0</v>
      </c>
      <c r="I4506" s="141">
        <f t="shared" si="353"/>
        <v>0</v>
      </c>
      <c r="J4506">
        <f t="shared" si="354"/>
        <v>0</v>
      </c>
      <c r="K4506" s="141">
        <f t="shared" si="355"/>
        <v>0</v>
      </c>
    </row>
    <row r="4507" spans="7:11" hidden="1" x14ac:dyDescent="0.25">
      <c r="G4507">
        <f t="shared" si="351"/>
        <v>0</v>
      </c>
      <c r="H4507">
        <f t="shared" si="352"/>
        <v>0</v>
      </c>
      <c r="I4507" s="141">
        <f t="shared" si="353"/>
        <v>0</v>
      </c>
      <c r="J4507">
        <f t="shared" si="354"/>
        <v>0</v>
      </c>
      <c r="K4507" s="141">
        <f t="shared" si="355"/>
        <v>0</v>
      </c>
    </row>
    <row r="4508" spans="7:11" hidden="1" x14ac:dyDescent="0.25">
      <c r="G4508">
        <f t="shared" si="351"/>
        <v>0</v>
      </c>
      <c r="H4508">
        <f t="shared" si="352"/>
        <v>0</v>
      </c>
      <c r="I4508" s="141">
        <f t="shared" si="353"/>
        <v>0</v>
      </c>
      <c r="J4508">
        <f t="shared" si="354"/>
        <v>0</v>
      </c>
      <c r="K4508" s="141">
        <f t="shared" si="355"/>
        <v>0</v>
      </c>
    </row>
    <row r="4509" spans="7:11" hidden="1" x14ac:dyDescent="0.25">
      <c r="G4509">
        <f t="shared" si="351"/>
        <v>0</v>
      </c>
      <c r="H4509">
        <f t="shared" si="352"/>
        <v>0</v>
      </c>
      <c r="I4509" s="141">
        <f t="shared" si="353"/>
        <v>0</v>
      </c>
      <c r="J4509">
        <f t="shared" si="354"/>
        <v>0</v>
      </c>
      <c r="K4509" s="141">
        <f t="shared" si="355"/>
        <v>0</v>
      </c>
    </row>
    <row r="4510" spans="7:11" hidden="1" x14ac:dyDescent="0.25">
      <c r="G4510">
        <f t="shared" si="351"/>
        <v>0</v>
      </c>
      <c r="H4510">
        <f t="shared" si="352"/>
        <v>0</v>
      </c>
      <c r="I4510" s="141">
        <f t="shared" si="353"/>
        <v>0</v>
      </c>
      <c r="J4510">
        <f t="shared" si="354"/>
        <v>0</v>
      </c>
      <c r="K4510" s="141">
        <f t="shared" si="355"/>
        <v>0</v>
      </c>
    </row>
    <row r="4511" spans="7:11" hidden="1" x14ac:dyDescent="0.25">
      <c r="G4511">
        <f t="shared" si="351"/>
        <v>0</v>
      </c>
      <c r="H4511">
        <f t="shared" si="352"/>
        <v>0</v>
      </c>
      <c r="I4511" s="141">
        <f t="shared" si="353"/>
        <v>0</v>
      </c>
      <c r="J4511">
        <f t="shared" si="354"/>
        <v>0</v>
      </c>
      <c r="K4511" s="141">
        <f t="shared" si="355"/>
        <v>0</v>
      </c>
    </row>
    <row r="4512" spans="7:11" hidden="1" x14ac:dyDescent="0.25">
      <c r="G4512">
        <f t="shared" si="351"/>
        <v>0</v>
      </c>
      <c r="H4512">
        <f t="shared" si="352"/>
        <v>0</v>
      </c>
      <c r="I4512" s="141">
        <f t="shared" si="353"/>
        <v>0</v>
      </c>
      <c r="J4512">
        <f t="shared" si="354"/>
        <v>0</v>
      </c>
      <c r="K4512" s="141">
        <f t="shared" si="355"/>
        <v>0</v>
      </c>
    </row>
    <row r="4513" spans="7:11" hidden="1" x14ac:dyDescent="0.25">
      <c r="G4513">
        <f t="shared" si="351"/>
        <v>0</v>
      </c>
      <c r="H4513">
        <f t="shared" si="352"/>
        <v>0</v>
      </c>
      <c r="I4513" s="141">
        <f t="shared" si="353"/>
        <v>0</v>
      </c>
      <c r="J4513">
        <f t="shared" si="354"/>
        <v>0</v>
      </c>
      <c r="K4513" s="141">
        <f t="shared" si="355"/>
        <v>0</v>
      </c>
    </row>
    <row r="4514" spans="7:11" hidden="1" x14ac:dyDescent="0.25">
      <c r="G4514">
        <f t="shared" si="351"/>
        <v>0</v>
      </c>
      <c r="H4514">
        <f t="shared" si="352"/>
        <v>0</v>
      </c>
      <c r="I4514" s="141">
        <f t="shared" si="353"/>
        <v>0</v>
      </c>
      <c r="J4514">
        <f t="shared" si="354"/>
        <v>0</v>
      </c>
      <c r="K4514" s="141">
        <f t="shared" si="355"/>
        <v>0</v>
      </c>
    </row>
    <row r="4515" spans="7:11" hidden="1" x14ac:dyDescent="0.25">
      <c r="G4515">
        <f t="shared" si="351"/>
        <v>0</v>
      </c>
      <c r="H4515">
        <f t="shared" si="352"/>
        <v>0</v>
      </c>
      <c r="I4515" s="141">
        <f t="shared" si="353"/>
        <v>0</v>
      </c>
      <c r="J4515">
        <f t="shared" si="354"/>
        <v>0</v>
      </c>
      <c r="K4515" s="141">
        <f t="shared" si="355"/>
        <v>0</v>
      </c>
    </row>
    <row r="4516" spans="7:11" hidden="1" x14ac:dyDescent="0.25">
      <c r="G4516">
        <f t="shared" si="351"/>
        <v>0</v>
      </c>
      <c r="H4516">
        <f t="shared" si="352"/>
        <v>0</v>
      </c>
      <c r="I4516" s="141">
        <f t="shared" si="353"/>
        <v>0</v>
      </c>
      <c r="J4516">
        <f t="shared" si="354"/>
        <v>0</v>
      </c>
      <c r="K4516" s="141">
        <f t="shared" si="355"/>
        <v>0</v>
      </c>
    </row>
    <row r="4517" spans="7:11" hidden="1" x14ac:dyDescent="0.25">
      <c r="G4517">
        <f t="shared" si="351"/>
        <v>0</v>
      </c>
      <c r="H4517">
        <f t="shared" si="352"/>
        <v>0</v>
      </c>
      <c r="I4517" s="141">
        <f t="shared" si="353"/>
        <v>0</v>
      </c>
      <c r="J4517">
        <f t="shared" si="354"/>
        <v>0</v>
      </c>
      <c r="K4517" s="141">
        <f t="shared" si="355"/>
        <v>0</v>
      </c>
    </row>
    <row r="4518" spans="7:11" hidden="1" x14ac:dyDescent="0.25">
      <c r="G4518">
        <f t="shared" si="351"/>
        <v>0</v>
      </c>
      <c r="H4518">
        <f t="shared" si="352"/>
        <v>0</v>
      </c>
      <c r="I4518" s="141">
        <f t="shared" si="353"/>
        <v>0</v>
      </c>
      <c r="J4518">
        <f t="shared" si="354"/>
        <v>0</v>
      </c>
      <c r="K4518" s="141">
        <f t="shared" si="355"/>
        <v>0</v>
      </c>
    </row>
    <row r="4519" spans="7:11" hidden="1" x14ac:dyDescent="0.25">
      <c r="G4519">
        <f t="shared" si="351"/>
        <v>0</v>
      </c>
      <c r="H4519">
        <f t="shared" si="352"/>
        <v>0</v>
      </c>
      <c r="I4519" s="141">
        <f t="shared" si="353"/>
        <v>0</v>
      </c>
      <c r="J4519">
        <f t="shared" si="354"/>
        <v>0</v>
      </c>
      <c r="K4519" s="141">
        <f t="shared" si="355"/>
        <v>0</v>
      </c>
    </row>
    <row r="4520" spans="7:11" hidden="1" x14ac:dyDescent="0.25">
      <c r="G4520">
        <f t="shared" si="351"/>
        <v>0</v>
      </c>
      <c r="H4520">
        <f t="shared" si="352"/>
        <v>0</v>
      </c>
      <c r="I4520" s="141">
        <f t="shared" si="353"/>
        <v>0</v>
      </c>
      <c r="J4520">
        <f t="shared" si="354"/>
        <v>0</v>
      </c>
      <c r="K4520" s="141">
        <f t="shared" si="355"/>
        <v>0</v>
      </c>
    </row>
    <row r="4521" spans="7:11" hidden="1" x14ac:dyDescent="0.25">
      <c r="G4521">
        <f t="shared" si="351"/>
        <v>0</v>
      </c>
      <c r="H4521">
        <f t="shared" si="352"/>
        <v>0</v>
      </c>
      <c r="I4521" s="141">
        <f t="shared" si="353"/>
        <v>0</v>
      </c>
      <c r="J4521">
        <f t="shared" si="354"/>
        <v>0</v>
      </c>
      <c r="K4521" s="141">
        <f t="shared" si="355"/>
        <v>0</v>
      </c>
    </row>
    <row r="4522" spans="7:11" hidden="1" x14ac:dyDescent="0.25">
      <c r="G4522">
        <f t="shared" si="351"/>
        <v>0</v>
      </c>
      <c r="H4522">
        <f t="shared" si="352"/>
        <v>0</v>
      </c>
      <c r="I4522" s="141">
        <f t="shared" si="353"/>
        <v>0</v>
      </c>
      <c r="J4522">
        <f t="shared" si="354"/>
        <v>0</v>
      </c>
      <c r="K4522" s="141">
        <f t="shared" si="355"/>
        <v>0</v>
      </c>
    </row>
    <row r="4523" spans="7:11" hidden="1" x14ac:dyDescent="0.25">
      <c r="G4523">
        <f t="shared" si="351"/>
        <v>0</v>
      </c>
      <c r="H4523">
        <f t="shared" si="352"/>
        <v>0</v>
      </c>
      <c r="I4523" s="141">
        <f t="shared" si="353"/>
        <v>0</v>
      </c>
      <c r="J4523">
        <f t="shared" si="354"/>
        <v>0</v>
      </c>
      <c r="K4523" s="141">
        <f t="shared" si="355"/>
        <v>0</v>
      </c>
    </row>
    <row r="4524" spans="7:11" hidden="1" x14ac:dyDescent="0.25">
      <c r="G4524">
        <f t="shared" si="351"/>
        <v>0</v>
      </c>
      <c r="H4524">
        <f t="shared" si="352"/>
        <v>0</v>
      </c>
      <c r="I4524" s="141">
        <f t="shared" si="353"/>
        <v>0</v>
      </c>
      <c r="J4524">
        <f t="shared" si="354"/>
        <v>0</v>
      </c>
      <c r="K4524" s="141">
        <f t="shared" si="355"/>
        <v>0</v>
      </c>
    </row>
    <row r="4525" spans="7:11" hidden="1" x14ac:dyDescent="0.25">
      <c r="G4525">
        <f t="shared" si="351"/>
        <v>0</v>
      </c>
      <c r="H4525">
        <f t="shared" si="352"/>
        <v>0</v>
      </c>
      <c r="I4525" s="141">
        <f t="shared" si="353"/>
        <v>0</v>
      </c>
      <c r="J4525">
        <f t="shared" si="354"/>
        <v>0</v>
      </c>
      <c r="K4525" s="141">
        <f t="shared" si="355"/>
        <v>0</v>
      </c>
    </row>
    <row r="4526" spans="7:11" hidden="1" x14ac:dyDescent="0.25">
      <c r="G4526">
        <f t="shared" si="351"/>
        <v>0</v>
      </c>
      <c r="H4526">
        <f t="shared" si="352"/>
        <v>0</v>
      </c>
      <c r="I4526" s="141">
        <f t="shared" si="353"/>
        <v>0</v>
      </c>
      <c r="J4526">
        <f t="shared" si="354"/>
        <v>0</v>
      </c>
      <c r="K4526" s="141">
        <f t="shared" si="355"/>
        <v>0</v>
      </c>
    </row>
    <row r="4527" spans="7:11" hidden="1" x14ac:dyDescent="0.25">
      <c r="G4527">
        <f t="shared" si="351"/>
        <v>0</v>
      </c>
      <c r="H4527">
        <f t="shared" si="352"/>
        <v>0</v>
      </c>
      <c r="I4527" s="141">
        <f t="shared" si="353"/>
        <v>0</v>
      </c>
      <c r="J4527">
        <f t="shared" si="354"/>
        <v>0</v>
      </c>
      <c r="K4527" s="141">
        <f t="shared" si="355"/>
        <v>0</v>
      </c>
    </row>
    <row r="4528" spans="7:11" hidden="1" x14ac:dyDescent="0.25">
      <c r="G4528">
        <f t="shared" si="351"/>
        <v>0</v>
      </c>
      <c r="H4528">
        <f t="shared" si="352"/>
        <v>0</v>
      </c>
      <c r="I4528" s="141">
        <f t="shared" si="353"/>
        <v>0</v>
      </c>
      <c r="J4528">
        <f t="shared" si="354"/>
        <v>0</v>
      </c>
      <c r="K4528" s="141">
        <f t="shared" si="355"/>
        <v>0</v>
      </c>
    </row>
    <row r="4529" spans="7:11" hidden="1" x14ac:dyDescent="0.25">
      <c r="G4529">
        <f t="shared" si="351"/>
        <v>0</v>
      </c>
      <c r="H4529">
        <f t="shared" si="352"/>
        <v>0</v>
      </c>
      <c r="I4529" s="141">
        <f t="shared" si="353"/>
        <v>0</v>
      </c>
      <c r="J4529">
        <f t="shared" si="354"/>
        <v>0</v>
      </c>
      <c r="K4529" s="141">
        <f t="shared" si="355"/>
        <v>0</v>
      </c>
    </row>
    <row r="4530" spans="7:11" hidden="1" x14ac:dyDescent="0.25">
      <c r="G4530">
        <f t="shared" si="351"/>
        <v>0</v>
      </c>
      <c r="H4530">
        <f t="shared" si="352"/>
        <v>0</v>
      </c>
      <c r="I4530" s="141">
        <f t="shared" si="353"/>
        <v>0</v>
      </c>
      <c r="J4530">
        <f t="shared" si="354"/>
        <v>0</v>
      </c>
      <c r="K4530" s="141">
        <f t="shared" si="355"/>
        <v>0</v>
      </c>
    </row>
    <row r="4531" spans="7:11" hidden="1" x14ac:dyDescent="0.25">
      <c r="G4531">
        <f t="shared" si="351"/>
        <v>0</v>
      </c>
      <c r="H4531">
        <f t="shared" si="352"/>
        <v>0</v>
      </c>
      <c r="I4531" s="141">
        <f t="shared" si="353"/>
        <v>0</v>
      </c>
      <c r="J4531">
        <f t="shared" si="354"/>
        <v>0</v>
      </c>
      <c r="K4531" s="141">
        <f t="shared" si="355"/>
        <v>0</v>
      </c>
    </row>
    <row r="4532" spans="7:11" hidden="1" x14ac:dyDescent="0.25">
      <c r="G4532">
        <f t="shared" si="351"/>
        <v>0</v>
      </c>
      <c r="H4532">
        <f t="shared" si="352"/>
        <v>0</v>
      </c>
      <c r="I4532" s="141">
        <f t="shared" si="353"/>
        <v>0</v>
      </c>
      <c r="J4532">
        <f t="shared" si="354"/>
        <v>0</v>
      </c>
      <c r="K4532" s="141">
        <f t="shared" si="355"/>
        <v>0</v>
      </c>
    </row>
    <row r="4533" spans="7:11" hidden="1" x14ac:dyDescent="0.25">
      <c r="G4533">
        <f t="shared" si="351"/>
        <v>0</v>
      </c>
      <c r="H4533">
        <f t="shared" si="352"/>
        <v>0</v>
      </c>
      <c r="I4533" s="141">
        <f t="shared" si="353"/>
        <v>0</v>
      </c>
      <c r="J4533">
        <f t="shared" si="354"/>
        <v>0</v>
      </c>
      <c r="K4533" s="141">
        <f t="shared" si="355"/>
        <v>0</v>
      </c>
    </row>
    <row r="4534" spans="7:11" hidden="1" x14ac:dyDescent="0.25">
      <c r="G4534">
        <f t="shared" si="351"/>
        <v>0</v>
      </c>
      <c r="H4534">
        <f t="shared" si="352"/>
        <v>0</v>
      </c>
      <c r="I4534" s="141">
        <f t="shared" si="353"/>
        <v>0</v>
      </c>
      <c r="J4534">
        <f t="shared" si="354"/>
        <v>0</v>
      </c>
      <c r="K4534" s="141">
        <f t="shared" si="355"/>
        <v>0</v>
      </c>
    </row>
    <row r="4535" spans="7:11" hidden="1" x14ac:dyDescent="0.25">
      <c r="G4535">
        <f t="shared" si="351"/>
        <v>0</v>
      </c>
      <c r="H4535">
        <f t="shared" si="352"/>
        <v>0</v>
      </c>
      <c r="I4535" s="141">
        <f t="shared" si="353"/>
        <v>0</v>
      </c>
      <c r="J4535">
        <f t="shared" si="354"/>
        <v>0</v>
      </c>
      <c r="K4535" s="141">
        <f t="shared" si="355"/>
        <v>0</v>
      </c>
    </row>
    <row r="4536" spans="7:11" hidden="1" x14ac:dyDescent="0.25">
      <c r="G4536">
        <f t="shared" si="351"/>
        <v>0</v>
      </c>
      <c r="H4536">
        <f t="shared" si="352"/>
        <v>0</v>
      </c>
      <c r="I4536" s="141">
        <f t="shared" si="353"/>
        <v>0</v>
      </c>
      <c r="J4536">
        <f t="shared" si="354"/>
        <v>0</v>
      </c>
      <c r="K4536" s="141">
        <f t="shared" si="355"/>
        <v>0</v>
      </c>
    </row>
    <row r="4537" spans="7:11" hidden="1" x14ac:dyDescent="0.25">
      <c r="G4537">
        <f t="shared" si="351"/>
        <v>0</v>
      </c>
      <c r="H4537">
        <f t="shared" si="352"/>
        <v>0</v>
      </c>
      <c r="I4537" s="141">
        <f t="shared" si="353"/>
        <v>0</v>
      </c>
      <c r="J4537">
        <f t="shared" si="354"/>
        <v>0</v>
      </c>
      <c r="K4537" s="141">
        <f t="shared" si="355"/>
        <v>0</v>
      </c>
    </row>
    <row r="4538" spans="7:11" hidden="1" x14ac:dyDescent="0.25">
      <c r="G4538">
        <f t="shared" si="351"/>
        <v>0</v>
      </c>
      <c r="H4538">
        <f t="shared" si="352"/>
        <v>0</v>
      </c>
      <c r="I4538" s="141">
        <f t="shared" si="353"/>
        <v>0</v>
      </c>
      <c r="J4538">
        <f t="shared" si="354"/>
        <v>0</v>
      </c>
      <c r="K4538" s="141">
        <f t="shared" si="355"/>
        <v>0</v>
      </c>
    </row>
    <row r="4539" spans="7:11" hidden="1" x14ac:dyDescent="0.25">
      <c r="G4539">
        <f t="shared" si="351"/>
        <v>0</v>
      </c>
      <c r="H4539">
        <f t="shared" si="352"/>
        <v>0</v>
      </c>
      <c r="I4539" s="141">
        <f t="shared" si="353"/>
        <v>0</v>
      </c>
      <c r="J4539">
        <f t="shared" si="354"/>
        <v>0</v>
      </c>
      <c r="K4539" s="141">
        <f t="shared" si="355"/>
        <v>0</v>
      </c>
    </row>
    <row r="4540" spans="7:11" hidden="1" x14ac:dyDescent="0.25">
      <c r="G4540">
        <f t="shared" si="351"/>
        <v>0</v>
      </c>
      <c r="H4540">
        <f t="shared" si="352"/>
        <v>0</v>
      </c>
      <c r="I4540" s="141">
        <f t="shared" si="353"/>
        <v>0</v>
      </c>
      <c r="J4540">
        <f t="shared" si="354"/>
        <v>0</v>
      </c>
      <c r="K4540" s="141">
        <f t="shared" si="355"/>
        <v>0</v>
      </c>
    </row>
    <row r="4541" spans="7:11" hidden="1" x14ac:dyDescent="0.25">
      <c r="G4541">
        <f t="shared" si="351"/>
        <v>0</v>
      </c>
      <c r="H4541">
        <f t="shared" si="352"/>
        <v>0</v>
      </c>
      <c r="I4541" s="141">
        <f t="shared" si="353"/>
        <v>0</v>
      </c>
      <c r="J4541">
        <f t="shared" si="354"/>
        <v>0</v>
      </c>
      <c r="K4541" s="141">
        <f t="shared" si="355"/>
        <v>0</v>
      </c>
    </row>
    <row r="4542" spans="7:11" hidden="1" x14ac:dyDescent="0.25">
      <c r="G4542">
        <f t="shared" si="351"/>
        <v>0</v>
      </c>
      <c r="H4542">
        <f t="shared" si="352"/>
        <v>0</v>
      </c>
      <c r="I4542" s="141">
        <f t="shared" si="353"/>
        <v>0</v>
      </c>
      <c r="J4542">
        <f t="shared" si="354"/>
        <v>0</v>
      </c>
      <c r="K4542" s="141">
        <f t="shared" si="355"/>
        <v>0</v>
      </c>
    </row>
    <row r="4543" spans="7:11" hidden="1" x14ac:dyDescent="0.25">
      <c r="G4543">
        <f t="shared" si="351"/>
        <v>0</v>
      </c>
      <c r="H4543">
        <f t="shared" si="352"/>
        <v>0</v>
      </c>
      <c r="I4543" s="141">
        <f t="shared" si="353"/>
        <v>0</v>
      </c>
      <c r="J4543">
        <f t="shared" si="354"/>
        <v>0</v>
      </c>
      <c r="K4543" s="141">
        <f t="shared" si="355"/>
        <v>0</v>
      </c>
    </row>
    <row r="4544" spans="7:11" hidden="1" x14ac:dyDescent="0.25">
      <c r="G4544">
        <f t="shared" si="351"/>
        <v>0</v>
      </c>
      <c r="H4544">
        <f t="shared" si="352"/>
        <v>0</v>
      </c>
      <c r="I4544" s="141">
        <f t="shared" si="353"/>
        <v>0</v>
      </c>
      <c r="J4544">
        <f t="shared" si="354"/>
        <v>0</v>
      </c>
      <c r="K4544" s="141">
        <f t="shared" si="355"/>
        <v>0</v>
      </c>
    </row>
    <row r="4545" spans="7:11" hidden="1" x14ac:dyDescent="0.25">
      <c r="G4545">
        <f t="shared" si="351"/>
        <v>0</v>
      </c>
      <c r="H4545">
        <f t="shared" si="352"/>
        <v>0</v>
      </c>
      <c r="I4545" s="141">
        <f t="shared" si="353"/>
        <v>0</v>
      </c>
      <c r="J4545">
        <f t="shared" si="354"/>
        <v>0</v>
      </c>
      <c r="K4545" s="141">
        <f t="shared" si="355"/>
        <v>0</v>
      </c>
    </row>
    <row r="4546" spans="7:11" hidden="1" x14ac:dyDescent="0.25">
      <c r="G4546">
        <f t="shared" ref="G4546:G4609" si="356">A4546</f>
        <v>0</v>
      </c>
      <c r="H4546">
        <f t="shared" ref="H4546:H4609" si="357">B4546</f>
        <v>0</v>
      </c>
      <c r="I4546" s="141">
        <f t="shared" ref="I4546:I4609" si="358">C4546</f>
        <v>0</v>
      </c>
      <c r="J4546">
        <f t="shared" ref="J4546:J4609" si="359">D4546</f>
        <v>0</v>
      </c>
      <c r="K4546" s="141">
        <f t="shared" ref="K4546:K4609" si="360">E4546</f>
        <v>0</v>
      </c>
    </row>
    <row r="4547" spans="7:11" hidden="1" x14ac:dyDescent="0.25">
      <c r="G4547">
        <f t="shared" si="356"/>
        <v>0</v>
      </c>
      <c r="H4547">
        <f t="shared" si="357"/>
        <v>0</v>
      </c>
      <c r="I4547" s="141">
        <f t="shared" si="358"/>
        <v>0</v>
      </c>
      <c r="J4547">
        <f t="shared" si="359"/>
        <v>0</v>
      </c>
      <c r="K4547" s="141">
        <f t="shared" si="360"/>
        <v>0</v>
      </c>
    </row>
    <row r="4548" spans="7:11" hidden="1" x14ac:dyDescent="0.25">
      <c r="G4548">
        <f t="shared" si="356"/>
        <v>0</v>
      </c>
      <c r="H4548">
        <f t="shared" si="357"/>
        <v>0</v>
      </c>
      <c r="I4548" s="141">
        <f t="shared" si="358"/>
        <v>0</v>
      </c>
      <c r="J4548">
        <f t="shared" si="359"/>
        <v>0</v>
      </c>
      <c r="K4548" s="141">
        <f t="shared" si="360"/>
        <v>0</v>
      </c>
    </row>
    <row r="4549" spans="7:11" hidden="1" x14ac:dyDescent="0.25">
      <c r="G4549">
        <f t="shared" si="356"/>
        <v>0</v>
      </c>
      <c r="H4549">
        <f t="shared" si="357"/>
        <v>0</v>
      </c>
      <c r="I4549" s="141">
        <f t="shared" si="358"/>
        <v>0</v>
      </c>
      <c r="J4549">
        <f t="shared" si="359"/>
        <v>0</v>
      </c>
      <c r="K4549" s="141">
        <f t="shared" si="360"/>
        <v>0</v>
      </c>
    </row>
    <row r="4550" spans="7:11" hidden="1" x14ac:dyDescent="0.25">
      <c r="G4550">
        <f t="shared" si="356"/>
        <v>0</v>
      </c>
      <c r="H4550">
        <f t="shared" si="357"/>
        <v>0</v>
      </c>
      <c r="I4550" s="141">
        <f t="shared" si="358"/>
        <v>0</v>
      </c>
      <c r="J4550">
        <f t="shared" si="359"/>
        <v>0</v>
      </c>
      <c r="K4550" s="141">
        <f t="shared" si="360"/>
        <v>0</v>
      </c>
    </row>
    <row r="4551" spans="7:11" hidden="1" x14ac:dyDescent="0.25">
      <c r="G4551">
        <f t="shared" si="356"/>
        <v>0</v>
      </c>
      <c r="H4551">
        <f t="shared" si="357"/>
        <v>0</v>
      </c>
      <c r="I4551" s="141">
        <f t="shared" si="358"/>
        <v>0</v>
      </c>
      <c r="J4551">
        <f t="shared" si="359"/>
        <v>0</v>
      </c>
      <c r="K4551" s="141">
        <f t="shared" si="360"/>
        <v>0</v>
      </c>
    </row>
    <row r="4552" spans="7:11" hidden="1" x14ac:dyDescent="0.25">
      <c r="G4552">
        <f t="shared" si="356"/>
        <v>0</v>
      </c>
      <c r="H4552">
        <f t="shared" si="357"/>
        <v>0</v>
      </c>
      <c r="I4552" s="141">
        <f t="shared" si="358"/>
        <v>0</v>
      </c>
      <c r="J4552">
        <f t="shared" si="359"/>
        <v>0</v>
      </c>
      <c r="K4552" s="141">
        <f t="shared" si="360"/>
        <v>0</v>
      </c>
    </row>
    <row r="4553" spans="7:11" hidden="1" x14ac:dyDescent="0.25">
      <c r="G4553">
        <f t="shared" si="356"/>
        <v>0</v>
      </c>
      <c r="H4553">
        <f t="shared" si="357"/>
        <v>0</v>
      </c>
      <c r="I4553" s="141">
        <f t="shared" si="358"/>
        <v>0</v>
      </c>
      <c r="J4553">
        <f t="shared" si="359"/>
        <v>0</v>
      </c>
      <c r="K4553" s="141">
        <f t="shared" si="360"/>
        <v>0</v>
      </c>
    </row>
    <row r="4554" spans="7:11" hidden="1" x14ac:dyDescent="0.25">
      <c r="G4554">
        <f t="shared" si="356"/>
        <v>0</v>
      </c>
      <c r="H4554">
        <f t="shared" si="357"/>
        <v>0</v>
      </c>
      <c r="I4554" s="141">
        <f t="shared" si="358"/>
        <v>0</v>
      </c>
      <c r="J4554">
        <f t="shared" si="359"/>
        <v>0</v>
      </c>
      <c r="K4554" s="141">
        <f t="shared" si="360"/>
        <v>0</v>
      </c>
    </row>
    <row r="4555" spans="7:11" hidden="1" x14ac:dyDescent="0.25">
      <c r="G4555">
        <f t="shared" si="356"/>
        <v>0</v>
      </c>
      <c r="H4555">
        <f t="shared" si="357"/>
        <v>0</v>
      </c>
      <c r="I4555" s="141">
        <f t="shared" si="358"/>
        <v>0</v>
      </c>
      <c r="J4555">
        <f t="shared" si="359"/>
        <v>0</v>
      </c>
      <c r="K4555" s="141">
        <f t="shared" si="360"/>
        <v>0</v>
      </c>
    </row>
    <row r="4556" spans="7:11" hidden="1" x14ac:dyDescent="0.25">
      <c r="G4556">
        <f t="shared" si="356"/>
        <v>0</v>
      </c>
      <c r="H4556">
        <f t="shared" si="357"/>
        <v>0</v>
      </c>
      <c r="I4556" s="141">
        <f t="shared" si="358"/>
        <v>0</v>
      </c>
      <c r="J4556">
        <f t="shared" si="359"/>
        <v>0</v>
      </c>
      <c r="K4556" s="141">
        <f t="shared" si="360"/>
        <v>0</v>
      </c>
    </row>
    <row r="4557" spans="7:11" hidden="1" x14ac:dyDescent="0.25">
      <c r="G4557">
        <f t="shared" si="356"/>
        <v>0</v>
      </c>
      <c r="H4557">
        <f t="shared" si="357"/>
        <v>0</v>
      </c>
      <c r="I4557" s="141">
        <f t="shared" si="358"/>
        <v>0</v>
      </c>
      <c r="J4557">
        <f t="shared" si="359"/>
        <v>0</v>
      </c>
      <c r="K4557" s="141">
        <f t="shared" si="360"/>
        <v>0</v>
      </c>
    </row>
    <row r="4558" spans="7:11" hidden="1" x14ac:dyDescent="0.25">
      <c r="G4558">
        <f t="shared" si="356"/>
        <v>0</v>
      </c>
      <c r="H4558">
        <f t="shared" si="357"/>
        <v>0</v>
      </c>
      <c r="I4558" s="141">
        <f t="shared" si="358"/>
        <v>0</v>
      </c>
      <c r="J4558">
        <f t="shared" si="359"/>
        <v>0</v>
      </c>
      <c r="K4558" s="141">
        <f t="shared" si="360"/>
        <v>0</v>
      </c>
    </row>
    <row r="4559" spans="7:11" hidden="1" x14ac:dyDescent="0.25">
      <c r="G4559">
        <f t="shared" si="356"/>
        <v>0</v>
      </c>
      <c r="H4559">
        <f t="shared" si="357"/>
        <v>0</v>
      </c>
      <c r="I4559" s="141">
        <f t="shared" si="358"/>
        <v>0</v>
      </c>
      <c r="J4559">
        <f t="shared" si="359"/>
        <v>0</v>
      </c>
      <c r="K4559" s="141">
        <f t="shared" si="360"/>
        <v>0</v>
      </c>
    </row>
    <row r="4560" spans="7:11" hidden="1" x14ac:dyDescent="0.25">
      <c r="G4560">
        <f t="shared" si="356"/>
        <v>0</v>
      </c>
      <c r="H4560">
        <f t="shared" si="357"/>
        <v>0</v>
      </c>
      <c r="I4560" s="141">
        <f t="shared" si="358"/>
        <v>0</v>
      </c>
      <c r="J4560">
        <f t="shared" si="359"/>
        <v>0</v>
      </c>
      <c r="K4560" s="141">
        <f t="shared" si="360"/>
        <v>0</v>
      </c>
    </row>
    <row r="4561" spans="7:11" hidden="1" x14ac:dyDescent="0.25">
      <c r="G4561">
        <f t="shared" si="356"/>
        <v>0</v>
      </c>
      <c r="H4561">
        <f t="shared" si="357"/>
        <v>0</v>
      </c>
      <c r="I4561" s="141">
        <f t="shared" si="358"/>
        <v>0</v>
      </c>
      <c r="J4561">
        <f t="shared" si="359"/>
        <v>0</v>
      </c>
      <c r="K4561" s="141">
        <f t="shared" si="360"/>
        <v>0</v>
      </c>
    </row>
    <row r="4562" spans="7:11" hidden="1" x14ac:dyDescent="0.25">
      <c r="G4562">
        <f t="shared" si="356"/>
        <v>0</v>
      </c>
      <c r="H4562">
        <f t="shared" si="357"/>
        <v>0</v>
      </c>
      <c r="I4562" s="141">
        <f t="shared" si="358"/>
        <v>0</v>
      </c>
      <c r="J4562">
        <f t="shared" si="359"/>
        <v>0</v>
      </c>
      <c r="K4562" s="141">
        <f t="shared" si="360"/>
        <v>0</v>
      </c>
    </row>
    <row r="4563" spans="7:11" hidden="1" x14ac:dyDescent="0.25">
      <c r="G4563">
        <f t="shared" si="356"/>
        <v>0</v>
      </c>
      <c r="H4563">
        <f t="shared" si="357"/>
        <v>0</v>
      </c>
      <c r="I4563" s="141">
        <f t="shared" si="358"/>
        <v>0</v>
      </c>
      <c r="J4563">
        <f t="shared" si="359"/>
        <v>0</v>
      </c>
      <c r="K4563" s="141">
        <f t="shared" si="360"/>
        <v>0</v>
      </c>
    </row>
    <row r="4564" spans="7:11" hidden="1" x14ac:dyDescent="0.25">
      <c r="G4564">
        <f t="shared" si="356"/>
        <v>0</v>
      </c>
      <c r="H4564">
        <f t="shared" si="357"/>
        <v>0</v>
      </c>
      <c r="I4564" s="141">
        <f t="shared" si="358"/>
        <v>0</v>
      </c>
      <c r="J4564">
        <f t="shared" si="359"/>
        <v>0</v>
      </c>
      <c r="K4564" s="141">
        <f t="shared" si="360"/>
        <v>0</v>
      </c>
    </row>
    <row r="4565" spans="7:11" hidden="1" x14ac:dyDescent="0.25">
      <c r="G4565">
        <f t="shared" si="356"/>
        <v>0</v>
      </c>
      <c r="H4565">
        <f t="shared" si="357"/>
        <v>0</v>
      </c>
      <c r="I4565" s="141">
        <f t="shared" si="358"/>
        <v>0</v>
      </c>
      <c r="J4565">
        <f t="shared" si="359"/>
        <v>0</v>
      </c>
      <c r="K4565" s="141">
        <f t="shared" si="360"/>
        <v>0</v>
      </c>
    </row>
    <row r="4566" spans="7:11" hidden="1" x14ac:dyDescent="0.25">
      <c r="G4566">
        <f t="shared" si="356"/>
        <v>0</v>
      </c>
      <c r="H4566">
        <f t="shared" si="357"/>
        <v>0</v>
      </c>
      <c r="I4566" s="141">
        <f t="shared" si="358"/>
        <v>0</v>
      </c>
      <c r="J4566">
        <f t="shared" si="359"/>
        <v>0</v>
      </c>
      <c r="K4566" s="141">
        <f t="shared" si="360"/>
        <v>0</v>
      </c>
    </row>
    <row r="4567" spans="7:11" hidden="1" x14ac:dyDescent="0.25">
      <c r="G4567">
        <f t="shared" si="356"/>
        <v>0</v>
      </c>
      <c r="H4567">
        <f t="shared" si="357"/>
        <v>0</v>
      </c>
      <c r="I4567" s="141">
        <f t="shared" si="358"/>
        <v>0</v>
      </c>
      <c r="J4567">
        <f t="shared" si="359"/>
        <v>0</v>
      </c>
      <c r="K4567" s="141">
        <f t="shared" si="360"/>
        <v>0</v>
      </c>
    </row>
    <row r="4568" spans="7:11" hidden="1" x14ac:dyDescent="0.25">
      <c r="G4568">
        <f t="shared" si="356"/>
        <v>0</v>
      </c>
      <c r="H4568">
        <f t="shared" si="357"/>
        <v>0</v>
      </c>
      <c r="I4568" s="141">
        <f t="shared" si="358"/>
        <v>0</v>
      </c>
      <c r="J4568">
        <f t="shared" si="359"/>
        <v>0</v>
      </c>
      <c r="K4568" s="141">
        <f t="shared" si="360"/>
        <v>0</v>
      </c>
    </row>
    <row r="4569" spans="7:11" hidden="1" x14ac:dyDescent="0.25">
      <c r="G4569">
        <f t="shared" si="356"/>
        <v>0</v>
      </c>
      <c r="H4569">
        <f t="shared" si="357"/>
        <v>0</v>
      </c>
      <c r="I4569" s="141">
        <f t="shared" si="358"/>
        <v>0</v>
      </c>
      <c r="J4569">
        <f t="shared" si="359"/>
        <v>0</v>
      </c>
      <c r="K4569" s="141">
        <f t="shared" si="360"/>
        <v>0</v>
      </c>
    </row>
    <row r="4570" spans="7:11" hidden="1" x14ac:dyDescent="0.25">
      <c r="G4570">
        <f t="shared" si="356"/>
        <v>0</v>
      </c>
      <c r="H4570">
        <f t="shared" si="357"/>
        <v>0</v>
      </c>
      <c r="I4570" s="141">
        <f t="shared" si="358"/>
        <v>0</v>
      </c>
      <c r="J4570">
        <f t="shared" si="359"/>
        <v>0</v>
      </c>
      <c r="K4570" s="141">
        <f t="shared" si="360"/>
        <v>0</v>
      </c>
    </row>
    <row r="4571" spans="7:11" hidden="1" x14ac:dyDescent="0.25">
      <c r="G4571">
        <f t="shared" si="356"/>
        <v>0</v>
      </c>
      <c r="H4571">
        <f t="shared" si="357"/>
        <v>0</v>
      </c>
      <c r="I4571" s="141">
        <f t="shared" si="358"/>
        <v>0</v>
      </c>
      <c r="J4571">
        <f t="shared" si="359"/>
        <v>0</v>
      </c>
      <c r="K4571" s="141">
        <f t="shared" si="360"/>
        <v>0</v>
      </c>
    </row>
    <row r="4572" spans="7:11" hidden="1" x14ac:dyDescent="0.25">
      <c r="G4572">
        <f t="shared" si="356"/>
        <v>0</v>
      </c>
      <c r="H4572">
        <f t="shared" si="357"/>
        <v>0</v>
      </c>
      <c r="I4572" s="141">
        <f t="shared" si="358"/>
        <v>0</v>
      </c>
      <c r="J4572">
        <f t="shared" si="359"/>
        <v>0</v>
      </c>
      <c r="K4572" s="141">
        <f t="shared" si="360"/>
        <v>0</v>
      </c>
    </row>
    <row r="4573" spans="7:11" hidden="1" x14ac:dyDescent="0.25">
      <c r="G4573">
        <f t="shared" si="356"/>
        <v>0</v>
      </c>
      <c r="H4573">
        <f t="shared" si="357"/>
        <v>0</v>
      </c>
      <c r="I4573" s="141">
        <f t="shared" si="358"/>
        <v>0</v>
      </c>
      <c r="J4573">
        <f t="shared" si="359"/>
        <v>0</v>
      </c>
      <c r="K4573" s="141">
        <f t="shared" si="360"/>
        <v>0</v>
      </c>
    </row>
    <row r="4574" spans="7:11" hidden="1" x14ac:dyDescent="0.25">
      <c r="G4574">
        <f t="shared" si="356"/>
        <v>0</v>
      </c>
      <c r="H4574">
        <f t="shared" si="357"/>
        <v>0</v>
      </c>
      <c r="I4574" s="141">
        <f t="shared" si="358"/>
        <v>0</v>
      </c>
      <c r="J4574">
        <f t="shared" si="359"/>
        <v>0</v>
      </c>
      <c r="K4574" s="141">
        <f t="shared" si="360"/>
        <v>0</v>
      </c>
    </row>
    <row r="4575" spans="7:11" hidden="1" x14ac:dyDescent="0.25">
      <c r="G4575">
        <f t="shared" si="356"/>
        <v>0</v>
      </c>
      <c r="H4575">
        <f t="shared" si="357"/>
        <v>0</v>
      </c>
      <c r="I4575" s="141">
        <f t="shared" si="358"/>
        <v>0</v>
      </c>
      <c r="J4575">
        <f t="shared" si="359"/>
        <v>0</v>
      </c>
      <c r="K4575" s="141">
        <f t="shared" si="360"/>
        <v>0</v>
      </c>
    </row>
    <row r="4576" spans="7:11" hidden="1" x14ac:dyDescent="0.25">
      <c r="G4576">
        <f t="shared" si="356"/>
        <v>0</v>
      </c>
      <c r="H4576">
        <f t="shared" si="357"/>
        <v>0</v>
      </c>
      <c r="I4576" s="141">
        <f t="shared" si="358"/>
        <v>0</v>
      </c>
      <c r="J4576">
        <f t="shared" si="359"/>
        <v>0</v>
      </c>
      <c r="K4576" s="141">
        <f t="shared" si="360"/>
        <v>0</v>
      </c>
    </row>
    <row r="4577" spans="7:11" hidden="1" x14ac:dyDescent="0.25">
      <c r="G4577">
        <f t="shared" si="356"/>
        <v>0</v>
      </c>
      <c r="H4577">
        <f t="shared" si="357"/>
        <v>0</v>
      </c>
      <c r="I4577" s="141">
        <f t="shared" si="358"/>
        <v>0</v>
      </c>
      <c r="J4577">
        <f t="shared" si="359"/>
        <v>0</v>
      </c>
      <c r="K4577" s="141">
        <f t="shared" si="360"/>
        <v>0</v>
      </c>
    </row>
    <row r="4578" spans="7:11" hidden="1" x14ac:dyDescent="0.25">
      <c r="G4578">
        <f t="shared" si="356"/>
        <v>0</v>
      </c>
      <c r="H4578">
        <f t="shared" si="357"/>
        <v>0</v>
      </c>
      <c r="I4578" s="141">
        <f t="shared" si="358"/>
        <v>0</v>
      </c>
      <c r="J4578">
        <f t="shared" si="359"/>
        <v>0</v>
      </c>
      <c r="K4578" s="141">
        <f t="shared" si="360"/>
        <v>0</v>
      </c>
    </row>
    <row r="4579" spans="7:11" hidden="1" x14ac:dyDescent="0.25">
      <c r="G4579">
        <f t="shared" si="356"/>
        <v>0</v>
      </c>
      <c r="H4579">
        <f t="shared" si="357"/>
        <v>0</v>
      </c>
      <c r="I4579" s="141">
        <f t="shared" si="358"/>
        <v>0</v>
      </c>
      <c r="J4579">
        <f t="shared" si="359"/>
        <v>0</v>
      </c>
      <c r="K4579" s="141">
        <f t="shared" si="360"/>
        <v>0</v>
      </c>
    </row>
    <row r="4580" spans="7:11" hidden="1" x14ac:dyDescent="0.25">
      <c r="G4580">
        <f t="shared" si="356"/>
        <v>0</v>
      </c>
      <c r="H4580">
        <f t="shared" si="357"/>
        <v>0</v>
      </c>
      <c r="I4580" s="141">
        <f t="shared" si="358"/>
        <v>0</v>
      </c>
      <c r="J4580">
        <f t="shared" si="359"/>
        <v>0</v>
      </c>
      <c r="K4580" s="141">
        <f t="shared" si="360"/>
        <v>0</v>
      </c>
    </row>
    <row r="4581" spans="7:11" hidden="1" x14ac:dyDescent="0.25">
      <c r="G4581">
        <f t="shared" si="356"/>
        <v>0</v>
      </c>
      <c r="H4581">
        <f t="shared" si="357"/>
        <v>0</v>
      </c>
      <c r="I4581" s="141">
        <f t="shared" si="358"/>
        <v>0</v>
      </c>
      <c r="J4581">
        <f t="shared" si="359"/>
        <v>0</v>
      </c>
      <c r="K4581" s="141">
        <f t="shared" si="360"/>
        <v>0</v>
      </c>
    </row>
    <row r="4582" spans="7:11" hidden="1" x14ac:dyDescent="0.25">
      <c r="G4582">
        <f t="shared" si="356"/>
        <v>0</v>
      </c>
      <c r="H4582">
        <f t="shared" si="357"/>
        <v>0</v>
      </c>
      <c r="I4582" s="141">
        <f t="shared" si="358"/>
        <v>0</v>
      </c>
      <c r="J4582">
        <f t="shared" si="359"/>
        <v>0</v>
      </c>
      <c r="K4582" s="141">
        <f t="shared" si="360"/>
        <v>0</v>
      </c>
    </row>
    <row r="4583" spans="7:11" hidden="1" x14ac:dyDescent="0.25">
      <c r="G4583">
        <f t="shared" si="356"/>
        <v>0</v>
      </c>
      <c r="H4583">
        <f t="shared" si="357"/>
        <v>0</v>
      </c>
      <c r="I4583" s="141">
        <f t="shared" si="358"/>
        <v>0</v>
      </c>
      <c r="J4583">
        <f t="shared" si="359"/>
        <v>0</v>
      </c>
      <c r="K4583" s="141">
        <f t="shared" si="360"/>
        <v>0</v>
      </c>
    </row>
    <row r="4584" spans="7:11" hidden="1" x14ac:dyDescent="0.25">
      <c r="G4584">
        <f t="shared" si="356"/>
        <v>0</v>
      </c>
      <c r="H4584">
        <f t="shared" si="357"/>
        <v>0</v>
      </c>
      <c r="I4584" s="141">
        <f t="shared" si="358"/>
        <v>0</v>
      </c>
      <c r="J4584">
        <f t="shared" si="359"/>
        <v>0</v>
      </c>
      <c r="K4584" s="141">
        <f t="shared" si="360"/>
        <v>0</v>
      </c>
    </row>
    <row r="4585" spans="7:11" hidden="1" x14ac:dyDescent="0.25">
      <c r="G4585">
        <f t="shared" si="356"/>
        <v>0</v>
      </c>
      <c r="H4585">
        <f t="shared" si="357"/>
        <v>0</v>
      </c>
      <c r="I4585" s="141">
        <f t="shared" si="358"/>
        <v>0</v>
      </c>
      <c r="J4585">
        <f t="shared" si="359"/>
        <v>0</v>
      </c>
      <c r="K4585" s="141">
        <f t="shared" si="360"/>
        <v>0</v>
      </c>
    </row>
    <row r="4586" spans="7:11" hidden="1" x14ac:dyDescent="0.25">
      <c r="G4586">
        <f t="shared" si="356"/>
        <v>0</v>
      </c>
      <c r="H4586">
        <f t="shared" si="357"/>
        <v>0</v>
      </c>
      <c r="I4586" s="141">
        <f t="shared" si="358"/>
        <v>0</v>
      </c>
      <c r="J4586">
        <f t="shared" si="359"/>
        <v>0</v>
      </c>
      <c r="K4586" s="141">
        <f t="shared" si="360"/>
        <v>0</v>
      </c>
    </row>
    <row r="4587" spans="7:11" hidden="1" x14ac:dyDescent="0.25">
      <c r="G4587">
        <f t="shared" si="356"/>
        <v>0</v>
      </c>
      <c r="H4587">
        <f t="shared" si="357"/>
        <v>0</v>
      </c>
      <c r="I4587" s="141">
        <f t="shared" si="358"/>
        <v>0</v>
      </c>
      <c r="J4587">
        <f t="shared" si="359"/>
        <v>0</v>
      </c>
      <c r="K4587" s="141">
        <f t="shared" si="360"/>
        <v>0</v>
      </c>
    </row>
    <row r="4588" spans="7:11" hidden="1" x14ac:dyDescent="0.25">
      <c r="G4588">
        <f t="shared" si="356"/>
        <v>0</v>
      </c>
      <c r="H4588">
        <f t="shared" si="357"/>
        <v>0</v>
      </c>
      <c r="I4588" s="141">
        <f t="shared" si="358"/>
        <v>0</v>
      </c>
      <c r="J4588">
        <f t="shared" si="359"/>
        <v>0</v>
      </c>
      <c r="K4588" s="141">
        <f t="shared" si="360"/>
        <v>0</v>
      </c>
    </row>
    <row r="4589" spans="7:11" hidden="1" x14ac:dyDescent="0.25">
      <c r="G4589">
        <f t="shared" si="356"/>
        <v>0</v>
      </c>
      <c r="H4589">
        <f t="shared" si="357"/>
        <v>0</v>
      </c>
      <c r="I4589" s="141">
        <f t="shared" si="358"/>
        <v>0</v>
      </c>
      <c r="J4589">
        <f t="shared" si="359"/>
        <v>0</v>
      </c>
      <c r="K4589" s="141">
        <f t="shared" si="360"/>
        <v>0</v>
      </c>
    </row>
    <row r="4590" spans="7:11" hidden="1" x14ac:dyDescent="0.25">
      <c r="G4590">
        <f t="shared" si="356"/>
        <v>0</v>
      </c>
      <c r="H4590">
        <f t="shared" si="357"/>
        <v>0</v>
      </c>
      <c r="I4590" s="141">
        <f t="shared" si="358"/>
        <v>0</v>
      </c>
      <c r="J4590">
        <f t="shared" si="359"/>
        <v>0</v>
      </c>
      <c r="K4590" s="141">
        <f t="shared" si="360"/>
        <v>0</v>
      </c>
    </row>
    <row r="4591" spans="7:11" hidden="1" x14ac:dyDescent="0.25">
      <c r="G4591">
        <f t="shared" si="356"/>
        <v>0</v>
      </c>
      <c r="H4591">
        <f t="shared" si="357"/>
        <v>0</v>
      </c>
      <c r="I4591" s="141">
        <f t="shared" si="358"/>
        <v>0</v>
      </c>
      <c r="J4591">
        <f t="shared" si="359"/>
        <v>0</v>
      </c>
      <c r="K4591" s="141">
        <f t="shared" si="360"/>
        <v>0</v>
      </c>
    </row>
    <row r="4592" spans="7:11" hidden="1" x14ac:dyDescent="0.25">
      <c r="G4592">
        <f t="shared" si="356"/>
        <v>0</v>
      </c>
      <c r="H4592">
        <f t="shared" si="357"/>
        <v>0</v>
      </c>
      <c r="I4592" s="141">
        <f t="shared" si="358"/>
        <v>0</v>
      </c>
      <c r="J4592">
        <f t="shared" si="359"/>
        <v>0</v>
      </c>
      <c r="K4592" s="141">
        <f t="shared" si="360"/>
        <v>0</v>
      </c>
    </row>
    <row r="4593" spans="7:11" hidden="1" x14ac:dyDescent="0.25">
      <c r="G4593">
        <f t="shared" si="356"/>
        <v>0</v>
      </c>
      <c r="H4593">
        <f t="shared" si="357"/>
        <v>0</v>
      </c>
      <c r="I4593" s="141">
        <f t="shared" si="358"/>
        <v>0</v>
      </c>
      <c r="J4593">
        <f t="shared" si="359"/>
        <v>0</v>
      </c>
      <c r="K4593" s="141">
        <f t="shared" si="360"/>
        <v>0</v>
      </c>
    </row>
    <row r="4594" spans="7:11" hidden="1" x14ac:dyDescent="0.25">
      <c r="G4594">
        <f t="shared" si="356"/>
        <v>0</v>
      </c>
      <c r="H4594">
        <f t="shared" si="357"/>
        <v>0</v>
      </c>
      <c r="I4594" s="141">
        <f t="shared" si="358"/>
        <v>0</v>
      </c>
      <c r="J4594">
        <f t="shared" si="359"/>
        <v>0</v>
      </c>
      <c r="K4594" s="141">
        <f t="shared" si="360"/>
        <v>0</v>
      </c>
    </row>
    <row r="4595" spans="7:11" hidden="1" x14ac:dyDescent="0.25">
      <c r="G4595">
        <f t="shared" si="356"/>
        <v>0</v>
      </c>
      <c r="H4595">
        <f t="shared" si="357"/>
        <v>0</v>
      </c>
      <c r="I4595" s="141">
        <f t="shared" si="358"/>
        <v>0</v>
      </c>
      <c r="J4595">
        <f t="shared" si="359"/>
        <v>0</v>
      </c>
      <c r="K4595" s="141">
        <f t="shared" si="360"/>
        <v>0</v>
      </c>
    </row>
    <row r="4596" spans="7:11" hidden="1" x14ac:dyDescent="0.25">
      <c r="G4596">
        <f t="shared" si="356"/>
        <v>0</v>
      </c>
      <c r="H4596">
        <f t="shared" si="357"/>
        <v>0</v>
      </c>
      <c r="I4596" s="141">
        <f t="shared" si="358"/>
        <v>0</v>
      </c>
      <c r="J4596">
        <f t="shared" si="359"/>
        <v>0</v>
      </c>
      <c r="K4596" s="141">
        <f t="shared" si="360"/>
        <v>0</v>
      </c>
    </row>
    <row r="4597" spans="7:11" hidden="1" x14ac:dyDescent="0.25">
      <c r="G4597">
        <f t="shared" si="356"/>
        <v>0</v>
      </c>
      <c r="H4597">
        <f t="shared" si="357"/>
        <v>0</v>
      </c>
      <c r="I4597" s="141">
        <f t="shared" si="358"/>
        <v>0</v>
      </c>
      <c r="J4597">
        <f t="shared" si="359"/>
        <v>0</v>
      </c>
      <c r="K4597" s="141">
        <f t="shared" si="360"/>
        <v>0</v>
      </c>
    </row>
    <row r="4598" spans="7:11" hidden="1" x14ac:dyDescent="0.25">
      <c r="G4598">
        <f t="shared" si="356"/>
        <v>0</v>
      </c>
      <c r="H4598">
        <f t="shared" si="357"/>
        <v>0</v>
      </c>
      <c r="I4598" s="141">
        <f t="shared" si="358"/>
        <v>0</v>
      </c>
      <c r="J4598">
        <f t="shared" si="359"/>
        <v>0</v>
      </c>
      <c r="K4598" s="141">
        <f t="shared" si="360"/>
        <v>0</v>
      </c>
    </row>
    <row r="4599" spans="7:11" hidden="1" x14ac:dyDescent="0.25">
      <c r="G4599">
        <f t="shared" si="356"/>
        <v>0</v>
      </c>
      <c r="H4599">
        <f t="shared" si="357"/>
        <v>0</v>
      </c>
      <c r="I4599" s="141">
        <f t="shared" si="358"/>
        <v>0</v>
      </c>
      <c r="J4599">
        <f t="shared" si="359"/>
        <v>0</v>
      </c>
      <c r="K4599" s="141">
        <f t="shared" si="360"/>
        <v>0</v>
      </c>
    </row>
    <row r="4600" spans="7:11" hidden="1" x14ac:dyDescent="0.25">
      <c r="G4600">
        <f t="shared" si="356"/>
        <v>0</v>
      </c>
      <c r="H4600">
        <f t="shared" si="357"/>
        <v>0</v>
      </c>
      <c r="I4600" s="141">
        <f t="shared" si="358"/>
        <v>0</v>
      </c>
      <c r="J4600">
        <f t="shared" si="359"/>
        <v>0</v>
      </c>
      <c r="K4600" s="141">
        <f t="shared" si="360"/>
        <v>0</v>
      </c>
    </row>
    <row r="4601" spans="7:11" hidden="1" x14ac:dyDescent="0.25">
      <c r="G4601">
        <f t="shared" si="356"/>
        <v>0</v>
      </c>
      <c r="H4601">
        <f t="shared" si="357"/>
        <v>0</v>
      </c>
      <c r="I4601" s="141">
        <f t="shared" si="358"/>
        <v>0</v>
      </c>
      <c r="J4601">
        <f t="shared" si="359"/>
        <v>0</v>
      </c>
      <c r="K4601" s="141">
        <f t="shared" si="360"/>
        <v>0</v>
      </c>
    </row>
    <row r="4602" spans="7:11" hidden="1" x14ac:dyDescent="0.25">
      <c r="G4602">
        <f t="shared" si="356"/>
        <v>0</v>
      </c>
      <c r="H4602">
        <f t="shared" si="357"/>
        <v>0</v>
      </c>
      <c r="I4602" s="141">
        <f t="shared" si="358"/>
        <v>0</v>
      </c>
      <c r="J4602">
        <f t="shared" si="359"/>
        <v>0</v>
      </c>
      <c r="K4602" s="141">
        <f t="shared" si="360"/>
        <v>0</v>
      </c>
    </row>
    <row r="4603" spans="7:11" hidden="1" x14ac:dyDescent="0.25">
      <c r="G4603">
        <f t="shared" si="356"/>
        <v>0</v>
      </c>
      <c r="H4603">
        <f t="shared" si="357"/>
        <v>0</v>
      </c>
      <c r="I4603" s="141">
        <f t="shared" si="358"/>
        <v>0</v>
      </c>
      <c r="J4603">
        <f t="shared" si="359"/>
        <v>0</v>
      </c>
      <c r="K4603" s="141">
        <f t="shared" si="360"/>
        <v>0</v>
      </c>
    </row>
    <row r="4604" spans="7:11" hidden="1" x14ac:dyDescent="0.25">
      <c r="G4604">
        <f t="shared" si="356"/>
        <v>0</v>
      </c>
      <c r="H4604">
        <f t="shared" si="357"/>
        <v>0</v>
      </c>
      <c r="I4604" s="141">
        <f t="shared" si="358"/>
        <v>0</v>
      </c>
      <c r="J4604">
        <f t="shared" si="359"/>
        <v>0</v>
      </c>
      <c r="K4604" s="141">
        <f t="shared" si="360"/>
        <v>0</v>
      </c>
    </row>
    <row r="4605" spans="7:11" hidden="1" x14ac:dyDescent="0.25">
      <c r="G4605">
        <f t="shared" si="356"/>
        <v>0</v>
      </c>
      <c r="H4605">
        <f t="shared" si="357"/>
        <v>0</v>
      </c>
      <c r="I4605" s="141">
        <f t="shared" si="358"/>
        <v>0</v>
      </c>
      <c r="J4605">
        <f t="shared" si="359"/>
        <v>0</v>
      </c>
      <c r="K4605" s="141">
        <f t="shared" si="360"/>
        <v>0</v>
      </c>
    </row>
    <row r="4606" spans="7:11" hidden="1" x14ac:dyDescent="0.25">
      <c r="G4606">
        <f t="shared" si="356"/>
        <v>0</v>
      </c>
      <c r="H4606">
        <f t="shared" si="357"/>
        <v>0</v>
      </c>
      <c r="I4606" s="141">
        <f t="shared" si="358"/>
        <v>0</v>
      </c>
      <c r="J4606">
        <f t="shared" si="359"/>
        <v>0</v>
      </c>
      <c r="K4606" s="141">
        <f t="shared" si="360"/>
        <v>0</v>
      </c>
    </row>
    <row r="4607" spans="7:11" hidden="1" x14ac:dyDescent="0.25">
      <c r="G4607">
        <f t="shared" si="356"/>
        <v>0</v>
      </c>
      <c r="H4607">
        <f t="shared" si="357"/>
        <v>0</v>
      </c>
      <c r="I4607" s="141">
        <f t="shared" si="358"/>
        <v>0</v>
      </c>
      <c r="J4607">
        <f t="shared" si="359"/>
        <v>0</v>
      </c>
      <c r="K4607" s="141">
        <f t="shared" si="360"/>
        <v>0</v>
      </c>
    </row>
    <row r="4608" spans="7:11" hidden="1" x14ac:dyDescent="0.25">
      <c r="G4608">
        <f t="shared" si="356"/>
        <v>0</v>
      </c>
      <c r="H4608">
        <f t="shared" si="357"/>
        <v>0</v>
      </c>
      <c r="I4608" s="141">
        <f t="shared" si="358"/>
        <v>0</v>
      </c>
      <c r="J4608">
        <f t="shared" si="359"/>
        <v>0</v>
      </c>
      <c r="K4608" s="141">
        <f t="shared" si="360"/>
        <v>0</v>
      </c>
    </row>
    <row r="4609" spans="7:11" hidden="1" x14ac:dyDescent="0.25">
      <c r="G4609">
        <f t="shared" si="356"/>
        <v>0</v>
      </c>
      <c r="H4609">
        <f t="shared" si="357"/>
        <v>0</v>
      </c>
      <c r="I4609" s="141">
        <f t="shared" si="358"/>
        <v>0</v>
      </c>
      <c r="J4609">
        <f t="shared" si="359"/>
        <v>0</v>
      </c>
      <c r="K4609" s="141">
        <f t="shared" si="360"/>
        <v>0</v>
      </c>
    </row>
    <row r="4610" spans="7:11" hidden="1" x14ac:dyDescent="0.25">
      <c r="G4610">
        <f t="shared" ref="G4610:G4672" si="361">A4610</f>
        <v>0</v>
      </c>
      <c r="H4610">
        <f t="shared" ref="H4610:H4672" si="362">B4610</f>
        <v>0</v>
      </c>
      <c r="I4610" s="141">
        <f t="shared" ref="I4610:I4672" si="363">C4610</f>
        <v>0</v>
      </c>
      <c r="J4610">
        <f t="shared" ref="J4610:J4672" si="364">D4610</f>
        <v>0</v>
      </c>
      <c r="K4610" s="141">
        <f t="shared" ref="K4610:K4672" si="365">E4610</f>
        <v>0</v>
      </c>
    </row>
    <row r="4611" spans="7:11" hidden="1" x14ac:dyDescent="0.25">
      <c r="G4611">
        <f t="shared" si="361"/>
        <v>0</v>
      </c>
      <c r="H4611">
        <f t="shared" si="362"/>
        <v>0</v>
      </c>
      <c r="I4611" s="141">
        <f t="shared" si="363"/>
        <v>0</v>
      </c>
      <c r="J4611">
        <f t="shared" si="364"/>
        <v>0</v>
      </c>
      <c r="K4611" s="141">
        <f t="shared" si="365"/>
        <v>0</v>
      </c>
    </row>
    <row r="4612" spans="7:11" hidden="1" x14ac:dyDescent="0.25">
      <c r="G4612">
        <f t="shared" si="361"/>
        <v>0</v>
      </c>
      <c r="H4612">
        <f t="shared" si="362"/>
        <v>0</v>
      </c>
      <c r="I4612" s="141">
        <f t="shared" si="363"/>
        <v>0</v>
      </c>
      <c r="J4612">
        <f t="shared" si="364"/>
        <v>0</v>
      </c>
      <c r="K4612" s="141">
        <f t="shared" si="365"/>
        <v>0</v>
      </c>
    </row>
    <row r="4613" spans="7:11" hidden="1" x14ac:dyDescent="0.25">
      <c r="G4613">
        <f t="shared" si="361"/>
        <v>0</v>
      </c>
      <c r="H4613">
        <f t="shared" si="362"/>
        <v>0</v>
      </c>
      <c r="I4613" s="141">
        <f t="shared" si="363"/>
        <v>0</v>
      </c>
      <c r="J4613">
        <f t="shared" si="364"/>
        <v>0</v>
      </c>
      <c r="K4613" s="141">
        <f t="shared" si="365"/>
        <v>0</v>
      </c>
    </row>
    <row r="4614" spans="7:11" hidden="1" x14ac:dyDescent="0.25">
      <c r="G4614">
        <f t="shared" si="361"/>
        <v>0</v>
      </c>
      <c r="H4614">
        <f t="shared" si="362"/>
        <v>0</v>
      </c>
      <c r="I4614" s="141">
        <f t="shared" si="363"/>
        <v>0</v>
      </c>
      <c r="J4614">
        <f t="shared" si="364"/>
        <v>0</v>
      </c>
      <c r="K4614" s="141">
        <f t="shared" si="365"/>
        <v>0</v>
      </c>
    </row>
    <row r="4615" spans="7:11" hidden="1" x14ac:dyDescent="0.25">
      <c r="G4615">
        <f t="shared" si="361"/>
        <v>0</v>
      </c>
      <c r="H4615">
        <f t="shared" si="362"/>
        <v>0</v>
      </c>
      <c r="I4615" s="141">
        <f t="shared" si="363"/>
        <v>0</v>
      </c>
      <c r="J4615">
        <f t="shared" si="364"/>
        <v>0</v>
      </c>
      <c r="K4615" s="141">
        <f t="shared" si="365"/>
        <v>0</v>
      </c>
    </row>
    <row r="4616" spans="7:11" hidden="1" x14ac:dyDescent="0.25">
      <c r="G4616">
        <f t="shared" si="361"/>
        <v>0</v>
      </c>
      <c r="H4616">
        <f t="shared" si="362"/>
        <v>0</v>
      </c>
      <c r="I4616" s="141">
        <f t="shared" si="363"/>
        <v>0</v>
      </c>
      <c r="J4616">
        <f t="shared" si="364"/>
        <v>0</v>
      </c>
      <c r="K4616" s="141">
        <f t="shared" si="365"/>
        <v>0</v>
      </c>
    </row>
    <row r="4617" spans="7:11" hidden="1" x14ac:dyDescent="0.25">
      <c r="G4617">
        <f t="shared" si="361"/>
        <v>0</v>
      </c>
      <c r="H4617">
        <f t="shared" si="362"/>
        <v>0</v>
      </c>
      <c r="I4617" s="141">
        <f t="shared" si="363"/>
        <v>0</v>
      </c>
      <c r="J4617">
        <f t="shared" si="364"/>
        <v>0</v>
      </c>
      <c r="K4617" s="141">
        <f t="shared" si="365"/>
        <v>0</v>
      </c>
    </row>
    <row r="4618" spans="7:11" hidden="1" x14ac:dyDescent="0.25">
      <c r="G4618">
        <f t="shared" si="361"/>
        <v>0</v>
      </c>
      <c r="H4618">
        <f t="shared" si="362"/>
        <v>0</v>
      </c>
      <c r="I4618" s="141">
        <f t="shared" si="363"/>
        <v>0</v>
      </c>
      <c r="J4618">
        <f t="shared" si="364"/>
        <v>0</v>
      </c>
      <c r="K4618" s="141">
        <f t="shared" si="365"/>
        <v>0</v>
      </c>
    </row>
    <row r="4619" spans="7:11" hidden="1" x14ac:dyDescent="0.25">
      <c r="G4619">
        <f t="shared" si="361"/>
        <v>0</v>
      </c>
      <c r="H4619">
        <f t="shared" si="362"/>
        <v>0</v>
      </c>
      <c r="I4619" s="141">
        <f t="shared" si="363"/>
        <v>0</v>
      </c>
      <c r="J4619">
        <f t="shared" si="364"/>
        <v>0</v>
      </c>
      <c r="K4619" s="141">
        <f t="shared" si="365"/>
        <v>0</v>
      </c>
    </row>
    <row r="4620" spans="7:11" hidden="1" x14ac:dyDescent="0.25">
      <c r="G4620">
        <f t="shared" si="361"/>
        <v>0</v>
      </c>
      <c r="H4620">
        <f t="shared" si="362"/>
        <v>0</v>
      </c>
      <c r="I4620" s="141">
        <f t="shared" si="363"/>
        <v>0</v>
      </c>
      <c r="J4620">
        <f t="shared" si="364"/>
        <v>0</v>
      </c>
      <c r="K4620" s="141">
        <f t="shared" si="365"/>
        <v>0</v>
      </c>
    </row>
    <row r="4621" spans="7:11" hidden="1" x14ac:dyDescent="0.25">
      <c r="G4621">
        <f t="shared" si="361"/>
        <v>0</v>
      </c>
      <c r="H4621">
        <f t="shared" si="362"/>
        <v>0</v>
      </c>
      <c r="I4621" s="141">
        <f t="shared" si="363"/>
        <v>0</v>
      </c>
      <c r="J4621">
        <f t="shared" si="364"/>
        <v>0</v>
      </c>
      <c r="K4621" s="141">
        <f t="shared" si="365"/>
        <v>0</v>
      </c>
    </row>
    <row r="4622" spans="7:11" hidden="1" x14ac:dyDescent="0.25">
      <c r="G4622">
        <f t="shared" si="361"/>
        <v>0</v>
      </c>
      <c r="H4622">
        <f t="shared" si="362"/>
        <v>0</v>
      </c>
      <c r="I4622" s="141">
        <f t="shared" si="363"/>
        <v>0</v>
      </c>
      <c r="J4622">
        <f t="shared" si="364"/>
        <v>0</v>
      </c>
      <c r="K4622" s="141">
        <f t="shared" si="365"/>
        <v>0</v>
      </c>
    </row>
    <row r="4623" spans="7:11" hidden="1" x14ac:dyDescent="0.25">
      <c r="G4623">
        <f t="shared" si="361"/>
        <v>0</v>
      </c>
      <c r="H4623">
        <f t="shared" si="362"/>
        <v>0</v>
      </c>
      <c r="I4623" s="141">
        <f t="shared" si="363"/>
        <v>0</v>
      </c>
      <c r="J4623">
        <f t="shared" si="364"/>
        <v>0</v>
      </c>
      <c r="K4623" s="141">
        <f t="shared" si="365"/>
        <v>0</v>
      </c>
    </row>
    <row r="4624" spans="7:11" hidden="1" x14ac:dyDescent="0.25">
      <c r="G4624">
        <f t="shared" si="361"/>
        <v>0</v>
      </c>
      <c r="H4624">
        <f t="shared" si="362"/>
        <v>0</v>
      </c>
      <c r="I4624" s="141">
        <f t="shared" si="363"/>
        <v>0</v>
      </c>
      <c r="J4624">
        <f t="shared" si="364"/>
        <v>0</v>
      </c>
      <c r="K4624" s="141">
        <f t="shared" si="365"/>
        <v>0</v>
      </c>
    </row>
    <row r="4625" spans="7:11" hidden="1" x14ac:dyDescent="0.25">
      <c r="G4625">
        <f t="shared" si="361"/>
        <v>0</v>
      </c>
      <c r="H4625">
        <f t="shared" si="362"/>
        <v>0</v>
      </c>
      <c r="I4625" s="141">
        <f t="shared" si="363"/>
        <v>0</v>
      </c>
      <c r="J4625">
        <f t="shared" si="364"/>
        <v>0</v>
      </c>
      <c r="K4625" s="141">
        <f t="shared" si="365"/>
        <v>0</v>
      </c>
    </row>
    <row r="4626" spans="7:11" hidden="1" x14ac:dyDescent="0.25">
      <c r="G4626">
        <f t="shared" si="361"/>
        <v>0</v>
      </c>
      <c r="H4626">
        <f t="shared" si="362"/>
        <v>0</v>
      </c>
      <c r="I4626" s="141">
        <f t="shared" si="363"/>
        <v>0</v>
      </c>
      <c r="J4626">
        <f t="shared" si="364"/>
        <v>0</v>
      </c>
      <c r="K4626" s="141">
        <f t="shared" si="365"/>
        <v>0</v>
      </c>
    </row>
    <row r="4627" spans="7:11" hidden="1" x14ac:dyDescent="0.25">
      <c r="G4627">
        <f t="shared" si="361"/>
        <v>0</v>
      </c>
      <c r="H4627">
        <f t="shared" si="362"/>
        <v>0</v>
      </c>
      <c r="I4627" s="141">
        <f t="shared" si="363"/>
        <v>0</v>
      </c>
      <c r="J4627">
        <f t="shared" si="364"/>
        <v>0</v>
      </c>
      <c r="K4627" s="141">
        <f t="shared" si="365"/>
        <v>0</v>
      </c>
    </row>
    <row r="4628" spans="7:11" hidden="1" x14ac:dyDescent="0.25">
      <c r="G4628">
        <f t="shared" si="361"/>
        <v>0</v>
      </c>
      <c r="H4628">
        <f t="shared" si="362"/>
        <v>0</v>
      </c>
      <c r="I4628" s="141">
        <f t="shared" si="363"/>
        <v>0</v>
      </c>
      <c r="J4628">
        <f t="shared" si="364"/>
        <v>0</v>
      </c>
      <c r="K4628" s="141">
        <f t="shared" si="365"/>
        <v>0</v>
      </c>
    </row>
    <row r="4629" spans="7:11" hidden="1" x14ac:dyDescent="0.25">
      <c r="G4629">
        <f t="shared" si="361"/>
        <v>0</v>
      </c>
      <c r="H4629">
        <f t="shared" si="362"/>
        <v>0</v>
      </c>
      <c r="I4629" s="141">
        <f t="shared" si="363"/>
        <v>0</v>
      </c>
      <c r="J4629">
        <f t="shared" si="364"/>
        <v>0</v>
      </c>
      <c r="K4629" s="141">
        <f t="shared" si="365"/>
        <v>0</v>
      </c>
    </row>
    <row r="4630" spans="7:11" hidden="1" x14ac:dyDescent="0.25">
      <c r="G4630">
        <f t="shared" si="361"/>
        <v>0</v>
      </c>
      <c r="H4630">
        <f t="shared" si="362"/>
        <v>0</v>
      </c>
      <c r="I4630" s="141">
        <f t="shared" si="363"/>
        <v>0</v>
      </c>
      <c r="J4630">
        <f t="shared" si="364"/>
        <v>0</v>
      </c>
      <c r="K4630" s="141">
        <f t="shared" si="365"/>
        <v>0</v>
      </c>
    </row>
    <row r="4631" spans="7:11" hidden="1" x14ac:dyDescent="0.25">
      <c r="G4631">
        <f t="shared" si="361"/>
        <v>0</v>
      </c>
      <c r="H4631">
        <f t="shared" si="362"/>
        <v>0</v>
      </c>
      <c r="I4631" s="141">
        <f t="shared" si="363"/>
        <v>0</v>
      </c>
      <c r="J4631">
        <f t="shared" si="364"/>
        <v>0</v>
      </c>
      <c r="K4631" s="141">
        <f t="shared" si="365"/>
        <v>0</v>
      </c>
    </row>
    <row r="4632" spans="7:11" hidden="1" x14ac:dyDescent="0.25">
      <c r="G4632">
        <f t="shared" si="361"/>
        <v>0</v>
      </c>
      <c r="H4632">
        <f t="shared" si="362"/>
        <v>0</v>
      </c>
      <c r="I4632" s="141">
        <f t="shared" si="363"/>
        <v>0</v>
      </c>
      <c r="J4632">
        <f t="shared" si="364"/>
        <v>0</v>
      </c>
      <c r="K4632" s="141">
        <f t="shared" si="365"/>
        <v>0</v>
      </c>
    </row>
    <row r="4633" spans="7:11" hidden="1" x14ac:dyDescent="0.25">
      <c r="G4633">
        <f t="shared" si="361"/>
        <v>0</v>
      </c>
      <c r="H4633">
        <f t="shared" si="362"/>
        <v>0</v>
      </c>
      <c r="I4633" s="141">
        <f t="shared" si="363"/>
        <v>0</v>
      </c>
      <c r="J4633">
        <f t="shared" si="364"/>
        <v>0</v>
      </c>
      <c r="K4633" s="141">
        <f t="shared" si="365"/>
        <v>0</v>
      </c>
    </row>
    <row r="4634" spans="7:11" hidden="1" x14ac:dyDescent="0.25">
      <c r="G4634">
        <f t="shared" si="361"/>
        <v>0</v>
      </c>
      <c r="H4634">
        <f t="shared" si="362"/>
        <v>0</v>
      </c>
      <c r="I4634" s="141">
        <f t="shared" si="363"/>
        <v>0</v>
      </c>
      <c r="J4634">
        <f t="shared" si="364"/>
        <v>0</v>
      </c>
      <c r="K4634" s="141">
        <f t="shared" si="365"/>
        <v>0</v>
      </c>
    </row>
    <row r="4635" spans="7:11" hidden="1" x14ac:dyDescent="0.25">
      <c r="G4635">
        <f t="shared" si="361"/>
        <v>0</v>
      </c>
      <c r="H4635">
        <f t="shared" si="362"/>
        <v>0</v>
      </c>
      <c r="I4635" s="141">
        <f t="shared" si="363"/>
        <v>0</v>
      </c>
      <c r="J4635">
        <f t="shared" si="364"/>
        <v>0</v>
      </c>
      <c r="K4635" s="141">
        <f t="shared" si="365"/>
        <v>0</v>
      </c>
    </row>
    <row r="4636" spans="7:11" hidden="1" x14ac:dyDescent="0.25">
      <c r="G4636">
        <f t="shared" si="361"/>
        <v>0</v>
      </c>
      <c r="H4636">
        <f t="shared" si="362"/>
        <v>0</v>
      </c>
      <c r="I4636" s="141">
        <f t="shared" si="363"/>
        <v>0</v>
      </c>
      <c r="J4636">
        <f t="shared" si="364"/>
        <v>0</v>
      </c>
      <c r="K4636" s="141">
        <f t="shared" si="365"/>
        <v>0</v>
      </c>
    </row>
    <row r="4637" spans="7:11" hidden="1" x14ac:dyDescent="0.25">
      <c r="G4637">
        <f t="shared" si="361"/>
        <v>0</v>
      </c>
      <c r="H4637">
        <f t="shared" si="362"/>
        <v>0</v>
      </c>
      <c r="I4637" s="141">
        <f t="shared" si="363"/>
        <v>0</v>
      </c>
      <c r="J4637">
        <f t="shared" si="364"/>
        <v>0</v>
      </c>
      <c r="K4637" s="141">
        <f t="shared" si="365"/>
        <v>0</v>
      </c>
    </row>
    <row r="4638" spans="7:11" hidden="1" x14ac:dyDescent="0.25">
      <c r="G4638">
        <f t="shared" si="361"/>
        <v>0</v>
      </c>
      <c r="H4638">
        <f t="shared" si="362"/>
        <v>0</v>
      </c>
      <c r="I4638" s="141">
        <f t="shared" si="363"/>
        <v>0</v>
      </c>
      <c r="J4638">
        <f t="shared" si="364"/>
        <v>0</v>
      </c>
      <c r="K4638" s="141">
        <f t="shared" si="365"/>
        <v>0</v>
      </c>
    </row>
    <row r="4639" spans="7:11" hidden="1" x14ac:dyDescent="0.25">
      <c r="G4639">
        <f t="shared" si="361"/>
        <v>0</v>
      </c>
      <c r="H4639">
        <f t="shared" si="362"/>
        <v>0</v>
      </c>
      <c r="I4639" s="141">
        <f t="shared" si="363"/>
        <v>0</v>
      </c>
      <c r="J4639">
        <f t="shared" si="364"/>
        <v>0</v>
      </c>
      <c r="K4639" s="141">
        <f t="shared" si="365"/>
        <v>0</v>
      </c>
    </row>
    <row r="4640" spans="7:11" hidden="1" x14ac:dyDescent="0.25">
      <c r="G4640">
        <f t="shared" si="361"/>
        <v>0</v>
      </c>
      <c r="H4640">
        <f t="shared" si="362"/>
        <v>0</v>
      </c>
      <c r="I4640" s="141">
        <f t="shared" si="363"/>
        <v>0</v>
      </c>
      <c r="J4640">
        <f t="shared" si="364"/>
        <v>0</v>
      </c>
      <c r="K4640" s="141">
        <f t="shared" si="365"/>
        <v>0</v>
      </c>
    </row>
    <row r="4641" spans="7:11" hidden="1" x14ac:dyDescent="0.25">
      <c r="G4641">
        <f t="shared" si="361"/>
        <v>0</v>
      </c>
      <c r="H4641">
        <f t="shared" si="362"/>
        <v>0</v>
      </c>
      <c r="I4641" s="141">
        <f t="shared" si="363"/>
        <v>0</v>
      </c>
      <c r="J4641">
        <f t="shared" si="364"/>
        <v>0</v>
      </c>
      <c r="K4641" s="141">
        <f t="shared" si="365"/>
        <v>0</v>
      </c>
    </row>
    <row r="4642" spans="7:11" hidden="1" x14ac:dyDescent="0.25">
      <c r="G4642">
        <f t="shared" si="361"/>
        <v>0</v>
      </c>
      <c r="H4642">
        <f t="shared" si="362"/>
        <v>0</v>
      </c>
      <c r="I4642" s="141">
        <f t="shared" si="363"/>
        <v>0</v>
      </c>
      <c r="J4642">
        <f t="shared" si="364"/>
        <v>0</v>
      </c>
      <c r="K4642" s="141">
        <f t="shared" si="365"/>
        <v>0</v>
      </c>
    </row>
    <row r="4643" spans="7:11" hidden="1" x14ac:dyDescent="0.25">
      <c r="G4643">
        <f t="shared" si="361"/>
        <v>0</v>
      </c>
      <c r="H4643">
        <f t="shared" si="362"/>
        <v>0</v>
      </c>
      <c r="I4643" s="141">
        <f t="shared" si="363"/>
        <v>0</v>
      </c>
      <c r="J4643">
        <f t="shared" si="364"/>
        <v>0</v>
      </c>
      <c r="K4643" s="141">
        <f t="shared" si="365"/>
        <v>0</v>
      </c>
    </row>
    <row r="4644" spans="7:11" hidden="1" x14ac:dyDescent="0.25">
      <c r="G4644">
        <f t="shared" si="361"/>
        <v>0</v>
      </c>
      <c r="H4644">
        <f t="shared" si="362"/>
        <v>0</v>
      </c>
      <c r="I4644" s="141">
        <f t="shared" si="363"/>
        <v>0</v>
      </c>
      <c r="J4644">
        <f t="shared" si="364"/>
        <v>0</v>
      </c>
      <c r="K4644" s="141">
        <f t="shared" si="365"/>
        <v>0</v>
      </c>
    </row>
    <row r="4645" spans="7:11" hidden="1" x14ac:dyDescent="0.25">
      <c r="G4645">
        <f t="shared" si="361"/>
        <v>0</v>
      </c>
      <c r="H4645">
        <f t="shared" si="362"/>
        <v>0</v>
      </c>
      <c r="I4645" s="141">
        <f t="shared" si="363"/>
        <v>0</v>
      </c>
      <c r="J4645">
        <f t="shared" si="364"/>
        <v>0</v>
      </c>
      <c r="K4645" s="141">
        <f t="shared" si="365"/>
        <v>0</v>
      </c>
    </row>
    <row r="4646" spans="7:11" hidden="1" x14ac:dyDescent="0.25">
      <c r="G4646">
        <f t="shared" si="361"/>
        <v>0</v>
      </c>
      <c r="H4646">
        <f t="shared" si="362"/>
        <v>0</v>
      </c>
      <c r="I4646" s="141">
        <f t="shared" si="363"/>
        <v>0</v>
      </c>
      <c r="J4646">
        <f t="shared" si="364"/>
        <v>0</v>
      </c>
      <c r="K4646" s="141">
        <f t="shared" si="365"/>
        <v>0</v>
      </c>
    </row>
    <row r="4647" spans="7:11" hidden="1" x14ac:dyDescent="0.25">
      <c r="G4647">
        <f t="shared" si="361"/>
        <v>0</v>
      </c>
      <c r="H4647">
        <f t="shared" si="362"/>
        <v>0</v>
      </c>
      <c r="I4647" s="141">
        <f t="shared" si="363"/>
        <v>0</v>
      </c>
      <c r="J4647">
        <f t="shared" si="364"/>
        <v>0</v>
      </c>
      <c r="K4647" s="141">
        <f t="shared" si="365"/>
        <v>0</v>
      </c>
    </row>
    <row r="4648" spans="7:11" hidden="1" x14ac:dyDescent="0.25">
      <c r="G4648">
        <f t="shared" si="361"/>
        <v>0</v>
      </c>
      <c r="H4648">
        <f t="shared" si="362"/>
        <v>0</v>
      </c>
      <c r="I4648" s="141">
        <f t="shared" si="363"/>
        <v>0</v>
      </c>
      <c r="J4648">
        <f t="shared" si="364"/>
        <v>0</v>
      </c>
      <c r="K4648" s="141">
        <f t="shared" si="365"/>
        <v>0</v>
      </c>
    </row>
    <row r="4649" spans="7:11" hidden="1" x14ac:dyDescent="0.25">
      <c r="G4649">
        <f t="shared" si="361"/>
        <v>0</v>
      </c>
      <c r="H4649">
        <f t="shared" si="362"/>
        <v>0</v>
      </c>
      <c r="I4649" s="141">
        <f t="shared" si="363"/>
        <v>0</v>
      </c>
      <c r="J4649">
        <f t="shared" si="364"/>
        <v>0</v>
      </c>
      <c r="K4649" s="141">
        <f t="shared" si="365"/>
        <v>0</v>
      </c>
    </row>
    <row r="4650" spans="7:11" hidden="1" x14ac:dyDescent="0.25">
      <c r="G4650">
        <f t="shared" si="361"/>
        <v>0</v>
      </c>
      <c r="H4650">
        <f t="shared" si="362"/>
        <v>0</v>
      </c>
      <c r="I4650" s="141">
        <f t="shared" si="363"/>
        <v>0</v>
      </c>
      <c r="J4650">
        <f t="shared" si="364"/>
        <v>0</v>
      </c>
      <c r="K4650" s="141">
        <f t="shared" si="365"/>
        <v>0</v>
      </c>
    </row>
    <row r="4651" spans="7:11" hidden="1" x14ac:dyDescent="0.25">
      <c r="G4651">
        <f t="shared" si="361"/>
        <v>0</v>
      </c>
      <c r="H4651">
        <f t="shared" si="362"/>
        <v>0</v>
      </c>
      <c r="I4651" s="141">
        <f t="shared" si="363"/>
        <v>0</v>
      </c>
      <c r="J4651">
        <f t="shared" si="364"/>
        <v>0</v>
      </c>
      <c r="K4651" s="141">
        <f t="shared" si="365"/>
        <v>0</v>
      </c>
    </row>
    <row r="4652" spans="7:11" hidden="1" x14ac:dyDescent="0.25">
      <c r="G4652">
        <f t="shared" si="361"/>
        <v>0</v>
      </c>
      <c r="H4652">
        <f t="shared" si="362"/>
        <v>0</v>
      </c>
      <c r="I4652" s="141">
        <f t="shared" si="363"/>
        <v>0</v>
      </c>
      <c r="J4652">
        <f t="shared" si="364"/>
        <v>0</v>
      </c>
      <c r="K4652" s="141">
        <f t="shared" si="365"/>
        <v>0</v>
      </c>
    </row>
    <row r="4653" spans="7:11" hidden="1" x14ac:dyDescent="0.25">
      <c r="G4653">
        <f t="shared" si="361"/>
        <v>0</v>
      </c>
      <c r="H4653">
        <f t="shared" si="362"/>
        <v>0</v>
      </c>
      <c r="I4653" s="141">
        <f t="shared" si="363"/>
        <v>0</v>
      </c>
      <c r="J4653">
        <f t="shared" si="364"/>
        <v>0</v>
      </c>
      <c r="K4653" s="141">
        <f t="shared" si="365"/>
        <v>0</v>
      </c>
    </row>
    <row r="4654" spans="7:11" hidden="1" x14ac:dyDescent="0.25">
      <c r="G4654">
        <f t="shared" si="361"/>
        <v>0</v>
      </c>
      <c r="H4654">
        <f t="shared" si="362"/>
        <v>0</v>
      </c>
      <c r="I4654" s="141">
        <f t="shared" si="363"/>
        <v>0</v>
      </c>
      <c r="J4654">
        <f t="shared" si="364"/>
        <v>0</v>
      </c>
      <c r="K4654" s="141">
        <f t="shared" si="365"/>
        <v>0</v>
      </c>
    </row>
    <row r="4655" spans="7:11" hidden="1" x14ac:dyDescent="0.25">
      <c r="G4655">
        <f t="shared" si="361"/>
        <v>0</v>
      </c>
      <c r="H4655">
        <f t="shared" si="362"/>
        <v>0</v>
      </c>
      <c r="I4655" s="141">
        <f t="shared" si="363"/>
        <v>0</v>
      </c>
      <c r="J4655">
        <f t="shared" si="364"/>
        <v>0</v>
      </c>
      <c r="K4655" s="141">
        <f t="shared" si="365"/>
        <v>0</v>
      </c>
    </row>
    <row r="4656" spans="7:11" hidden="1" x14ac:dyDescent="0.25">
      <c r="G4656">
        <f t="shared" si="361"/>
        <v>0</v>
      </c>
      <c r="H4656">
        <f t="shared" si="362"/>
        <v>0</v>
      </c>
      <c r="I4656" s="141">
        <f t="shared" si="363"/>
        <v>0</v>
      </c>
      <c r="J4656">
        <f t="shared" si="364"/>
        <v>0</v>
      </c>
      <c r="K4656" s="141">
        <f t="shared" si="365"/>
        <v>0</v>
      </c>
    </row>
    <row r="4657" spans="7:11" hidden="1" x14ac:dyDescent="0.25">
      <c r="G4657">
        <f t="shared" si="361"/>
        <v>0</v>
      </c>
      <c r="H4657">
        <f t="shared" si="362"/>
        <v>0</v>
      </c>
      <c r="I4657" s="141">
        <f t="shared" si="363"/>
        <v>0</v>
      </c>
      <c r="J4657">
        <f t="shared" si="364"/>
        <v>0</v>
      </c>
      <c r="K4657" s="141">
        <f t="shared" si="365"/>
        <v>0</v>
      </c>
    </row>
    <row r="4658" spans="7:11" hidden="1" x14ac:dyDescent="0.25">
      <c r="G4658">
        <f t="shared" si="361"/>
        <v>0</v>
      </c>
      <c r="H4658">
        <f t="shared" si="362"/>
        <v>0</v>
      </c>
      <c r="I4658" s="141">
        <f t="shared" si="363"/>
        <v>0</v>
      </c>
      <c r="J4658">
        <f t="shared" si="364"/>
        <v>0</v>
      </c>
      <c r="K4658" s="141">
        <f t="shared" si="365"/>
        <v>0</v>
      </c>
    </row>
    <row r="4659" spans="7:11" hidden="1" x14ac:dyDescent="0.25">
      <c r="G4659">
        <f t="shared" si="361"/>
        <v>0</v>
      </c>
      <c r="H4659">
        <f t="shared" si="362"/>
        <v>0</v>
      </c>
      <c r="I4659" s="141">
        <f t="shared" si="363"/>
        <v>0</v>
      </c>
      <c r="J4659">
        <f t="shared" si="364"/>
        <v>0</v>
      </c>
      <c r="K4659" s="141">
        <f t="shared" si="365"/>
        <v>0</v>
      </c>
    </row>
    <row r="4660" spans="7:11" hidden="1" x14ac:dyDescent="0.25">
      <c r="G4660">
        <f t="shared" si="361"/>
        <v>0</v>
      </c>
      <c r="H4660">
        <f t="shared" si="362"/>
        <v>0</v>
      </c>
      <c r="I4660" s="141">
        <f t="shared" si="363"/>
        <v>0</v>
      </c>
      <c r="J4660">
        <f t="shared" si="364"/>
        <v>0</v>
      </c>
      <c r="K4660" s="141">
        <f t="shared" si="365"/>
        <v>0</v>
      </c>
    </row>
    <row r="4661" spans="7:11" hidden="1" x14ac:dyDescent="0.25">
      <c r="G4661">
        <f t="shared" si="361"/>
        <v>0</v>
      </c>
      <c r="H4661">
        <f t="shared" si="362"/>
        <v>0</v>
      </c>
      <c r="I4661" s="141">
        <f t="shared" si="363"/>
        <v>0</v>
      </c>
      <c r="J4661">
        <f t="shared" si="364"/>
        <v>0</v>
      </c>
      <c r="K4661" s="141">
        <f t="shared" si="365"/>
        <v>0</v>
      </c>
    </row>
    <row r="4662" spans="7:11" hidden="1" x14ac:dyDescent="0.25">
      <c r="G4662">
        <f t="shared" si="361"/>
        <v>0</v>
      </c>
      <c r="H4662">
        <f t="shared" si="362"/>
        <v>0</v>
      </c>
      <c r="I4662" s="141">
        <f t="shared" si="363"/>
        <v>0</v>
      </c>
      <c r="J4662">
        <f t="shared" si="364"/>
        <v>0</v>
      </c>
      <c r="K4662" s="141">
        <f t="shared" si="365"/>
        <v>0</v>
      </c>
    </row>
    <row r="4663" spans="7:11" hidden="1" x14ac:dyDescent="0.25">
      <c r="G4663">
        <f t="shared" si="361"/>
        <v>0</v>
      </c>
      <c r="H4663">
        <f t="shared" si="362"/>
        <v>0</v>
      </c>
      <c r="I4663" s="141">
        <f t="shared" si="363"/>
        <v>0</v>
      </c>
      <c r="J4663">
        <f t="shared" si="364"/>
        <v>0</v>
      </c>
      <c r="K4663" s="141">
        <f t="shared" si="365"/>
        <v>0</v>
      </c>
    </row>
    <row r="4664" spans="7:11" hidden="1" x14ac:dyDescent="0.25">
      <c r="G4664">
        <f t="shared" si="361"/>
        <v>0</v>
      </c>
      <c r="H4664">
        <f t="shared" si="362"/>
        <v>0</v>
      </c>
      <c r="I4664" s="141">
        <f t="shared" si="363"/>
        <v>0</v>
      </c>
      <c r="J4664">
        <f t="shared" si="364"/>
        <v>0</v>
      </c>
      <c r="K4664" s="141">
        <f t="shared" si="365"/>
        <v>0</v>
      </c>
    </row>
    <row r="4665" spans="7:11" hidden="1" x14ac:dyDescent="0.25">
      <c r="G4665">
        <f t="shared" si="361"/>
        <v>0</v>
      </c>
      <c r="H4665">
        <f t="shared" si="362"/>
        <v>0</v>
      </c>
      <c r="I4665" s="141">
        <f t="shared" si="363"/>
        <v>0</v>
      </c>
      <c r="J4665">
        <f t="shared" si="364"/>
        <v>0</v>
      </c>
      <c r="K4665" s="141">
        <f t="shared" si="365"/>
        <v>0</v>
      </c>
    </row>
    <row r="4666" spans="7:11" hidden="1" x14ac:dyDescent="0.25">
      <c r="G4666">
        <f t="shared" si="361"/>
        <v>0</v>
      </c>
      <c r="H4666">
        <f t="shared" si="362"/>
        <v>0</v>
      </c>
      <c r="I4666" s="141">
        <f t="shared" si="363"/>
        <v>0</v>
      </c>
      <c r="J4666">
        <f t="shared" si="364"/>
        <v>0</v>
      </c>
      <c r="K4666" s="141">
        <f t="shared" si="365"/>
        <v>0</v>
      </c>
    </row>
    <row r="4667" spans="7:11" hidden="1" x14ac:dyDescent="0.25">
      <c r="G4667">
        <f t="shared" si="361"/>
        <v>0</v>
      </c>
      <c r="H4667">
        <f t="shared" si="362"/>
        <v>0</v>
      </c>
      <c r="I4667" s="141">
        <f t="shared" si="363"/>
        <v>0</v>
      </c>
      <c r="J4667">
        <f t="shared" si="364"/>
        <v>0</v>
      </c>
      <c r="K4667" s="141">
        <f t="shared" si="365"/>
        <v>0</v>
      </c>
    </row>
    <row r="4668" spans="7:11" hidden="1" x14ac:dyDescent="0.25">
      <c r="G4668">
        <f t="shared" si="361"/>
        <v>0</v>
      </c>
      <c r="H4668">
        <f t="shared" si="362"/>
        <v>0</v>
      </c>
      <c r="I4668" s="141">
        <f t="shared" si="363"/>
        <v>0</v>
      </c>
      <c r="J4668">
        <f t="shared" si="364"/>
        <v>0</v>
      </c>
      <c r="K4668" s="141">
        <f t="shared" si="365"/>
        <v>0</v>
      </c>
    </row>
    <row r="4669" spans="7:11" hidden="1" x14ac:dyDescent="0.25">
      <c r="G4669">
        <f t="shared" si="361"/>
        <v>0</v>
      </c>
      <c r="H4669">
        <f t="shared" si="362"/>
        <v>0</v>
      </c>
      <c r="I4669" s="141">
        <f t="shared" si="363"/>
        <v>0</v>
      </c>
      <c r="J4669">
        <f t="shared" si="364"/>
        <v>0</v>
      </c>
      <c r="K4669" s="141">
        <f t="shared" si="365"/>
        <v>0</v>
      </c>
    </row>
    <row r="4670" spans="7:11" hidden="1" x14ac:dyDescent="0.25">
      <c r="G4670">
        <f t="shared" si="361"/>
        <v>0</v>
      </c>
      <c r="H4670">
        <f t="shared" si="362"/>
        <v>0</v>
      </c>
      <c r="I4670" s="141">
        <f t="shared" si="363"/>
        <v>0</v>
      </c>
      <c r="J4670">
        <f t="shared" si="364"/>
        <v>0</v>
      </c>
      <c r="K4670" s="141">
        <f t="shared" si="365"/>
        <v>0</v>
      </c>
    </row>
    <row r="4671" spans="7:11" hidden="1" x14ac:dyDescent="0.25">
      <c r="G4671">
        <f t="shared" si="361"/>
        <v>0</v>
      </c>
      <c r="H4671">
        <f t="shared" si="362"/>
        <v>0</v>
      </c>
      <c r="I4671" s="141">
        <f t="shared" si="363"/>
        <v>0</v>
      </c>
      <c r="J4671">
        <f t="shared" si="364"/>
        <v>0</v>
      </c>
      <c r="K4671" s="141">
        <f t="shared" si="365"/>
        <v>0</v>
      </c>
    </row>
    <row r="4672" spans="7:11" hidden="1" x14ac:dyDescent="0.25">
      <c r="G4672">
        <f t="shared" si="361"/>
        <v>0</v>
      </c>
      <c r="H4672">
        <f t="shared" si="362"/>
        <v>0</v>
      </c>
      <c r="I4672" s="141">
        <f t="shared" si="363"/>
        <v>0</v>
      </c>
      <c r="J4672">
        <f t="shared" si="364"/>
        <v>0</v>
      </c>
      <c r="K4672" s="141">
        <f t="shared" si="365"/>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0881-B01B-419C-9767-8EE8D57DEB7B}">
  <dimension ref="C3:J12"/>
  <sheetViews>
    <sheetView topLeftCell="B1" workbookViewId="0">
      <selection activeCell="D12" sqref="D12"/>
    </sheetView>
  </sheetViews>
  <sheetFormatPr defaultColWidth="9.140625" defaultRowHeight="15" x14ac:dyDescent="0.25"/>
  <sheetData>
    <row r="3" spans="3:10" x14ac:dyDescent="0.25">
      <c r="C3" s="62" t="s">
        <v>62</v>
      </c>
      <c r="D3" s="134"/>
      <c r="E3" s="135"/>
      <c r="F3" s="135"/>
      <c r="G3" s="136"/>
      <c r="H3" s="136"/>
      <c r="I3" s="136"/>
      <c r="J3" s="136"/>
    </row>
    <row r="4" spans="3:10" ht="22.5" x14ac:dyDescent="0.25">
      <c r="C4" s="62" t="s">
        <v>60</v>
      </c>
      <c r="D4" s="134"/>
      <c r="E4" s="135"/>
      <c r="F4" s="135"/>
      <c r="G4" s="135"/>
      <c r="H4" s="136"/>
      <c r="I4" s="136"/>
      <c r="J4" s="136"/>
    </row>
    <row r="5" spans="3:10" x14ac:dyDescent="0.25">
      <c r="C5" s="62" t="s">
        <v>57</v>
      </c>
      <c r="D5" s="134"/>
      <c r="E5" s="134"/>
      <c r="F5" s="135"/>
      <c r="G5" s="135"/>
      <c r="H5" s="136"/>
      <c r="I5" s="136"/>
      <c r="J5" s="136"/>
    </row>
    <row r="6" spans="3:10" ht="33.75" x14ac:dyDescent="0.25">
      <c r="C6" s="62" t="s">
        <v>54</v>
      </c>
      <c r="D6" s="134"/>
      <c r="E6" s="134"/>
      <c r="F6" s="135"/>
      <c r="G6" s="135"/>
      <c r="H6" s="135"/>
      <c r="I6" s="136"/>
      <c r="J6" s="136"/>
    </row>
    <row r="7" spans="3:10" x14ac:dyDescent="0.25">
      <c r="C7" s="62" t="s">
        <v>51</v>
      </c>
      <c r="D7" s="137"/>
      <c r="E7" s="134"/>
      <c r="F7" s="134"/>
      <c r="G7" s="134"/>
      <c r="H7" s="135"/>
      <c r="I7" s="135"/>
      <c r="J7" s="136"/>
    </row>
    <row r="8" spans="3:10" x14ac:dyDescent="0.25">
      <c r="C8" s="62" t="s">
        <v>48</v>
      </c>
      <c r="D8" s="137"/>
      <c r="E8" s="134"/>
      <c r="F8" s="134"/>
      <c r="G8" s="134"/>
      <c r="H8" s="134"/>
      <c r="I8" s="135"/>
      <c r="J8" s="135"/>
    </row>
    <row r="9" spans="3:10" ht="22.5" x14ac:dyDescent="0.25">
      <c r="C9" s="62" t="s">
        <v>45</v>
      </c>
      <c r="D9" s="137"/>
      <c r="E9" s="137"/>
      <c r="F9" s="134"/>
      <c r="G9" s="134"/>
      <c r="H9" s="134"/>
      <c r="I9" s="134"/>
      <c r="J9" s="135"/>
    </row>
    <row r="10" spans="3:10" ht="22.5" x14ac:dyDescent="0.25">
      <c r="C10" s="62" t="s">
        <v>42</v>
      </c>
      <c r="D10" s="137"/>
      <c r="E10" s="137"/>
      <c r="F10" s="137"/>
      <c r="G10" s="137"/>
      <c r="H10" s="134"/>
      <c r="I10" s="134"/>
      <c r="J10" s="134"/>
    </row>
    <row r="11" spans="3:10" x14ac:dyDescent="0.25">
      <c r="C11" s="62" t="s">
        <v>39</v>
      </c>
      <c r="D11" s="139">
        <f>COUNTIFS((Matriz!K:K),0,(Matriz!I:I),0.1)</f>
        <v>0</v>
      </c>
      <c r="E11" s="137">
        <f>COUNTIFS((Matriz!L:L),0,(Matriz!J:J),0.5)</f>
        <v>0</v>
      </c>
      <c r="F11" s="137">
        <f>COUNTIFS((Matriz!M:M),0,(Matriz!K:K),1)</f>
        <v>0</v>
      </c>
      <c r="G11" s="137">
        <f>COUNTIFS((Matriz!N:N),0,(Matriz!L:L),2)</f>
        <v>0</v>
      </c>
      <c r="H11" s="137">
        <f>COUNTIFS((Matriz!O:O),0,(Matriz!M:M),4)</f>
        <v>0</v>
      </c>
      <c r="I11" s="137">
        <f>COUNTIFS((Matriz!P:P),0,(Matriz!N:N),8)</f>
        <v>0</v>
      </c>
      <c r="J11" s="134">
        <f>COUNTIFS((Matriz!Q:Q),0,(Matriz!O:O),15)</f>
        <v>0</v>
      </c>
    </row>
    <row r="12" spans="3:10" ht="112.5" x14ac:dyDescent="0.25">
      <c r="D12" s="62" t="s">
        <v>66</v>
      </c>
      <c r="E12" s="62" t="s">
        <v>68</v>
      </c>
      <c r="F12" s="62" t="s">
        <v>70</v>
      </c>
      <c r="G12" s="62" t="s">
        <v>72</v>
      </c>
      <c r="H12" s="62" t="s">
        <v>74</v>
      </c>
      <c r="I12" s="62" t="s">
        <v>76</v>
      </c>
      <c r="J12" s="62" t="s">
        <v>78</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EFD7-2DC5-4455-894C-DD91D3C0F1AF}">
  <dimension ref="B2:F4"/>
  <sheetViews>
    <sheetView workbookViewId="0">
      <selection activeCell="C4" sqref="C4"/>
    </sheetView>
  </sheetViews>
  <sheetFormatPr defaultColWidth="9.140625" defaultRowHeight="15" x14ac:dyDescent="0.25"/>
  <cols>
    <col min="2" max="2" width="32.42578125" bestFit="1" customWidth="1"/>
    <col min="3" max="3" width="16.28515625" bestFit="1" customWidth="1"/>
    <col min="4" max="4" width="3" bestFit="1" customWidth="1"/>
    <col min="5" max="5" width="3.85546875" bestFit="1" customWidth="1"/>
    <col min="6" max="6" width="11.28515625" bestFit="1" customWidth="1"/>
  </cols>
  <sheetData>
    <row r="2" spans="2:6" x14ac:dyDescent="0.25">
      <c r="C2" s="126" t="s">
        <v>203</v>
      </c>
    </row>
    <row r="3" spans="2:6" x14ac:dyDescent="0.25">
      <c r="C3" t="s">
        <v>201</v>
      </c>
      <c r="D3" t="s">
        <v>217</v>
      </c>
      <c r="E3" t="s">
        <v>218</v>
      </c>
      <c r="F3" t="s">
        <v>202</v>
      </c>
    </row>
    <row r="4" spans="2:6" x14ac:dyDescent="0.25">
      <c r="B4" t="s">
        <v>216</v>
      </c>
      <c r="D4">
        <v>52</v>
      </c>
      <c r="E4">
        <v>50</v>
      </c>
      <c r="F4">
        <v>102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83CCE-15DD-4C3A-A4E7-70E2B4C8D7F7}">
  <dimension ref="A1:B11"/>
  <sheetViews>
    <sheetView workbookViewId="0">
      <selection activeCell="A5" sqref="A5"/>
    </sheetView>
  </sheetViews>
  <sheetFormatPr defaultColWidth="9.140625" defaultRowHeight="15" x14ac:dyDescent="0.25"/>
  <cols>
    <col min="1" max="1" width="20.85546875" bestFit="1" customWidth="1"/>
    <col min="2" max="2" width="28.7109375" bestFit="1" customWidth="1"/>
  </cols>
  <sheetData>
    <row r="1" spans="1:2" x14ac:dyDescent="0.25">
      <c r="A1" s="126" t="s">
        <v>200</v>
      </c>
      <c r="B1" t="s">
        <v>207</v>
      </c>
    </row>
    <row r="2" spans="1:2" x14ac:dyDescent="0.25">
      <c r="A2" s="127" t="s">
        <v>201</v>
      </c>
    </row>
    <row r="3" spans="1:2" x14ac:dyDescent="0.25">
      <c r="A3" s="127" t="s">
        <v>212</v>
      </c>
      <c r="B3">
        <v>14</v>
      </c>
    </row>
    <row r="4" spans="1:2" x14ac:dyDescent="0.25">
      <c r="A4" s="127" t="s">
        <v>213</v>
      </c>
      <c r="B4">
        <v>12</v>
      </c>
    </row>
    <row r="5" spans="1:2" x14ac:dyDescent="0.25">
      <c r="A5" s="127" t="s">
        <v>278</v>
      </c>
      <c r="B5">
        <v>13</v>
      </c>
    </row>
    <row r="6" spans="1:2" x14ac:dyDescent="0.25">
      <c r="A6" s="127" t="s">
        <v>279</v>
      </c>
      <c r="B6">
        <v>13</v>
      </c>
    </row>
    <row r="7" spans="1:2" x14ac:dyDescent="0.25">
      <c r="A7" s="127" t="s">
        <v>214</v>
      </c>
      <c r="B7">
        <v>13</v>
      </c>
    </row>
    <row r="8" spans="1:2" x14ac:dyDescent="0.25">
      <c r="A8" s="127" t="s">
        <v>280</v>
      </c>
      <c r="B8">
        <v>13</v>
      </c>
    </row>
    <row r="9" spans="1:2" x14ac:dyDescent="0.25">
      <c r="A9" s="127" t="s">
        <v>281</v>
      </c>
      <c r="B9">
        <v>9</v>
      </c>
    </row>
    <row r="10" spans="1:2" x14ac:dyDescent="0.25">
      <c r="A10" s="127" t="s">
        <v>282</v>
      </c>
      <c r="B10">
        <v>1</v>
      </c>
    </row>
    <row r="11" spans="1:2" x14ac:dyDescent="0.25">
      <c r="A11" s="127" t="s">
        <v>202</v>
      </c>
      <c r="B11">
        <v>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86F3F-9C14-41FA-8FAA-5BC3FAAA5952}">
  <dimension ref="A2:B41"/>
  <sheetViews>
    <sheetView workbookViewId="0">
      <selection activeCell="C4" sqref="C4"/>
    </sheetView>
  </sheetViews>
  <sheetFormatPr defaultColWidth="9.140625" defaultRowHeight="15" x14ac:dyDescent="0.25"/>
  <cols>
    <col min="1" max="1" width="39.7109375" bestFit="1" customWidth="1"/>
    <col min="2" max="2" width="13.28515625" bestFit="1" customWidth="1"/>
  </cols>
  <sheetData>
    <row r="2" spans="1:2" x14ac:dyDescent="0.25">
      <c r="A2" s="126" t="s">
        <v>200</v>
      </c>
      <c r="B2" t="s">
        <v>206</v>
      </c>
    </row>
    <row r="3" spans="1:2" x14ac:dyDescent="0.25">
      <c r="A3" s="127" t="s">
        <v>201</v>
      </c>
    </row>
    <row r="4" spans="1:2" x14ac:dyDescent="0.25">
      <c r="A4" s="127" t="s">
        <v>243</v>
      </c>
      <c r="B4">
        <v>1</v>
      </c>
    </row>
    <row r="5" spans="1:2" x14ac:dyDescent="0.25">
      <c r="A5" s="127" t="s">
        <v>244</v>
      </c>
      <c r="B5">
        <v>1</v>
      </c>
    </row>
    <row r="6" spans="1:2" x14ac:dyDescent="0.25">
      <c r="A6" s="127" t="s">
        <v>245</v>
      </c>
      <c r="B6">
        <v>1</v>
      </c>
    </row>
    <row r="7" spans="1:2" x14ac:dyDescent="0.25">
      <c r="A7" s="127" t="s">
        <v>246</v>
      </c>
      <c r="B7">
        <v>1</v>
      </c>
    </row>
    <row r="8" spans="1:2" x14ac:dyDescent="0.25">
      <c r="A8" s="127" t="s">
        <v>210</v>
      </c>
      <c r="B8">
        <v>1</v>
      </c>
    </row>
    <row r="9" spans="1:2" x14ac:dyDescent="0.25">
      <c r="A9" s="127" t="s">
        <v>247</v>
      </c>
      <c r="B9">
        <v>1</v>
      </c>
    </row>
    <row r="10" spans="1:2" x14ac:dyDescent="0.25">
      <c r="A10" s="127" t="s">
        <v>248</v>
      </c>
      <c r="B10">
        <v>1</v>
      </c>
    </row>
    <row r="11" spans="1:2" x14ac:dyDescent="0.25">
      <c r="A11" s="127" t="s">
        <v>249</v>
      </c>
      <c r="B11">
        <v>1</v>
      </c>
    </row>
    <row r="12" spans="1:2" x14ac:dyDescent="0.25">
      <c r="A12" s="127" t="s">
        <v>250</v>
      </c>
      <c r="B12">
        <v>1</v>
      </c>
    </row>
    <row r="13" spans="1:2" x14ac:dyDescent="0.25">
      <c r="A13" s="127" t="s">
        <v>251</v>
      </c>
      <c r="B13">
        <v>1</v>
      </c>
    </row>
    <row r="14" spans="1:2" x14ac:dyDescent="0.25">
      <c r="A14" s="127" t="s">
        <v>252</v>
      </c>
      <c r="B14">
        <v>1</v>
      </c>
    </row>
    <row r="15" spans="1:2" x14ac:dyDescent="0.25">
      <c r="A15" s="127" t="s">
        <v>253</v>
      </c>
      <c r="B15">
        <v>1</v>
      </c>
    </row>
    <row r="16" spans="1:2" x14ac:dyDescent="0.25">
      <c r="A16" s="127" t="s">
        <v>254</v>
      </c>
      <c r="B16">
        <v>1</v>
      </c>
    </row>
    <row r="17" spans="1:2" x14ac:dyDescent="0.25">
      <c r="A17" s="127" t="s">
        <v>255</v>
      </c>
      <c r="B17">
        <v>1</v>
      </c>
    </row>
    <row r="18" spans="1:2" x14ac:dyDescent="0.25">
      <c r="A18" s="127" t="s">
        <v>256</v>
      </c>
      <c r="B18">
        <v>1</v>
      </c>
    </row>
    <row r="19" spans="1:2" x14ac:dyDescent="0.25">
      <c r="A19" s="127" t="s">
        <v>257</v>
      </c>
      <c r="B19">
        <v>1</v>
      </c>
    </row>
    <row r="20" spans="1:2" x14ac:dyDescent="0.25">
      <c r="A20" s="127" t="s">
        <v>258</v>
      </c>
      <c r="B20">
        <v>1</v>
      </c>
    </row>
    <row r="21" spans="1:2" x14ac:dyDescent="0.25">
      <c r="A21" s="127" t="s">
        <v>259</v>
      </c>
      <c r="B21">
        <v>1</v>
      </c>
    </row>
    <row r="22" spans="1:2" x14ac:dyDescent="0.25">
      <c r="A22" s="127" t="s">
        <v>260</v>
      </c>
      <c r="B22">
        <v>1</v>
      </c>
    </row>
    <row r="23" spans="1:2" x14ac:dyDescent="0.25">
      <c r="A23" s="127" t="s">
        <v>261</v>
      </c>
      <c r="B23">
        <v>1</v>
      </c>
    </row>
    <row r="24" spans="1:2" x14ac:dyDescent="0.25">
      <c r="A24" s="127" t="s">
        <v>262</v>
      </c>
      <c r="B24">
        <v>1</v>
      </c>
    </row>
    <row r="25" spans="1:2" x14ac:dyDescent="0.25">
      <c r="A25" s="127" t="s">
        <v>211</v>
      </c>
      <c r="B25">
        <v>1</v>
      </c>
    </row>
    <row r="26" spans="1:2" x14ac:dyDescent="0.25">
      <c r="A26" s="127" t="s">
        <v>263</v>
      </c>
      <c r="B26">
        <v>1</v>
      </c>
    </row>
    <row r="27" spans="1:2" x14ac:dyDescent="0.25">
      <c r="A27" s="127" t="s">
        <v>264</v>
      </c>
      <c r="B27">
        <v>1</v>
      </c>
    </row>
    <row r="28" spans="1:2" x14ac:dyDescent="0.25">
      <c r="A28" s="127" t="s">
        <v>265</v>
      </c>
      <c r="B28">
        <v>1</v>
      </c>
    </row>
    <row r="29" spans="1:2" x14ac:dyDescent="0.25">
      <c r="A29" s="127" t="s">
        <v>266</v>
      </c>
      <c r="B29">
        <v>1</v>
      </c>
    </row>
    <row r="30" spans="1:2" x14ac:dyDescent="0.25">
      <c r="A30" s="127" t="s">
        <v>267</v>
      </c>
      <c r="B30">
        <v>1</v>
      </c>
    </row>
    <row r="31" spans="1:2" x14ac:dyDescent="0.25">
      <c r="A31" s="127" t="s">
        <v>268</v>
      </c>
      <c r="B31">
        <v>1</v>
      </c>
    </row>
    <row r="32" spans="1:2" x14ac:dyDescent="0.25">
      <c r="A32" s="127" t="s">
        <v>269</v>
      </c>
      <c r="B32">
        <v>1</v>
      </c>
    </row>
    <row r="33" spans="1:2" x14ac:dyDescent="0.25">
      <c r="A33" s="127" t="s">
        <v>270</v>
      </c>
      <c r="B33">
        <v>1</v>
      </c>
    </row>
    <row r="34" spans="1:2" x14ac:dyDescent="0.25">
      <c r="A34" s="127" t="s">
        <v>271</v>
      </c>
      <c r="B34">
        <v>1</v>
      </c>
    </row>
    <row r="35" spans="1:2" x14ac:dyDescent="0.25">
      <c r="A35" s="127" t="s">
        <v>272</v>
      </c>
      <c r="B35">
        <v>1</v>
      </c>
    </row>
    <row r="36" spans="1:2" x14ac:dyDescent="0.25">
      <c r="A36" s="127" t="s">
        <v>273</v>
      </c>
      <c r="B36">
        <v>1</v>
      </c>
    </row>
    <row r="37" spans="1:2" x14ac:dyDescent="0.25">
      <c r="A37" s="127" t="s">
        <v>274</v>
      </c>
      <c r="B37">
        <v>1</v>
      </c>
    </row>
    <row r="38" spans="1:2" x14ac:dyDescent="0.25">
      <c r="A38" s="127" t="s">
        <v>275</v>
      </c>
      <c r="B38">
        <v>1</v>
      </c>
    </row>
    <row r="39" spans="1:2" x14ac:dyDescent="0.25">
      <c r="A39" s="127" t="s">
        <v>276</v>
      </c>
      <c r="B39">
        <v>1</v>
      </c>
    </row>
    <row r="40" spans="1:2" x14ac:dyDescent="0.25">
      <c r="A40" s="127" t="s">
        <v>277</v>
      </c>
      <c r="B40">
        <v>1</v>
      </c>
    </row>
    <row r="41" spans="1:2" x14ac:dyDescent="0.25">
      <c r="A41" s="127" t="s">
        <v>202</v>
      </c>
      <c r="B41">
        <v>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1E60D-DC9B-440E-B232-82DED15B8873}">
  <dimension ref="A3:H52"/>
  <sheetViews>
    <sheetView topLeftCell="A3" workbookViewId="0">
      <selection activeCell="B4" sqref="B4"/>
    </sheetView>
  </sheetViews>
  <sheetFormatPr defaultColWidth="9.140625" defaultRowHeight="15" x14ac:dyDescent="0.25"/>
  <cols>
    <col min="1" max="1" width="30.42578125" bestFit="1" customWidth="1"/>
    <col min="2" max="2" width="16.28515625" bestFit="1" customWidth="1"/>
    <col min="3" max="3" width="13.140625" bestFit="1" customWidth="1"/>
    <col min="4" max="4" width="6.85546875" bestFit="1" customWidth="1"/>
    <col min="5" max="5" width="9.28515625" bestFit="1" customWidth="1"/>
    <col min="6" max="6" width="5.5703125" bestFit="1" customWidth="1"/>
    <col min="7" max="7" width="7.28515625" bestFit="1" customWidth="1"/>
    <col min="8" max="8" width="11.28515625" bestFit="1" customWidth="1"/>
    <col min="9" max="9" width="7.28515625" bestFit="1" customWidth="1"/>
    <col min="10" max="10" width="8.85546875" bestFit="1" customWidth="1"/>
    <col min="11" max="11" width="9.28515625" bestFit="1" customWidth="1"/>
    <col min="12" max="12" width="7.28515625" bestFit="1" customWidth="1"/>
    <col min="13" max="13" width="5.5703125" bestFit="1" customWidth="1"/>
    <col min="14" max="14" width="11.28515625" bestFit="1" customWidth="1"/>
  </cols>
  <sheetData>
    <row r="3" spans="1:8" x14ac:dyDescent="0.25">
      <c r="A3" s="126" t="s">
        <v>204</v>
      </c>
      <c r="B3" s="126" t="s">
        <v>203</v>
      </c>
    </row>
    <row r="4" spans="1:8" x14ac:dyDescent="0.25">
      <c r="A4" s="126" t="s">
        <v>200</v>
      </c>
      <c r="B4" t="s">
        <v>101</v>
      </c>
      <c r="C4" t="s">
        <v>95</v>
      </c>
      <c r="D4" t="s">
        <v>104</v>
      </c>
      <c r="E4" t="s">
        <v>98</v>
      </c>
      <c r="F4" t="s">
        <v>283</v>
      </c>
      <c r="G4" t="s">
        <v>201</v>
      </c>
      <c r="H4" t="s">
        <v>202</v>
      </c>
    </row>
    <row r="5" spans="1:8" x14ac:dyDescent="0.25">
      <c r="A5" s="127" t="s">
        <v>152</v>
      </c>
      <c r="C5">
        <v>3</v>
      </c>
      <c r="D5">
        <v>2</v>
      </c>
      <c r="H5">
        <v>5</v>
      </c>
    </row>
    <row r="6" spans="1:8" x14ac:dyDescent="0.25">
      <c r="A6" s="127" t="s">
        <v>224</v>
      </c>
      <c r="C6">
        <v>3</v>
      </c>
      <c r="E6">
        <v>1</v>
      </c>
      <c r="F6">
        <v>1</v>
      </c>
      <c r="H6">
        <v>5</v>
      </c>
    </row>
    <row r="7" spans="1:8" x14ac:dyDescent="0.25">
      <c r="A7" s="127" t="s">
        <v>166</v>
      </c>
      <c r="C7">
        <v>2</v>
      </c>
      <c r="D7">
        <v>1</v>
      </c>
      <c r="E7">
        <v>2</v>
      </c>
      <c r="H7">
        <v>5</v>
      </c>
    </row>
    <row r="8" spans="1:8" x14ac:dyDescent="0.25">
      <c r="A8" s="127" t="s">
        <v>170</v>
      </c>
      <c r="C8">
        <v>5</v>
      </c>
      <c r="H8">
        <v>5</v>
      </c>
    </row>
    <row r="9" spans="1:8" x14ac:dyDescent="0.25">
      <c r="A9" s="127" t="s">
        <v>169</v>
      </c>
      <c r="C9">
        <v>5</v>
      </c>
      <c r="F9">
        <v>1</v>
      </c>
      <c r="H9">
        <v>6</v>
      </c>
    </row>
    <row r="10" spans="1:8" x14ac:dyDescent="0.25">
      <c r="A10" s="127" t="s">
        <v>229</v>
      </c>
      <c r="B10">
        <v>1</v>
      </c>
      <c r="C10">
        <v>3</v>
      </c>
      <c r="E10">
        <v>1</v>
      </c>
      <c r="H10">
        <v>5</v>
      </c>
    </row>
    <row r="11" spans="1:8" x14ac:dyDescent="0.25">
      <c r="A11" s="127" t="s">
        <v>228</v>
      </c>
      <c r="B11">
        <v>2</v>
      </c>
      <c r="C11">
        <v>2</v>
      </c>
      <c r="E11">
        <v>1</v>
      </c>
      <c r="H11">
        <v>5</v>
      </c>
    </row>
    <row r="12" spans="1:8" x14ac:dyDescent="0.25">
      <c r="A12" s="127" t="s">
        <v>171</v>
      </c>
      <c r="B12">
        <v>1</v>
      </c>
      <c r="C12">
        <v>2</v>
      </c>
      <c r="D12">
        <v>1</v>
      </c>
      <c r="E12">
        <v>1</v>
      </c>
      <c r="H12">
        <v>5</v>
      </c>
    </row>
    <row r="13" spans="1:8" x14ac:dyDescent="0.25">
      <c r="A13" s="127" t="s">
        <v>173</v>
      </c>
      <c r="C13">
        <v>3</v>
      </c>
      <c r="D13">
        <v>2</v>
      </c>
      <c r="H13">
        <v>5</v>
      </c>
    </row>
    <row r="14" spans="1:8" x14ac:dyDescent="0.25">
      <c r="A14" s="127" t="s">
        <v>167</v>
      </c>
      <c r="C14">
        <v>2</v>
      </c>
      <c r="D14">
        <v>1</v>
      </c>
      <c r="E14">
        <v>2</v>
      </c>
      <c r="H14">
        <v>5</v>
      </c>
    </row>
    <row r="15" spans="1:8" x14ac:dyDescent="0.25">
      <c r="A15" s="127" t="s">
        <v>226</v>
      </c>
      <c r="B15">
        <v>2</v>
      </c>
      <c r="C15">
        <v>2</v>
      </c>
      <c r="E15">
        <v>1</v>
      </c>
      <c r="H15">
        <v>5</v>
      </c>
    </row>
    <row r="16" spans="1:8" x14ac:dyDescent="0.25">
      <c r="A16" s="127" t="s">
        <v>223</v>
      </c>
      <c r="C16">
        <v>3</v>
      </c>
      <c r="E16">
        <v>2</v>
      </c>
      <c r="H16">
        <v>5</v>
      </c>
    </row>
    <row r="17" spans="1:8" x14ac:dyDescent="0.25">
      <c r="A17" s="127" t="s">
        <v>168</v>
      </c>
      <c r="C17">
        <v>2</v>
      </c>
      <c r="E17">
        <v>2</v>
      </c>
      <c r="F17">
        <v>1</v>
      </c>
      <c r="H17">
        <v>5</v>
      </c>
    </row>
    <row r="18" spans="1:8" x14ac:dyDescent="0.25">
      <c r="A18" s="127" t="s">
        <v>227</v>
      </c>
      <c r="B18">
        <v>1</v>
      </c>
      <c r="C18">
        <v>4</v>
      </c>
      <c r="H18">
        <v>5</v>
      </c>
    </row>
    <row r="19" spans="1:8" x14ac:dyDescent="0.25">
      <c r="A19" s="127" t="s">
        <v>121</v>
      </c>
      <c r="C19">
        <v>2</v>
      </c>
      <c r="D19">
        <v>3</v>
      </c>
      <c r="H19">
        <v>5</v>
      </c>
    </row>
    <row r="20" spans="1:8" x14ac:dyDescent="0.25">
      <c r="A20" s="127" t="s">
        <v>172</v>
      </c>
      <c r="B20">
        <v>2</v>
      </c>
      <c r="C20">
        <v>2</v>
      </c>
      <c r="D20">
        <v>1</v>
      </c>
      <c r="H20">
        <v>5</v>
      </c>
    </row>
    <row r="21" spans="1:8" x14ac:dyDescent="0.25">
      <c r="A21" s="127" t="s">
        <v>120</v>
      </c>
      <c r="B21">
        <v>1</v>
      </c>
      <c r="C21">
        <v>4</v>
      </c>
      <c r="E21">
        <v>1</v>
      </c>
      <c r="F21">
        <v>1</v>
      </c>
      <c r="H21">
        <v>7</v>
      </c>
    </row>
    <row r="22" spans="1:8" x14ac:dyDescent="0.25">
      <c r="A22" s="127" t="s">
        <v>201</v>
      </c>
    </row>
    <row r="23" spans="1:8" x14ac:dyDescent="0.25">
      <c r="A23" s="127" t="s">
        <v>202</v>
      </c>
      <c r="B23">
        <v>10</v>
      </c>
      <c r="C23">
        <v>49</v>
      </c>
      <c r="D23">
        <v>11</v>
      </c>
      <c r="E23">
        <v>14</v>
      </c>
      <c r="F23">
        <v>4</v>
      </c>
      <c r="H23">
        <v>88</v>
      </c>
    </row>
    <row r="24" spans="1:8" x14ac:dyDescent="0.25">
      <c r="A24" s="127"/>
    </row>
    <row r="25" spans="1:8" x14ac:dyDescent="0.25">
      <c r="A25" s="127"/>
    </row>
    <row r="26" spans="1:8" x14ac:dyDescent="0.25">
      <c r="A26" s="127"/>
    </row>
    <row r="27" spans="1:8" x14ac:dyDescent="0.25">
      <c r="A27" s="127"/>
    </row>
    <row r="28" spans="1:8" x14ac:dyDescent="0.25">
      <c r="A28" s="127"/>
    </row>
    <row r="32" spans="1:8" x14ac:dyDescent="0.25">
      <c r="A32" s="126" t="s">
        <v>205</v>
      </c>
      <c r="B32" s="126" t="s">
        <v>203</v>
      </c>
    </row>
    <row r="33" spans="1:5" x14ac:dyDescent="0.25">
      <c r="A33" s="126" t="s">
        <v>200</v>
      </c>
      <c r="B33" t="s">
        <v>201</v>
      </c>
      <c r="C33" t="s">
        <v>132</v>
      </c>
      <c r="D33" t="s">
        <v>133</v>
      </c>
      <c r="E33" t="s">
        <v>202</v>
      </c>
    </row>
    <row r="34" spans="1:5" x14ac:dyDescent="0.25">
      <c r="A34" s="127" t="s">
        <v>152</v>
      </c>
      <c r="C34">
        <v>3</v>
      </c>
      <c r="D34">
        <v>2</v>
      </c>
      <c r="E34">
        <v>5</v>
      </c>
    </row>
    <row r="35" spans="1:5" x14ac:dyDescent="0.25">
      <c r="A35" s="127" t="s">
        <v>166</v>
      </c>
      <c r="C35">
        <v>3</v>
      </c>
      <c r="D35">
        <v>2</v>
      </c>
      <c r="E35">
        <v>5</v>
      </c>
    </row>
    <row r="36" spans="1:5" x14ac:dyDescent="0.25">
      <c r="A36" s="127" t="s">
        <v>170</v>
      </c>
      <c r="C36">
        <v>2</v>
      </c>
      <c r="D36">
        <v>3</v>
      </c>
      <c r="E36">
        <v>5</v>
      </c>
    </row>
    <row r="37" spans="1:5" x14ac:dyDescent="0.25">
      <c r="A37" s="127" t="s">
        <v>169</v>
      </c>
      <c r="C37">
        <v>3</v>
      </c>
      <c r="D37">
        <v>3</v>
      </c>
      <c r="E37">
        <v>6</v>
      </c>
    </row>
    <row r="38" spans="1:5" x14ac:dyDescent="0.25">
      <c r="A38" s="127" t="s">
        <v>171</v>
      </c>
      <c r="C38">
        <v>3</v>
      </c>
      <c r="D38">
        <v>2</v>
      </c>
      <c r="E38">
        <v>5</v>
      </c>
    </row>
    <row r="39" spans="1:5" x14ac:dyDescent="0.25">
      <c r="A39" s="127" t="s">
        <v>173</v>
      </c>
      <c r="C39">
        <v>2</v>
      </c>
      <c r="D39">
        <v>3</v>
      </c>
      <c r="E39">
        <v>5</v>
      </c>
    </row>
    <row r="40" spans="1:5" x14ac:dyDescent="0.25">
      <c r="A40" s="127" t="s">
        <v>167</v>
      </c>
      <c r="C40">
        <v>2</v>
      </c>
      <c r="D40">
        <v>3</v>
      </c>
      <c r="E40">
        <v>5</v>
      </c>
    </row>
    <row r="41" spans="1:5" x14ac:dyDescent="0.25">
      <c r="A41" s="127" t="s">
        <v>168</v>
      </c>
      <c r="C41">
        <v>3</v>
      </c>
      <c r="D41">
        <v>2</v>
      </c>
      <c r="E41">
        <v>5</v>
      </c>
    </row>
    <row r="42" spans="1:5" x14ac:dyDescent="0.25">
      <c r="A42" s="127" t="s">
        <v>172</v>
      </c>
      <c r="C42">
        <v>2</v>
      </c>
      <c r="D42">
        <v>3</v>
      </c>
      <c r="E42">
        <v>5</v>
      </c>
    </row>
    <row r="43" spans="1:5" x14ac:dyDescent="0.25">
      <c r="A43" s="127" t="s">
        <v>120</v>
      </c>
      <c r="C43">
        <v>4</v>
      </c>
      <c r="D43">
        <v>3</v>
      </c>
      <c r="E43">
        <v>7</v>
      </c>
    </row>
    <row r="44" spans="1:5" x14ac:dyDescent="0.25">
      <c r="A44" s="127" t="s">
        <v>201</v>
      </c>
    </row>
    <row r="45" spans="1:5" x14ac:dyDescent="0.25">
      <c r="A45" s="127" t="s">
        <v>223</v>
      </c>
      <c r="C45">
        <v>2</v>
      </c>
      <c r="D45">
        <v>3</v>
      </c>
      <c r="E45">
        <v>5</v>
      </c>
    </row>
    <row r="46" spans="1:5" x14ac:dyDescent="0.25">
      <c r="A46" s="127" t="s">
        <v>121</v>
      </c>
      <c r="C46">
        <v>3</v>
      </c>
      <c r="D46">
        <v>2</v>
      </c>
      <c r="E46">
        <v>5</v>
      </c>
    </row>
    <row r="47" spans="1:5" x14ac:dyDescent="0.25">
      <c r="A47" s="127" t="s">
        <v>227</v>
      </c>
      <c r="C47">
        <v>3</v>
      </c>
      <c r="D47">
        <v>2</v>
      </c>
      <c r="E47">
        <v>5</v>
      </c>
    </row>
    <row r="48" spans="1:5" x14ac:dyDescent="0.25">
      <c r="A48" s="127" t="s">
        <v>224</v>
      </c>
      <c r="C48">
        <v>2</v>
      </c>
      <c r="D48">
        <v>3</v>
      </c>
      <c r="E48">
        <v>5</v>
      </c>
    </row>
    <row r="49" spans="1:5" x14ac:dyDescent="0.25">
      <c r="A49" s="127" t="s">
        <v>226</v>
      </c>
      <c r="C49">
        <v>2</v>
      </c>
      <c r="D49">
        <v>3</v>
      </c>
      <c r="E49">
        <v>5</v>
      </c>
    </row>
    <row r="50" spans="1:5" x14ac:dyDescent="0.25">
      <c r="A50" s="127" t="s">
        <v>229</v>
      </c>
      <c r="C50">
        <v>3</v>
      </c>
      <c r="D50">
        <v>2</v>
      </c>
      <c r="E50">
        <v>5</v>
      </c>
    </row>
    <row r="51" spans="1:5" x14ac:dyDescent="0.25">
      <c r="A51" s="127" t="s">
        <v>228</v>
      </c>
      <c r="C51">
        <v>2</v>
      </c>
      <c r="D51">
        <v>3</v>
      </c>
      <c r="E51">
        <v>5</v>
      </c>
    </row>
    <row r="52" spans="1:5" x14ac:dyDescent="0.25">
      <c r="A52" s="127" t="s">
        <v>202</v>
      </c>
      <c r="C52">
        <v>44</v>
      </c>
      <c r="D52">
        <v>44</v>
      </c>
      <c r="E52">
        <v>88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5BE23-A3FF-41CE-9B55-3F424A903710}">
  <dimension ref="A1:F15"/>
  <sheetViews>
    <sheetView showGridLines="0" zoomScale="90" zoomScaleNormal="90" zoomScaleSheetLayoutView="70" workbookViewId="0">
      <pane ySplit="4" topLeftCell="A5" activePane="bottomLeft" state="frozen"/>
      <selection activeCell="B6" sqref="B6"/>
      <selection pane="bottomLeft" activeCell="E5" sqref="E5"/>
    </sheetView>
  </sheetViews>
  <sheetFormatPr defaultColWidth="11.42578125" defaultRowHeight="34.5" customHeight="1" x14ac:dyDescent="0.25"/>
  <cols>
    <col min="1" max="1" width="6.85546875" customWidth="1"/>
    <col min="2" max="2" width="70.140625" bestFit="1" customWidth="1"/>
    <col min="3" max="3" width="21.42578125" customWidth="1"/>
    <col min="4" max="4" width="34.7109375" customWidth="1"/>
    <col min="5" max="5" width="23.7109375" customWidth="1"/>
    <col min="6" max="6" width="35" customWidth="1"/>
  </cols>
  <sheetData>
    <row r="1" spans="1:6" ht="29.45" customHeight="1" x14ac:dyDescent="0.25">
      <c r="A1" s="190" t="s">
        <v>220</v>
      </c>
      <c r="B1" s="190"/>
      <c r="C1" s="190"/>
      <c r="D1" s="190"/>
      <c r="E1" s="190"/>
      <c r="F1" s="190"/>
    </row>
    <row r="2" spans="1:6" ht="21" x14ac:dyDescent="0.35">
      <c r="A2" s="191" t="s">
        <v>0</v>
      </c>
      <c r="B2" s="191"/>
      <c r="C2" s="191"/>
      <c r="D2" s="191"/>
      <c r="E2" s="191"/>
      <c r="F2" s="191"/>
    </row>
    <row r="3" spans="1:6" ht="26.45" customHeight="1" thickBot="1" x14ac:dyDescent="0.4">
      <c r="A3" s="191" t="s">
        <v>1</v>
      </c>
      <c r="B3" s="191"/>
      <c r="C3" s="191"/>
      <c r="D3" s="191"/>
      <c r="E3" s="191"/>
      <c r="F3" s="191"/>
    </row>
    <row r="4" spans="1:6" ht="55.5" customHeight="1" thickBot="1" x14ac:dyDescent="0.3">
      <c r="A4" s="2" t="s">
        <v>2</v>
      </c>
      <c r="B4" s="2" t="s">
        <v>219</v>
      </c>
      <c r="C4" s="2" t="s">
        <v>3</v>
      </c>
      <c r="D4" s="2" t="s">
        <v>4</v>
      </c>
      <c r="E4" s="2" t="s">
        <v>5</v>
      </c>
      <c r="F4" s="2" t="s">
        <v>6</v>
      </c>
    </row>
    <row r="5" spans="1:6" ht="34.5" customHeight="1" x14ac:dyDescent="0.25">
      <c r="A5" s="3"/>
      <c r="B5" s="4"/>
      <c r="C5" s="5"/>
      <c r="D5" s="5"/>
      <c r="E5" s="5"/>
      <c r="F5" s="6"/>
    </row>
    <row r="6" spans="1:6" ht="34.5" customHeight="1" x14ac:dyDescent="0.25">
      <c r="A6" s="7"/>
      <c r="B6" s="8"/>
      <c r="C6" s="5"/>
      <c r="D6" s="5"/>
      <c r="E6" s="5"/>
      <c r="F6" s="9"/>
    </row>
    <row r="7" spans="1:6" ht="34.5" customHeight="1" x14ac:dyDescent="0.25">
      <c r="A7" s="7"/>
      <c r="B7" s="5"/>
      <c r="C7" s="5"/>
      <c r="D7" s="5"/>
      <c r="E7" s="5"/>
      <c r="F7" s="9"/>
    </row>
    <row r="8" spans="1:6" ht="34.5" customHeight="1" x14ac:dyDescent="0.25">
      <c r="A8" s="7"/>
      <c r="B8" s="5"/>
      <c r="C8" s="5"/>
      <c r="D8" s="5"/>
      <c r="E8" s="5"/>
      <c r="F8" s="9"/>
    </row>
    <row r="9" spans="1:6" ht="34.5" customHeight="1" x14ac:dyDescent="0.25">
      <c r="A9" s="7"/>
      <c r="B9" s="10"/>
      <c r="C9" s="9"/>
      <c r="D9" s="9"/>
      <c r="E9" s="9"/>
      <c r="F9" s="9"/>
    </row>
    <row r="10" spans="1:6" ht="34.5" customHeight="1" x14ac:dyDescent="0.25">
      <c r="A10" s="7"/>
      <c r="B10" s="10"/>
      <c r="C10" s="9"/>
      <c r="D10" s="9"/>
      <c r="E10" s="9"/>
      <c r="F10" s="9"/>
    </row>
    <row r="11" spans="1:6" ht="34.5" customHeight="1" x14ac:dyDescent="0.25">
      <c r="A11" s="7"/>
      <c r="B11" s="10"/>
      <c r="C11" s="9"/>
      <c r="D11" s="9"/>
      <c r="E11" s="9"/>
      <c r="F11" s="9"/>
    </row>
    <row r="12" spans="1:6" ht="34.5" customHeight="1" x14ac:dyDescent="0.25">
      <c r="A12" s="7"/>
      <c r="B12" s="10"/>
      <c r="C12" s="9"/>
      <c r="D12" s="9"/>
      <c r="E12" s="9"/>
      <c r="F12" s="9"/>
    </row>
    <row r="13" spans="1:6" ht="34.5" customHeight="1" x14ac:dyDescent="0.25">
      <c r="A13" s="7"/>
      <c r="B13" s="10"/>
      <c r="C13" s="9"/>
      <c r="D13" s="9"/>
      <c r="E13" s="9"/>
      <c r="F13" s="9"/>
    </row>
    <row r="14" spans="1:6" ht="34.5" customHeight="1" x14ac:dyDescent="0.25">
      <c r="A14" s="7"/>
      <c r="B14" s="10"/>
      <c r="C14" s="9"/>
      <c r="D14" s="9"/>
      <c r="E14" s="9"/>
      <c r="F14" s="9"/>
    </row>
    <row r="15" spans="1:6" ht="34.5" customHeight="1" x14ac:dyDescent="0.25">
      <c r="A15" s="7"/>
      <c r="B15" s="9"/>
      <c r="C15" s="9"/>
      <c r="D15" s="9"/>
      <c r="E15" s="9"/>
      <c r="F15" s="9"/>
    </row>
  </sheetData>
  <mergeCells count="3">
    <mergeCell ref="A1:F1"/>
    <mergeCell ref="A2:F2"/>
    <mergeCell ref="A3:F3"/>
  </mergeCells>
  <pageMargins left="0.15748031496062992" right="0.15748031496062992" top="0.31496062992125984" bottom="0.27559055118110237" header="0.31496062992125984" footer="0.28000000000000003"/>
  <pageSetup scale="54"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C9762F72-082D-464B-B845-0B8B433E7660}">
          <x14:formula1>
            <xm:f>Tablas!$U$3:$U$10</xm:f>
          </x14:formula1>
          <xm:sqref>C5</xm:sqref>
        </x14:dataValidation>
        <x14:dataValidation type="list" allowBlank="1" showInputMessage="1" showErrorMessage="1" xr:uid="{56678248-CA98-4BBD-A81E-5D19D8FE120C}">
          <x14:formula1>
            <xm:f>Tablas!$W$3:$W$10</xm:f>
          </x14:formula1>
          <xm:sqref>E29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F7A76-2596-4A63-BB46-3001D537E3D5}">
  <sheetPr>
    <tabColor theme="0"/>
    <pageSetUpPr fitToPage="1"/>
  </sheetPr>
  <dimension ref="B1:AR102"/>
  <sheetViews>
    <sheetView showGridLines="0" zoomScale="55" zoomScaleNormal="55" zoomScaleSheetLayoutView="70" workbookViewId="0">
      <selection activeCell="Q10" sqref="Q10"/>
    </sheetView>
  </sheetViews>
  <sheetFormatPr defaultColWidth="11.42578125" defaultRowHeight="92.25" customHeight="1" x14ac:dyDescent="0.25"/>
  <cols>
    <col min="1" max="1" width="3.7109375" customWidth="1"/>
    <col min="2" max="2" width="10.140625" style="9" customWidth="1"/>
    <col min="3" max="3" width="20" style="9" customWidth="1"/>
    <col min="4" max="4" width="13.85546875" style="9" customWidth="1"/>
    <col min="5" max="5" width="10.7109375" style="9" customWidth="1"/>
    <col min="6" max="6" width="26.42578125" style="9" customWidth="1"/>
    <col min="7" max="7" width="33.28515625" style="9" customWidth="1"/>
    <col min="8" max="8" width="30.28515625" style="9" bestFit="1" customWidth="1"/>
    <col min="9" max="9" width="15.85546875" style="23" customWidth="1"/>
    <col min="10" max="10" width="29.140625" style="11" customWidth="1"/>
    <col min="11" max="11" width="23.42578125" style="9" customWidth="1"/>
    <col min="12" max="12" width="24.140625" style="9" customWidth="1"/>
    <col min="13" max="13" width="20" style="84" customWidth="1"/>
    <col min="14" max="14" width="8.85546875" style="9" customWidth="1"/>
    <col min="15" max="15" width="20" style="84" customWidth="1"/>
    <col min="16" max="16" width="8.85546875" style="7" customWidth="1"/>
    <col min="17" max="17" width="20" style="84" customWidth="1"/>
    <col min="18" max="18" width="8.85546875" style="7" customWidth="1"/>
    <col min="19" max="19" width="20" style="7" customWidth="1"/>
    <col min="20" max="21" width="8.85546875" style="7" customWidth="1"/>
    <col min="22" max="22" width="20.5703125" style="7" customWidth="1"/>
    <col min="23" max="23" width="18.5703125" style="84" customWidth="1"/>
    <col min="24" max="25" width="32.5703125" style="7" customWidth="1"/>
    <col min="26" max="26" width="12.42578125" style="7" customWidth="1"/>
    <col min="27" max="27" width="18.140625" style="7" customWidth="1"/>
    <col min="28" max="28" width="12.42578125" style="7" customWidth="1"/>
    <col min="29" max="29" width="14.5703125" style="7" customWidth="1"/>
    <col min="30" max="30" width="22.28515625" style="7" customWidth="1"/>
    <col min="31" max="31" width="23.140625" style="9" customWidth="1"/>
    <col min="32" max="32" width="20" style="9" customWidth="1"/>
    <col min="33" max="33" width="8.85546875" style="9" customWidth="1"/>
    <col min="34" max="34" width="20" style="11" customWidth="1"/>
    <col min="35" max="35" width="8.85546875" style="11" customWidth="1"/>
    <col min="36" max="36" width="20" style="11" customWidth="1"/>
    <col min="37" max="37" width="8.85546875" style="11" customWidth="1"/>
    <col min="38" max="38" width="20" style="11" customWidth="1"/>
    <col min="39" max="40" width="8.85546875" style="11" customWidth="1"/>
    <col min="41" max="41" width="20.5703125" style="11" customWidth="1"/>
    <col min="42" max="42" width="16.28515625" style="11" bestFit="1" customWidth="1"/>
    <col min="43" max="43" width="27.7109375" style="11" bestFit="1" customWidth="1"/>
  </cols>
  <sheetData>
    <row r="1" spans="2:44" ht="15.75" customHeight="1" x14ac:dyDescent="0.25">
      <c r="B1"/>
      <c r="C1" s="190" t="s">
        <v>7</v>
      </c>
      <c r="D1" s="190"/>
      <c r="E1" s="190"/>
      <c r="F1" s="190"/>
      <c r="G1" s="190"/>
      <c r="H1" s="190"/>
      <c r="I1" s="190"/>
      <c r="J1" s="190"/>
      <c r="K1" s="190"/>
      <c r="L1" s="190"/>
      <c r="M1" s="190"/>
      <c r="N1" s="190"/>
      <c r="O1" s="190"/>
      <c r="P1" s="190"/>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
      <c r="AQ1"/>
    </row>
    <row r="2" spans="2:44" ht="21.75" customHeight="1" x14ac:dyDescent="0.25">
      <c r="B2"/>
      <c r="C2" s="109" t="s">
        <v>135</v>
      </c>
      <c r="D2" s="108"/>
      <c r="E2" s="108"/>
      <c r="F2" s="108"/>
      <c r="G2" s="108"/>
      <c r="H2" s="107" t="s">
        <v>136</v>
      </c>
      <c r="I2" s="108" t="s">
        <v>496</v>
      </c>
      <c r="J2" s="108"/>
      <c r="K2" s="108"/>
      <c r="L2" s="108"/>
      <c r="M2" s="108"/>
      <c r="N2" s="108"/>
      <c r="O2" s="107"/>
      <c r="P2" s="107"/>
      <c r="Q2" s="107"/>
      <c r="R2" s="107"/>
      <c r="S2" s="107"/>
      <c r="T2" s="107"/>
      <c r="U2" s="107"/>
      <c r="V2" s="107"/>
      <c r="W2" s="107"/>
      <c r="X2" s="107"/>
      <c r="Y2" s="107"/>
      <c r="Z2" s="107"/>
      <c r="AA2" s="107"/>
      <c r="AB2" s="107"/>
      <c r="AC2" s="107"/>
      <c r="AD2" s="107"/>
      <c r="AE2" s="107"/>
      <c r="AF2" s="107"/>
      <c r="AG2" s="107"/>
      <c r="AH2" s="107"/>
      <c r="AI2" s="107"/>
      <c r="AJ2" s="107"/>
      <c r="AK2" s="107"/>
      <c r="AL2" s="109" t="s">
        <v>137</v>
      </c>
      <c r="AM2" s="110"/>
      <c r="AN2" s="108"/>
      <c r="AO2" s="108"/>
      <c r="AP2" s="108"/>
      <c r="AQ2"/>
    </row>
    <row r="3" spans="2:44" ht="18.75" customHeight="1" thickBot="1" x14ac:dyDescent="0.4">
      <c r="B3"/>
      <c r="C3" s="192"/>
      <c r="D3" s="192"/>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92"/>
      <c r="AQ3"/>
    </row>
    <row r="4" spans="2:44" ht="29.25" customHeight="1" thickBot="1" x14ac:dyDescent="0.4">
      <c r="B4" s="193" t="s">
        <v>138</v>
      </c>
      <c r="C4" s="194"/>
      <c r="D4" s="194"/>
      <c r="E4" s="194"/>
      <c r="F4" s="194"/>
      <c r="G4" s="194"/>
      <c r="H4" s="194"/>
      <c r="I4" s="194"/>
      <c r="J4" s="195"/>
      <c r="K4" s="196" t="s">
        <v>8</v>
      </c>
      <c r="L4" s="197"/>
      <c r="M4" s="198" t="s">
        <v>9</v>
      </c>
      <c r="N4" s="199"/>
      <c r="O4" s="199"/>
      <c r="P4" s="199"/>
      <c r="Q4" s="199"/>
      <c r="R4" s="199"/>
      <c r="S4" s="199"/>
      <c r="T4" s="199"/>
      <c r="U4" s="199"/>
      <c r="V4" s="199"/>
      <c r="W4" s="124" t="s">
        <v>185</v>
      </c>
      <c r="X4" s="200" t="s">
        <v>10</v>
      </c>
      <c r="Y4" s="200"/>
      <c r="Z4" s="200"/>
      <c r="AA4" s="200"/>
      <c r="AB4" s="200"/>
      <c r="AC4" s="201"/>
      <c r="AD4" s="202" t="s">
        <v>11</v>
      </c>
      <c r="AE4" s="203"/>
      <c r="AF4" s="204" t="s">
        <v>12</v>
      </c>
      <c r="AG4" s="205"/>
      <c r="AH4" s="205"/>
      <c r="AI4" s="205"/>
      <c r="AJ4" s="205"/>
      <c r="AK4" s="205"/>
      <c r="AL4" s="205"/>
      <c r="AM4" s="205"/>
      <c r="AN4" s="205"/>
      <c r="AO4" s="206"/>
      <c r="AP4" s="93" t="s">
        <v>119</v>
      </c>
      <c r="AQ4" s="12" t="s">
        <v>13</v>
      </c>
    </row>
    <row r="5" spans="2:44" s="20" customFormat="1" ht="38.25" customHeight="1" thickBot="1" x14ac:dyDescent="0.3">
      <c r="B5" s="13" t="s">
        <v>14</v>
      </c>
      <c r="C5" s="13" t="s">
        <v>15</v>
      </c>
      <c r="D5" s="14" t="s">
        <v>16</v>
      </c>
      <c r="E5" s="14" t="s">
        <v>17</v>
      </c>
      <c r="F5" s="14" t="s">
        <v>150</v>
      </c>
      <c r="G5" s="14" t="s">
        <v>18</v>
      </c>
      <c r="H5" s="16" t="s">
        <v>19</v>
      </c>
      <c r="I5" s="15" t="s">
        <v>20</v>
      </c>
      <c r="J5" s="15" t="s">
        <v>21</v>
      </c>
      <c r="K5" s="17" t="s">
        <v>183</v>
      </c>
      <c r="L5" s="17" t="s">
        <v>184</v>
      </c>
      <c r="M5" s="15" t="s">
        <v>174</v>
      </c>
      <c r="N5" s="15" t="s">
        <v>178</v>
      </c>
      <c r="O5" s="15" t="s">
        <v>175</v>
      </c>
      <c r="P5" s="15" t="s">
        <v>179</v>
      </c>
      <c r="Q5" s="15" t="s">
        <v>176</v>
      </c>
      <c r="R5" s="15" t="s">
        <v>180</v>
      </c>
      <c r="S5" s="15" t="s">
        <v>177</v>
      </c>
      <c r="T5" s="15" t="s">
        <v>181</v>
      </c>
      <c r="U5" s="15" t="s">
        <v>182</v>
      </c>
      <c r="V5" s="94" t="s">
        <v>187</v>
      </c>
      <c r="W5" s="125" t="s">
        <v>186</v>
      </c>
      <c r="X5" s="14" t="s">
        <v>30</v>
      </c>
      <c r="Y5" s="15" t="s">
        <v>31</v>
      </c>
      <c r="Z5" s="15" t="s">
        <v>32</v>
      </c>
      <c r="AA5" s="15" t="s">
        <v>153</v>
      </c>
      <c r="AB5" s="15" t="s">
        <v>33</v>
      </c>
      <c r="AC5" s="15" t="s">
        <v>34</v>
      </c>
      <c r="AD5" s="17" t="s">
        <v>188</v>
      </c>
      <c r="AE5" s="17" t="s">
        <v>189</v>
      </c>
      <c r="AF5" s="15" t="s">
        <v>190</v>
      </c>
      <c r="AG5" s="15" t="s">
        <v>191</v>
      </c>
      <c r="AH5" s="15" t="s">
        <v>192</v>
      </c>
      <c r="AI5" s="15" t="s">
        <v>193</v>
      </c>
      <c r="AJ5" s="15" t="s">
        <v>194</v>
      </c>
      <c r="AK5" s="15" t="s">
        <v>195</v>
      </c>
      <c r="AL5" s="15" t="s">
        <v>196</v>
      </c>
      <c r="AM5" s="15" t="s">
        <v>197</v>
      </c>
      <c r="AN5" s="15" t="s">
        <v>198</v>
      </c>
      <c r="AO5" s="94" t="s">
        <v>199</v>
      </c>
      <c r="AP5" s="94" t="s">
        <v>134</v>
      </c>
      <c r="AQ5" s="18" t="s">
        <v>35</v>
      </c>
      <c r="AR5" s="19"/>
    </row>
    <row r="6" spans="2:44" s="123" customFormat="1" ht="123" hidden="1" customHeight="1" x14ac:dyDescent="0.25">
      <c r="B6" s="117" t="s">
        <v>168</v>
      </c>
      <c r="C6" s="118" t="s">
        <v>481</v>
      </c>
      <c r="D6" s="119">
        <v>45584</v>
      </c>
      <c r="E6" s="119" t="s">
        <v>484</v>
      </c>
      <c r="F6" s="119" t="s">
        <v>478</v>
      </c>
      <c r="G6" s="119"/>
      <c r="H6" s="120" t="s">
        <v>471</v>
      </c>
      <c r="I6" s="121" t="s">
        <v>89</v>
      </c>
      <c r="J6" s="119" t="s">
        <v>477</v>
      </c>
      <c r="K6" s="84" t="s">
        <v>475</v>
      </c>
      <c r="L6" s="84" t="s">
        <v>476</v>
      </c>
      <c r="M6" s="84" t="s">
        <v>44</v>
      </c>
      <c r="N6" s="84">
        <f>VLOOKUP(M6,Tablas!$A$31:$B$38,2,FALSE)</f>
        <v>0.2</v>
      </c>
      <c r="O6" s="84" t="s">
        <v>67</v>
      </c>
      <c r="P6" s="84">
        <f>VLOOKUP(O6,Tablas!$A$41:$B$47,2,FALSE)</f>
        <v>1</v>
      </c>
      <c r="Q6" s="84" t="s">
        <v>68</v>
      </c>
      <c r="R6" s="121">
        <f>VLOOKUP(Q6,Tablas!$A$51:$B$59,2,FALSE)</f>
        <v>0.5</v>
      </c>
      <c r="S6" s="84" t="s">
        <v>51</v>
      </c>
      <c r="T6" s="84">
        <f>VLOOKUP(S6,Tablas!$A$62:$B$72,2,FALSE)</f>
        <v>2</v>
      </c>
      <c r="U6" s="84">
        <f>N6*P6*R6*T6</f>
        <v>0.2</v>
      </c>
      <c r="V6" s="181" t="str" cm="1">
        <f t="array" ref="V6">_xlfn.IFS(U6&lt;=1,Tablas!$A$75,U6&lt;=5,Tablas!$A$76,U6&lt;=10,Tablas!$A$77,U6&lt;=50,Tablas!$A$78,U6&lt;=100,Tablas!$A$79,U6&lt;=500,Tablas!$A$80,U6&lt;=999,Tablas!$A$81,U6&gt;1000,Tablas!A82)</f>
        <v>Insignificante</v>
      </c>
      <c r="W6" s="84" t="str" cm="1">
        <f t="array" ref="W6">_xlfn.IFS(V6=Tablas!$A$87,Tablas!$B$87,V6=Tablas!$A$88,Tablas!$B$88,V6=Tablas!$A$89,Tablas!$B$89,V6=Tablas!$A$90,Tablas!$B$90,V6=Tablas!$A$91,Tablas!$B$91,V6=Tablas!$A$92,Tablas!$B$92,V6=Tablas!$A$93,Tablas!$B$93,V6=Tablas!$A$94,Tablas!$B$94)</f>
        <v>Mayor a un año</v>
      </c>
      <c r="X6" s="84"/>
      <c r="Y6" s="117"/>
      <c r="Z6" s="84" t="s">
        <v>133</v>
      </c>
      <c r="AA6" s="84"/>
      <c r="AB6" s="84"/>
      <c r="AC6" s="84"/>
      <c r="AD6" s="84"/>
      <c r="AE6" s="84"/>
      <c r="AF6" s="84" t="s">
        <v>44</v>
      </c>
      <c r="AG6" s="84">
        <f>VLOOKUP(AF6,Tablas!A31:B38,2,FALSE)</f>
        <v>0.2</v>
      </c>
      <c r="AH6" s="84" t="s">
        <v>75</v>
      </c>
      <c r="AI6" s="84">
        <f>VLOOKUP(AH6,Tablas!A41:B47,2,FALSE)</f>
        <v>12</v>
      </c>
      <c r="AJ6" s="84" t="s">
        <v>70</v>
      </c>
      <c r="AK6" s="121">
        <f>VLOOKUP(AJ6,Tablas!A51:B59,2,FALSE)</f>
        <v>1</v>
      </c>
      <c r="AL6" s="84" t="s">
        <v>39</v>
      </c>
      <c r="AM6" s="84">
        <f>VLOOKUP(AL6,Tablas!A62:B72,2,FALSE)</f>
        <v>0</v>
      </c>
      <c r="AN6" s="84">
        <f>AG6*AI6*AK6*AM6</f>
        <v>0</v>
      </c>
      <c r="AO6" s="84" t="str" cm="1">
        <f t="array" ref="AO6">_xlfn.IFS(AN6&lt;=1,Tablas!$A$75,AN6&lt;=5,Tablas!$A$76,AN6&lt;=10,Tablas!$A$77,AN6&lt;=50,Tablas!$A$78,AN6&lt;=100,Tablas!$A$79,AN6&lt;=500,Tablas!$A$80,AN6&lt;=999,Tablas!$A$81,AN6&gt;1000,Tablas!T82)</f>
        <v>Insignificante</v>
      </c>
      <c r="AP6" s="84" t="s">
        <v>217</v>
      </c>
      <c r="AQ6" s="84"/>
    </row>
    <row r="7" spans="2:44" s="21" customFormat="1" ht="136.5" hidden="1" customHeight="1" x14ac:dyDescent="0.25">
      <c r="B7" s="117" t="s">
        <v>168</v>
      </c>
      <c r="C7" s="118" t="s">
        <v>480</v>
      </c>
      <c r="D7" s="119">
        <v>45584</v>
      </c>
      <c r="E7" s="119" t="s">
        <v>284</v>
      </c>
      <c r="F7" s="119" t="s">
        <v>479</v>
      </c>
      <c r="G7" s="119"/>
      <c r="H7" s="120" t="s">
        <v>462</v>
      </c>
      <c r="I7" s="121" t="s">
        <v>84</v>
      </c>
      <c r="J7" s="119" t="s">
        <v>485</v>
      </c>
      <c r="K7" s="84" t="s">
        <v>486</v>
      </c>
      <c r="L7" s="84" t="s">
        <v>491</v>
      </c>
      <c r="M7" s="84" t="s">
        <v>53</v>
      </c>
      <c r="N7" s="84">
        <f>VLOOKUP(M7,Tablas!$A$31:$B$38,2,FALSE)</f>
        <v>2.5</v>
      </c>
      <c r="O7" s="84" t="s">
        <v>69</v>
      </c>
      <c r="P7" s="84">
        <f>VLOOKUP(O7,Tablas!$A$41:$B$47,2,FALSE)</f>
        <v>2</v>
      </c>
      <c r="Q7" s="84" t="s">
        <v>70</v>
      </c>
      <c r="R7" s="121">
        <f>VLOOKUP(Q7,Tablas!$A$51:$B$59,2,FALSE)</f>
        <v>1</v>
      </c>
      <c r="S7" s="84" t="s">
        <v>51</v>
      </c>
      <c r="T7" s="84">
        <f>VLOOKUP(S7,Tablas!$A$62:$B$72,2,FALSE)</f>
        <v>2</v>
      </c>
      <c r="U7" s="84">
        <f t="shared" ref="U7:U65" si="0">N7*P7*R7*T7</f>
        <v>10</v>
      </c>
      <c r="V7" s="181" t="str" cm="1">
        <f t="array" ref="V7">_xlfn.IFS(U7&lt;=1,Tablas!$A$75,U7&lt;=5,Tablas!$A$76,U7&lt;=10,Tablas!$A$77,U7&lt;=50,Tablas!$A$78,U7&lt;=100,Tablas!$A$79,U7&lt;=500,Tablas!$A$80,U7&lt;=999,Tablas!$A$81,U7&gt;1000,Tablas!A83)</f>
        <v>Bajo</v>
      </c>
      <c r="W7" s="84" t="str" cm="1">
        <f t="array" ref="W7">_xlfn.IFS(V7=Tablas!$A$87,Tablas!$B$87,V7=Tablas!$A$88,Tablas!$B$88,V7=Tablas!$A$89,Tablas!$B$89,V7=Tablas!$A$90,Tablas!$B$90,V7=Tablas!$A$91,Tablas!$B$91,V7=Tablas!$A$92,Tablas!$B$92,V7=Tablas!$A$93,Tablas!$B$93,V7=Tablas!$A$94,Tablas!$B$94)</f>
        <v>Menor a tres meses</v>
      </c>
      <c r="X7" s="84"/>
      <c r="Y7" s="117"/>
      <c r="Z7" s="84"/>
      <c r="AA7" s="84"/>
      <c r="AB7" s="84"/>
      <c r="AC7" s="84"/>
      <c r="AD7" s="84"/>
      <c r="AE7" s="84"/>
      <c r="AF7" s="84" t="s">
        <v>41</v>
      </c>
      <c r="AG7" s="84">
        <f>VLOOKUP(AF7,Tablas!A32:B39,2,FALSE)</f>
        <v>0.1</v>
      </c>
      <c r="AH7" s="84" t="s">
        <v>67</v>
      </c>
      <c r="AI7" s="84">
        <f>VLOOKUP(AH7,Tablas!A42:B48,2,FALSE)</f>
        <v>1</v>
      </c>
      <c r="AJ7" s="84" t="s">
        <v>66</v>
      </c>
      <c r="AK7" s="121">
        <f>VLOOKUP(AJ7,Tablas!A52:B60,2,FALSE)</f>
        <v>0.1</v>
      </c>
      <c r="AL7" s="84" t="s">
        <v>39</v>
      </c>
      <c r="AM7" s="84">
        <f>VLOOKUP(AL7,Tablas!A63:B73,2,FALSE)</f>
        <v>0</v>
      </c>
      <c r="AN7" s="84">
        <f t="shared" ref="AN7:AN65" si="1">AG7*AI7*AK7*AM7</f>
        <v>0</v>
      </c>
      <c r="AO7" s="84" t="str" cm="1">
        <f t="array" ref="AO7">_xlfn.IFS(AN7&lt;=1,Tablas!$A$75,AN7&lt;=5,Tablas!$A$76,AN7&lt;=10,Tablas!$A$77,AN7&lt;=50,Tablas!$A$78,AN7&lt;=100,Tablas!$A$79,AN7&lt;=500,Tablas!$A$80,AN7&lt;=999,Tablas!$A$81,AN7&gt;1000,Tablas!T83)</f>
        <v>Insignificante</v>
      </c>
      <c r="AP7" s="84"/>
      <c r="AQ7" s="84"/>
    </row>
    <row r="8" spans="2:44" s="21" customFormat="1" ht="113.25" hidden="1" customHeight="1" x14ac:dyDescent="0.25">
      <c r="B8" s="117" t="s">
        <v>168</v>
      </c>
      <c r="C8" s="118" t="s">
        <v>482</v>
      </c>
      <c r="D8" s="119">
        <v>45585</v>
      </c>
      <c r="E8" s="119" t="s">
        <v>284</v>
      </c>
      <c r="F8" s="119" t="s">
        <v>479</v>
      </c>
      <c r="G8" s="119"/>
      <c r="H8" s="120" t="s">
        <v>413</v>
      </c>
      <c r="I8" s="121" t="s">
        <v>83</v>
      </c>
      <c r="J8" s="119" t="s">
        <v>487</v>
      </c>
      <c r="K8" s="84" t="s">
        <v>475</v>
      </c>
      <c r="L8" s="84" t="s">
        <v>491</v>
      </c>
      <c r="M8" s="84" t="s">
        <v>53</v>
      </c>
      <c r="N8" s="84">
        <f>VLOOKUP(M8,Tablas!$A$31:$B$38,2,FALSE)</f>
        <v>2.5</v>
      </c>
      <c r="O8" s="84" t="s">
        <v>69</v>
      </c>
      <c r="P8" s="84">
        <f>VLOOKUP(O8,Tablas!$A$41:$B$47,2,FALSE)</f>
        <v>2</v>
      </c>
      <c r="Q8" s="84" t="s">
        <v>70</v>
      </c>
      <c r="R8" s="121">
        <f>VLOOKUP(Q8,Tablas!$A$51:$B$59,2,FALSE)</f>
        <v>1</v>
      </c>
      <c r="S8" s="84" t="s">
        <v>51</v>
      </c>
      <c r="T8" s="84">
        <f>VLOOKUP(S8,Tablas!$A$62:$B$72,2,FALSE)</f>
        <v>2</v>
      </c>
      <c r="U8" s="84">
        <f t="shared" si="0"/>
        <v>10</v>
      </c>
      <c r="V8" s="181" t="str" cm="1">
        <f t="array" ref="V8">_xlfn.IFS(U8&lt;=1,Tablas!$A$75,U8&lt;=5,Tablas!$A$76,U8&lt;=10,Tablas!$A$77,U8&lt;=50,Tablas!$A$78,U8&lt;=100,Tablas!$A$79,U8&lt;=500,Tablas!$A$80,U8&lt;=999,Tablas!$A$81,U8&gt;1000,Tablas!A84)</f>
        <v>Bajo</v>
      </c>
      <c r="W8" s="84" t="str" cm="1">
        <f t="array" ref="W8">_xlfn.IFS(V8=Tablas!$A$87,Tablas!$B$87,V8=Tablas!$A$88,Tablas!$B$88,V8=Tablas!$A$89,Tablas!$B$89,V8=Tablas!$A$90,Tablas!$B$90,V8=Tablas!$A$91,Tablas!$B$91,V8=Tablas!$A$92,Tablas!$B$92,V8=Tablas!$A$93,Tablas!$B$93,V8=Tablas!$A$94,Tablas!$B$94)</f>
        <v>Menor a tres meses</v>
      </c>
      <c r="X8" s="84"/>
      <c r="Y8" s="117"/>
      <c r="Z8" s="84"/>
      <c r="AA8" s="84"/>
      <c r="AB8" s="84"/>
      <c r="AC8" s="84"/>
      <c r="AD8" s="84"/>
      <c r="AE8" s="84"/>
      <c r="AF8" s="84" t="s">
        <v>44</v>
      </c>
      <c r="AG8" s="84">
        <f>VLOOKUP(AF8,Tablas!A33:B40,2,FALSE)</f>
        <v>0.2</v>
      </c>
      <c r="AH8" s="84" t="s">
        <v>69</v>
      </c>
      <c r="AI8" s="84">
        <f>VLOOKUP(AH8,Tablas!A43:B49,2,FALSE)</f>
        <v>2</v>
      </c>
      <c r="AJ8" s="84" t="s">
        <v>70</v>
      </c>
      <c r="AK8" s="121">
        <f>VLOOKUP(AJ8,Tablas!A53:B61,2,FALSE)</f>
        <v>1</v>
      </c>
      <c r="AL8" s="84" t="s">
        <v>60</v>
      </c>
      <c r="AM8" s="84">
        <f>VLOOKUP(AL8,Tablas!A64:B74,2,FALSE)</f>
        <v>10</v>
      </c>
      <c r="AN8" s="84">
        <f t="shared" si="1"/>
        <v>4</v>
      </c>
      <c r="AO8" s="84" t="str" cm="1">
        <f t="array" ref="AO8">_xlfn.IFS(AN8&lt;=1,Tablas!$A$75,AN8&lt;=5,Tablas!$A$76,AN8&lt;=10,Tablas!$A$77,AN8&lt;=50,Tablas!$A$78,AN8&lt;=100,Tablas!$A$79,AN8&lt;=500,Tablas!$A$80,AN8&lt;=999,Tablas!$A$81,AN8&gt;1000,Tablas!T84)</f>
        <v>Muy Bajo</v>
      </c>
      <c r="AP8" s="84"/>
      <c r="AQ8" s="84"/>
    </row>
    <row r="9" spans="2:44" s="21" customFormat="1" ht="92.25" hidden="1" customHeight="1" x14ac:dyDescent="0.25">
      <c r="B9" s="117" t="s">
        <v>168</v>
      </c>
      <c r="C9" s="118" t="s">
        <v>483</v>
      </c>
      <c r="D9" s="119">
        <v>45586</v>
      </c>
      <c r="E9" s="119" t="s">
        <v>284</v>
      </c>
      <c r="F9" s="119" t="s">
        <v>488</v>
      </c>
      <c r="G9" s="119"/>
      <c r="H9" s="120" t="s">
        <v>461</v>
      </c>
      <c r="I9" s="121" t="s">
        <v>80</v>
      </c>
      <c r="J9" s="119" t="s">
        <v>489</v>
      </c>
      <c r="K9" s="84" t="s">
        <v>475</v>
      </c>
      <c r="L9" s="84" t="s">
        <v>491</v>
      </c>
      <c r="M9" s="84" t="s">
        <v>53</v>
      </c>
      <c r="N9" s="84">
        <f>VLOOKUP(M9,Tablas!$A$31:$B$38,2,FALSE)</f>
        <v>2.5</v>
      </c>
      <c r="O9" s="84" t="s">
        <v>67</v>
      </c>
      <c r="P9" s="84">
        <f>VLOOKUP(O9,Tablas!$A$41:$B$47,2,FALSE)</f>
        <v>1</v>
      </c>
      <c r="Q9" s="84" t="s">
        <v>70</v>
      </c>
      <c r="R9" s="121">
        <f>VLOOKUP(Q9,Tablas!$A$51:$B$59,2,FALSE)</f>
        <v>1</v>
      </c>
      <c r="S9" s="84" t="s">
        <v>51</v>
      </c>
      <c r="T9" s="84">
        <f>VLOOKUP(S9,Tablas!$A$62:$B$72,2,FALSE)</f>
        <v>2</v>
      </c>
      <c r="U9" s="84">
        <f t="shared" si="0"/>
        <v>5</v>
      </c>
      <c r="V9" s="181" t="str" cm="1">
        <f t="array" ref="V9">_xlfn.IFS(U9&lt;=1,Tablas!$A$75,U9&lt;=5,Tablas!$A$76,U9&lt;=10,Tablas!$A$77,U9&lt;=50,Tablas!$A$78,U9&lt;=100,Tablas!$A$79,U9&lt;=500,Tablas!$A$80,U9&lt;=999,Tablas!$A$81,U9&gt;1000,Tablas!A85)</f>
        <v>Muy Bajo</v>
      </c>
      <c r="W9" s="84" t="str" cm="1">
        <f t="array" ref="W9">_xlfn.IFS(V9=Tablas!$A$87,Tablas!$B$87,V9=Tablas!$A$88,Tablas!$B$88,V9=Tablas!$A$89,Tablas!$B$89,V9=Tablas!$A$90,Tablas!$B$90,V9=Tablas!$A$91,Tablas!$B$91,V9=Tablas!$A$92,Tablas!$B$92,V9=Tablas!$A$93,Tablas!$B$93,V9=Tablas!$A$94,Tablas!$B$94)</f>
        <v>Menor a un año</v>
      </c>
      <c r="X9" s="84"/>
      <c r="Y9" s="117"/>
      <c r="Z9" s="84"/>
      <c r="AA9" s="84"/>
      <c r="AB9" s="84"/>
      <c r="AC9" s="84"/>
      <c r="AD9" s="84"/>
      <c r="AE9" s="84"/>
      <c r="AF9" s="84"/>
      <c r="AG9" s="84" t="e">
        <f>VLOOKUP(AF9,Tablas!A34:B41,2,FALSE)</f>
        <v>#N/A</v>
      </c>
      <c r="AH9" s="84"/>
      <c r="AI9" s="84" t="e">
        <f>VLOOKUP(AH9,Tablas!A44:B50,2,FALSE)</f>
        <v>#N/A</v>
      </c>
      <c r="AJ9" s="84"/>
      <c r="AK9" s="121" t="e">
        <f>VLOOKUP(AJ9,Tablas!A54:B62,2,FALSE)</f>
        <v>#N/A</v>
      </c>
      <c r="AL9" s="84"/>
      <c r="AM9" s="84" t="e">
        <f>VLOOKUP(AL9,Tablas!A65:B75,2,FALSE)</f>
        <v>#N/A</v>
      </c>
      <c r="AN9" s="84" t="e">
        <f t="shared" si="1"/>
        <v>#N/A</v>
      </c>
      <c r="AO9" s="84" t="e" cm="1">
        <f t="array" ref="AO9">_xlfn.IFS(AN9&lt;=1,Tablas!$A$75,AN9&lt;=5,Tablas!$A$76,AN9&lt;=10,Tablas!$A$77,AN9&lt;=50,Tablas!$A$78,AN9&lt;=100,Tablas!$A$79,AN9&lt;=500,Tablas!$A$80,AN9&lt;=999,Tablas!$A$81,AN9&gt;1000,Tablas!T85)</f>
        <v>#N/A</v>
      </c>
      <c r="AP9" s="84"/>
      <c r="AQ9" s="84"/>
    </row>
    <row r="10" spans="2:44" s="21" customFormat="1" ht="92.25" customHeight="1" x14ac:dyDescent="0.25">
      <c r="B10" s="117"/>
      <c r="C10" s="118"/>
      <c r="D10" s="119"/>
      <c r="E10" s="119"/>
      <c r="F10" s="119"/>
      <c r="G10" s="119"/>
      <c r="H10" s="120"/>
      <c r="I10" s="121"/>
      <c r="J10" s="119"/>
      <c r="K10" s="84"/>
      <c r="L10" s="84"/>
      <c r="M10" s="84"/>
      <c r="N10" s="84" t="e">
        <f>VLOOKUP(M10,Tablas!$A$31:$B$38,2,FALSE)</f>
        <v>#N/A</v>
      </c>
      <c r="O10" s="84"/>
      <c r="P10" s="84" t="e">
        <f>VLOOKUP(O10,Tablas!$A$41:$B$47,2,FALSE)</f>
        <v>#N/A</v>
      </c>
      <c r="Q10" s="84"/>
      <c r="R10" s="121" t="e">
        <f>VLOOKUP(Q10,Tablas!$A$51:$B$59,2,FALSE)</f>
        <v>#N/A</v>
      </c>
      <c r="S10" s="84"/>
      <c r="T10" s="84" t="e">
        <f>VLOOKUP(S10,Tablas!$A$62:$B$72,2,FALSE)</f>
        <v>#N/A</v>
      </c>
      <c r="U10" s="84" t="e">
        <f t="shared" si="0"/>
        <v>#N/A</v>
      </c>
      <c r="V10" s="84" t="e" cm="1">
        <f t="array" ref="V10">_xlfn.IFS(U10&lt;=1,Tablas!$A$75,U10&lt;=5,Tablas!$A$76,U10&lt;=10,Tablas!$A$77,U10&lt;=50,Tablas!$A$78,U10&lt;=100,Tablas!$A$79,U10&lt;=500,Tablas!$A$80,U10&lt;=999,Tablas!$A$81,U10&gt;1000,Tablas!A92)</f>
        <v>#N/A</v>
      </c>
      <c r="W10" s="84" t="e" cm="1">
        <f t="array" ref="W10">_xlfn.IFS(V10=Tablas!$A$87,Tablas!$B$87,V10=Tablas!$A$88,Tablas!$B$88,V10=Tablas!$A$89,Tablas!$B$89,V10=Tablas!$A$90,Tablas!$B$90,V10=Tablas!$A$91,Tablas!$B$91,V10=Tablas!$A$92,Tablas!$B$92,V10=Tablas!$A$93,Tablas!$B$93,V10=Tablas!$A$94,Tablas!$B$94)</f>
        <v>#N/A</v>
      </c>
      <c r="X10" s="84"/>
      <c r="Y10" s="117"/>
      <c r="Z10" s="84"/>
      <c r="AA10" s="84"/>
      <c r="AB10" s="84"/>
      <c r="AC10" s="84"/>
      <c r="AD10" s="84"/>
      <c r="AE10" s="84"/>
      <c r="AF10" s="84"/>
      <c r="AG10" s="84" t="e">
        <f>VLOOKUP(AF10,Tablas!A41:B48,2,FALSE)</f>
        <v>#N/A</v>
      </c>
      <c r="AH10" s="84"/>
      <c r="AI10" s="84" t="e">
        <f>VLOOKUP(AH10,Tablas!A51:B57,2,FALSE)</f>
        <v>#N/A</v>
      </c>
      <c r="AJ10" s="84"/>
      <c r="AK10" s="121" t="e">
        <f>VLOOKUP(AJ10,Tablas!A61:B69,2,FALSE)</f>
        <v>#N/A</v>
      </c>
      <c r="AL10" s="84"/>
      <c r="AM10" s="84" t="e">
        <f>VLOOKUP(AL10,Tablas!A72:B82,2,FALSE)</f>
        <v>#N/A</v>
      </c>
      <c r="AN10" s="84" t="e">
        <f t="shared" si="1"/>
        <v>#N/A</v>
      </c>
      <c r="AO10" s="84" t="e" cm="1">
        <f t="array" ref="AO10">_xlfn.IFS(AN10&lt;=1,Tablas!$A$75,AN10&lt;=5,Tablas!$A$76,AN10&lt;=10,Tablas!$A$77,AN10&lt;=50,Tablas!$A$78,AN10&lt;=100,Tablas!$A$79,AN10&lt;=500,Tablas!$A$80,AN10&lt;=999,Tablas!$A$81,AN10&gt;1000,Tablas!T92)</f>
        <v>#N/A</v>
      </c>
      <c r="AP10" s="84"/>
      <c r="AQ10" s="84"/>
    </row>
    <row r="11" spans="2:44" s="21" customFormat="1" ht="92.25" customHeight="1" x14ac:dyDescent="0.25">
      <c r="B11" s="117"/>
      <c r="C11" s="118"/>
      <c r="D11" s="119"/>
      <c r="E11" s="119"/>
      <c r="F11" s="119"/>
      <c r="G11" s="119"/>
      <c r="H11" s="120"/>
      <c r="I11" s="121"/>
      <c r="J11" s="119"/>
      <c r="K11" s="84"/>
      <c r="L11" s="84"/>
      <c r="M11" s="84"/>
      <c r="N11" s="84" t="e">
        <f>VLOOKUP(M11,Tablas!$A$31:$B$38,2,FALSE)</f>
        <v>#N/A</v>
      </c>
      <c r="O11" s="84"/>
      <c r="P11" s="84" t="e">
        <f>VLOOKUP(O11,Tablas!$A$41:$B$47,2,FALSE)</f>
        <v>#N/A</v>
      </c>
      <c r="Q11" s="84"/>
      <c r="R11" s="121" t="e">
        <f>VLOOKUP(Q11,Tablas!$A$51:$B$59,2,FALSE)</f>
        <v>#N/A</v>
      </c>
      <c r="S11" s="84"/>
      <c r="T11" s="84" t="e">
        <f>VLOOKUP(S11,Tablas!$A$62:$B$72,2,FALSE)</f>
        <v>#N/A</v>
      </c>
      <c r="U11" s="84" t="e">
        <f t="shared" si="0"/>
        <v>#N/A</v>
      </c>
      <c r="V11" s="84" t="e" cm="1">
        <f t="array" ref="V11">_xlfn.IFS(U11&lt;=1,Tablas!$A$75,U11&lt;=5,Tablas!$A$76,U11&lt;=10,Tablas!$A$77,U11&lt;=50,Tablas!$A$78,U11&lt;=100,Tablas!$A$79,U11&lt;=500,Tablas!$A$80,U11&lt;=999,Tablas!$A$81,U11&gt;1000,Tablas!A93)</f>
        <v>#N/A</v>
      </c>
      <c r="W11" s="84" t="e" cm="1">
        <f t="array" ref="W11">_xlfn.IFS(V11=Tablas!$A$87,Tablas!$B$87,V11=Tablas!$A$88,Tablas!$B$88,V11=Tablas!$A$89,Tablas!$B$89,V11=Tablas!$A$90,Tablas!$B$90,V11=Tablas!$A$91,Tablas!$B$91,V11=Tablas!$A$92,Tablas!$B$92,V11=Tablas!$A$93,Tablas!$B$93,V11=Tablas!$A$94,Tablas!$B$94)</f>
        <v>#N/A</v>
      </c>
      <c r="X11" s="84"/>
      <c r="Y11" s="117"/>
      <c r="Z11" s="84"/>
      <c r="AA11" s="84"/>
      <c r="AB11" s="84"/>
      <c r="AC11" s="84"/>
      <c r="AD11" s="84"/>
      <c r="AE11" s="84"/>
      <c r="AF11" s="84"/>
      <c r="AG11" s="84" t="e">
        <f>VLOOKUP(AF11,Tablas!A42:B49,2,FALSE)</f>
        <v>#N/A</v>
      </c>
      <c r="AH11" s="84"/>
      <c r="AI11" s="84" t="e">
        <f>VLOOKUP(AH11,Tablas!A52:B58,2,FALSE)</f>
        <v>#N/A</v>
      </c>
      <c r="AJ11" s="84"/>
      <c r="AK11" s="121" t="e">
        <f>VLOOKUP(AJ11,Tablas!A62:B70,2,FALSE)</f>
        <v>#N/A</v>
      </c>
      <c r="AL11" s="84"/>
      <c r="AM11" s="84" t="e">
        <f>VLOOKUP(AL11,Tablas!A73:B83,2,FALSE)</f>
        <v>#N/A</v>
      </c>
      <c r="AN11" s="84" t="e">
        <f t="shared" si="1"/>
        <v>#N/A</v>
      </c>
      <c r="AO11" s="84" t="e" cm="1">
        <f t="array" ref="AO11">_xlfn.IFS(AN11&lt;=1,Tablas!$A$75,AN11&lt;=5,Tablas!$A$76,AN11&lt;=10,Tablas!$A$77,AN11&lt;=50,Tablas!$A$78,AN11&lt;=100,Tablas!$A$79,AN11&lt;=500,Tablas!$A$80,AN11&lt;=999,Tablas!$A$81,AN11&gt;1000,Tablas!T93)</f>
        <v>#N/A</v>
      </c>
      <c r="AP11" s="84"/>
      <c r="AQ11" s="84"/>
    </row>
    <row r="12" spans="2:44" s="21" customFormat="1" ht="92.25" customHeight="1" x14ac:dyDescent="0.25">
      <c r="B12" s="117"/>
      <c r="C12" s="118"/>
      <c r="D12" s="119"/>
      <c r="E12" s="119"/>
      <c r="F12" s="119"/>
      <c r="G12" s="119"/>
      <c r="H12" s="120"/>
      <c r="I12" s="121"/>
      <c r="J12" s="119"/>
      <c r="K12" s="84"/>
      <c r="L12" s="84"/>
      <c r="M12" s="84"/>
      <c r="N12" s="84" t="e">
        <f>VLOOKUP(M12,Tablas!$A$31:$B$38,2,FALSE)</f>
        <v>#N/A</v>
      </c>
      <c r="O12" s="84"/>
      <c r="P12" s="84" t="e">
        <f>VLOOKUP(O12,Tablas!$A$41:$B$47,2,FALSE)</f>
        <v>#N/A</v>
      </c>
      <c r="Q12" s="84"/>
      <c r="R12" s="121" t="e">
        <f>VLOOKUP(Q12,Tablas!$A$51:$B$59,2,FALSE)</f>
        <v>#N/A</v>
      </c>
      <c r="S12" s="84"/>
      <c r="T12" s="84" t="e">
        <f>VLOOKUP(S12,Tablas!$A$62:$B$72,2,FALSE)</f>
        <v>#N/A</v>
      </c>
      <c r="U12" s="84" t="e">
        <f t="shared" si="0"/>
        <v>#N/A</v>
      </c>
      <c r="V12" s="84" t="e" cm="1">
        <f t="array" ref="V12">_xlfn.IFS(U12&lt;=1,Tablas!$A$75,U12&lt;=5,Tablas!$A$76,U12&lt;=10,Tablas!$A$77,U12&lt;=50,Tablas!$A$78,U12&lt;=100,Tablas!$A$79,U12&lt;=500,Tablas!$A$80,U12&lt;=999,Tablas!$A$81,U12&gt;1000,Tablas!A94)</f>
        <v>#N/A</v>
      </c>
      <c r="W12" s="84" t="e" cm="1">
        <f t="array" ref="W12">_xlfn.IFS(V12=Tablas!$A$87,Tablas!$B$87,V12=Tablas!$A$88,Tablas!$B$88,V12=Tablas!$A$89,Tablas!$B$89,V12=Tablas!$A$90,Tablas!$B$90,V12=Tablas!$A$91,Tablas!$B$91,V12=Tablas!$A$92,Tablas!$B$92,V12=Tablas!$A$93,Tablas!$B$93,V12=Tablas!$A$94,Tablas!$B$94)</f>
        <v>#N/A</v>
      </c>
      <c r="X12" s="84"/>
      <c r="Y12" s="117"/>
      <c r="Z12" s="84"/>
      <c r="AA12" s="84"/>
      <c r="AB12" s="84"/>
      <c r="AC12" s="84"/>
      <c r="AD12" s="84"/>
      <c r="AE12" s="84"/>
      <c r="AF12" s="84"/>
      <c r="AG12" s="84" t="e">
        <f>VLOOKUP(AF12,Tablas!A43:B50,2,FALSE)</f>
        <v>#N/A</v>
      </c>
      <c r="AH12" s="84"/>
      <c r="AI12" s="84" t="e">
        <f>VLOOKUP(AH12,Tablas!A53:B59,2,FALSE)</f>
        <v>#N/A</v>
      </c>
      <c r="AJ12" s="84"/>
      <c r="AK12" s="121" t="e">
        <f>VLOOKUP(AJ12,Tablas!A63:B71,2,FALSE)</f>
        <v>#N/A</v>
      </c>
      <c r="AL12" s="84"/>
      <c r="AM12" s="84" t="e">
        <f>VLOOKUP(AL12,Tablas!A74:B84,2,FALSE)</f>
        <v>#N/A</v>
      </c>
      <c r="AN12" s="84" t="e">
        <f t="shared" si="1"/>
        <v>#N/A</v>
      </c>
      <c r="AO12" s="84" t="e" cm="1">
        <f t="array" ref="AO12">_xlfn.IFS(AN12&lt;=1,Tablas!$A$75,AN12&lt;=5,Tablas!$A$76,AN12&lt;=10,Tablas!$A$77,AN12&lt;=50,Tablas!$A$78,AN12&lt;=100,Tablas!$A$79,AN12&lt;=500,Tablas!$A$80,AN12&lt;=999,Tablas!$A$81,AN12&gt;1000,Tablas!T94)</f>
        <v>#N/A</v>
      </c>
      <c r="AP12" s="84"/>
      <c r="AQ12" s="84"/>
    </row>
    <row r="13" spans="2:44" s="21" customFormat="1" ht="92.25" customHeight="1" x14ac:dyDescent="0.25">
      <c r="B13" s="117"/>
      <c r="C13" s="118"/>
      <c r="D13" s="119"/>
      <c r="E13" s="119"/>
      <c r="F13" s="119"/>
      <c r="G13" s="119"/>
      <c r="H13" s="120"/>
      <c r="I13" s="121"/>
      <c r="J13" s="119"/>
      <c r="K13" s="84"/>
      <c r="L13" s="84"/>
      <c r="M13" s="84"/>
      <c r="N13" s="84" t="e">
        <f>VLOOKUP(M13,Tablas!$A$31:$B$38,2,FALSE)</f>
        <v>#N/A</v>
      </c>
      <c r="O13" s="84"/>
      <c r="P13" s="84" t="e">
        <f>VLOOKUP(O13,Tablas!$A$41:$B$47,2,FALSE)</f>
        <v>#N/A</v>
      </c>
      <c r="Q13" s="84"/>
      <c r="R13" s="121" t="e">
        <f>VLOOKUP(Q13,Tablas!$A$51:$B$59,2,FALSE)</f>
        <v>#N/A</v>
      </c>
      <c r="S13" s="84"/>
      <c r="T13" s="84" t="e">
        <f>VLOOKUP(S13,Tablas!$A$62:$B$72,2,FALSE)</f>
        <v>#N/A</v>
      </c>
      <c r="U13" s="84" t="e">
        <f t="shared" si="0"/>
        <v>#N/A</v>
      </c>
      <c r="V13" s="84" t="e" cm="1">
        <f t="array" ref="V13">_xlfn.IFS(U13&lt;=1,Tablas!$A$75,U13&lt;=5,Tablas!$A$76,U13&lt;=10,Tablas!$A$77,U13&lt;=50,Tablas!$A$78,U13&lt;=100,Tablas!$A$79,U13&lt;=500,Tablas!$A$80,U13&lt;=999,Tablas!$A$81,U13&gt;1000,Tablas!A95)</f>
        <v>#N/A</v>
      </c>
      <c r="W13" s="84" t="e" cm="1">
        <f t="array" ref="W13">_xlfn.IFS(V13=Tablas!$A$87,Tablas!$B$87,V13=Tablas!$A$88,Tablas!$B$88,V13=Tablas!$A$89,Tablas!$B$89,V13=Tablas!$A$90,Tablas!$B$90,V13=Tablas!$A$91,Tablas!$B$91,V13=Tablas!$A$92,Tablas!$B$92,V13=Tablas!$A$93,Tablas!$B$93,V13=Tablas!$A$94,Tablas!$B$94)</f>
        <v>#N/A</v>
      </c>
      <c r="X13" s="84"/>
      <c r="Y13" s="117"/>
      <c r="Z13" s="84"/>
      <c r="AA13" s="84"/>
      <c r="AB13" s="84"/>
      <c r="AC13" s="84"/>
      <c r="AD13" s="84"/>
      <c r="AE13" s="84"/>
      <c r="AF13" s="84"/>
      <c r="AG13" s="84" t="e">
        <f>VLOOKUP(AF13,Tablas!A44:B51,2,FALSE)</f>
        <v>#N/A</v>
      </c>
      <c r="AH13" s="84"/>
      <c r="AI13" s="84" t="e">
        <f>VLOOKUP(AH13,Tablas!A54:B60,2,FALSE)</f>
        <v>#N/A</v>
      </c>
      <c r="AJ13" s="84"/>
      <c r="AK13" s="121" t="e">
        <f>VLOOKUP(AJ13,Tablas!A64:B72,2,FALSE)</f>
        <v>#N/A</v>
      </c>
      <c r="AL13" s="84"/>
      <c r="AM13" s="84" t="e">
        <f>VLOOKUP(AL13,Tablas!A75:B85,2,FALSE)</f>
        <v>#N/A</v>
      </c>
      <c r="AN13" s="84" t="e">
        <f t="shared" si="1"/>
        <v>#N/A</v>
      </c>
      <c r="AO13" s="84" t="e" cm="1">
        <f t="array" ref="AO13">_xlfn.IFS(AN13&lt;=1,Tablas!$A$75,AN13&lt;=5,Tablas!$A$76,AN13&lt;=10,Tablas!$A$77,AN13&lt;=50,Tablas!$A$78,AN13&lt;=100,Tablas!$A$79,AN13&lt;=500,Tablas!$A$80,AN13&lt;=999,Tablas!$A$81,AN13&gt;1000,Tablas!T95)</f>
        <v>#N/A</v>
      </c>
      <c r="AP13" s="84"/>
      <c r="AQ13" s="84"/>
    </row>
    <row r="14" spans="2:44" s="21" customFormat="1" ht="92.25" customHeight="1" x14ac:dyDescent="0.25">
      <c r="B14" s="117"/>
      <c r="C14" s="118"/>
      <c r="D14" s="119"/>
      <c r="E14" s="119"/>
      <c r="F14" s="119"/>
      <c r="G14" s="119"/>
      <c r="H14" s="120"/>
      <c r="I14" s="121"/>
      <c r="J14" s="119"/>
      <c r="K14" s="84"/>
      <c r="L14" s="84"/>
      <c r="M14" s="84"/>
      <c r="N14" s="84" t="e">
        <f>VLOOKUP(M14,Tablas!$A$31:$B$38,2,FALSE)</f>
        <v>#N/A</v>
      </c>
      <c r="O14" s="84"/>
      <c r="P14" s="84" t="e">
        <f>VLOOKUP(O14,Tablas!$A$41:$B$47,2,FALSE)</f>
        <v>#N/A</v>
      </c>
      <c r="Q14" s="84"/>
      <c r="R14" s="121" t="e">
        <f>VLOOKUP(Q14,Tablas!$A$51:$B$59,2,FALSE)</f>
        <v>#N/A</v>
      </c>
      <c r="S14" s="84"/>
      <c r="T14" s="84" t="e">
        <f>VLOOKUP(S14,Tablas!$A$62:$B$72,2,FALSE)</f>
        <v>#N/A</v>
      </c>
      <c r="U14" s="84" t="e">
        <f t="shared" si="0"/>
        <v>#N/A</v>
      </c>
      <c r="V14" s="84" t="e" cm="1">
        <f t="array" ref="V14">_xlfn.IFS(U14&lt;=1,Tablas!$A$75,U14&lt;=5,Tablas!$A$76,U14&lt;=10,Tablas!$A$77,U14&lt;=50,Tablas!$A$78,U14&lt;=100,Tablas!$A$79,U14&lt;=500,Tablas!$A$80,U14&lt;=999,Tablas!$A$81,U14&gt;1000,Tablas!A96)</f>
        <v>#N/A</v>
      </c>
      <c r="W14" s="84" t="e" cm="1">
        <f t="array" ref="W14">_xlfn.IFS(V14=Tablas!$A$87,Tablas!$B$87,V14=Tablas!$A$88,Tablas!$B$88,V14=Tablas!$A$89,Tablas!$B$89,V14=Tablas!$A$90,Tablas!$B$90,V14=Tablas!$A$91,Tablas!$B$91,V14=Tablas!$A$92,Tablas!$B$92,V14=Tablas!$A$93,Tablas!$B$93,V14=Tablas!$A$94,Tablas!$B$94)</f>
        <v>#N/A</v>
      </c>
      <c r="X14" s="84"/>
      <c r="Y14" s="117"/>
      <c r="Z14" s="84"/>
      <c r="AA14" s="84"/>
      <c r="AB14" s="84"/>
      <c r="AC14" s="84"/>
      <c r="AD14" s="84"/>
      <c r="AE14" s="84"/>
      <c r="AF14" s="84"/>
      <c r="AG14" s="84" t="e">
        <f>VLOOKUP(AF14,Tablas!A45:B52,2,FALSE)</f>
        <v>#N/A</v>
      </c>
      <c r="AH14" s="84"/>
      <c r="AI14" s="84" t="e">
        <f>VLOOKUP(AH14,Tablas!A55:B61,2,FALSE)</f>
        <v>#N/A</v>
      </c>
      <c r="AJ14" s="84"/>
      <c r="AK14" s="121" t="e">
        <f>VLOOKUP(AJ14,Tablas!A65:B73,2,FALSE)</f>
        <v>#N/A</v>
      </c>
      <c r="AL14" s="84"/>
      <c r="AM14" s="84" t="e">
        <f>VLOOKUP(AL14,Tablas!A76:B86,2,FALSE)</f>
        <v>#N/A</v>
      </c>
      <c r="AN14" s="84" t="e">
        <f t="shared" si="1"/>
        <v>#N/A</v>
      </c>
      <c r="AO14" s="84" t="e" cm="1">
        <f t="array" ref="AO14">_xlfn.IFS(AN14&lt;=1,Tablas!$A$75,AN14&lt;=5,Tablas!$A$76,AN14&lt;=10,Tablas!$A$77,AN14&lt;=50,Tablas!$A$78,AN14&lt;=100,Tablas!$A$79,AN14&lt;=500,Tablas!$A$80,AN14&lt;=999,Tablas!$A$81,AN14&gt;1000,Tablas!T96)</f>
        <v>#N/A</v>
      </c>
      <c r="AP14" s="84"/>
      <c r="AQ14" s="84"/>
    </row>
    <row r="15" spans="2:44" s="21" customFormat="1" ht="92.25" customHeight="1" x14ac:dyDescent="0.25">
      <c r="B15" s="117"/>
      <c r="C15" s="118"/>
      <c r="D15" s="119"/>
      <c r="E15" s="119"/>
      <c r="F15" s="119"/>
      <c r="G15" s="119"/>
      <c r="H15" s="120"/>
      <c r="I15" s="121"/>
      <c r="J15" s="119"/>
      <c r="K15" s="84"/>
      <c r="L15" s="84"/>
      <c r="M15" s="84"/>
      <c r="N15" s="84" t="e">
        <f>VLOOKUP(M15,Tablas!$A$31:$B$38,2,FALSE)</f>
        <v>#N/A</v>
      </c>
      <c r="O15" s="84"/>
      <c r="P15" s="84" t="e">
        <f>VLOOKUP(O15,Tablas!$A$41:$B$47,2,FALSE)</f>
        <v>#N/A</v>
      </c>
      <c r="Q15" s="84"/>
      <c r="R15" s="121" t="e">
        <f>VLOOKUP(Q15,Tablas!$A$51:$B$59,2,FALSE)</f>
        <v>#N/A</v>
      </c>
      <c r="S15" s="84"/>
      <c r="T15" s="84" t="e">
        <f>VLOOKUP(S15,Tablas!$A$62:$B$72,2,FALSE)</f>
        <v>#N/A</v>
      </c>
      <c r="U15" s="84" t="e">
        <f t="shared" si="0"/>
        <v>#N/A</v>
      </c>
      <c r="V15" s="84" t="e" cm="1">
        <f t="array" ref="V15">_xlfn.IFS(U15&lt;=1,Tablas!$A$75,U15&lt;=5,Tablas!$A$76,U15&lt;=10,Tablas!$A$77,U15&lt;=50,Tablas!$A$78,U15&lt;=100,Tablas!$A$79,U15&lt;=500,Tablas!$A$80,U15&lt;=999,Tablas!$A$81,U15&gt;1000,Tablas!A97)</f>
        <v>#N/A</v>
      </c>
      <c r="W15" s="84" t="e" cm="1">
        <f t="array" ref="W15">_xlfn.IFS(V15=Tablas!$A$87,Tablas!$B$87,V15=Tablas!$A$88,Tablas!$B$88,V15=Tablas!$A$89,Tablas!$B$89,V15=Tablas!$A$90,Tablas!$B$90,V15=Tablas!$A$91,Tablas!$B$91,V15=Tablas!$A$92,Tablas!$B$92,V15=Tablas!$A$93,Tablas!$B$93,V15=Tablas!$A$94,Tablas!$B$94)</f>
        <v>#N/A</v>
      </c>
      <c r="X15" s="84"/>
      <c r="Y15" s="117"/>
      <c r="Z15" s="84"/>
      <c r="AA15" s="84"/>
      <c r="AB15" s="84"/>
      <c r="AC15" s="84"/>
      <c r="AD15" s="84"/>
      <c r="AE15" s="84"/>
      <c r="AF15" s="84"/>
      <c r="AG15" s="84" t="e">
        <f>VLOOKUP(AF15,Tablas!A46:B53,2,FALSE)</f>
        <v>#N/A</v>
      </c>
      <c r="AH15" s="84"/>
      <c r="AI15" s="84" t="e">
        <f>VLOOKUP(AH15,Tablas!A56:B62,2,FALSE)</f>
        <v>#N/A</v>
      </c>
      <c r="AJ15" s="84"/>
      <c r="AK15" s="121" t="e">
        <f>VLOOKUP(AJ15,Tablas!A66:B74,2,FALSE)</f>
        <v>#N/A</v>
      </c>
      <c r="AL15" s="84"/>
      <c r="AM15" s="84" t="e">
        <f>VLOOKUP(AL15,Tablas!A77:B87,2,FALSE)</f>
        <v>#N/A</v>
      </c>
      <c r="AN15" s="84" t="e">
        <f t="shared" si="1"/>
        <v>#N/A</v>
      </c>
      <c r="AO15" s="84" t="e" cm="1">
        <f t="array" ref="AO15">_xlfn.IFS(AN15&lt;=1,Tablas!$A$75,AN15&lt;=5,Tablas!$A$76,AN15&lt;=10,Tablas!$A$77,AN15&lt;=50,Tablas!$A$78,AN15&lt;=100,Tablas!$A$79,AN15&lt;=500,Tablas!$A$80,AN15&lt;=999,Tablas!$A$81,AN15&gt;1000,Tablas!T97)</f>
        <v>#N/A</v>
      </c>
      <c r="AP15" s="84"/>
      <c r="AQ15" s="84"/>
    </row>
    <row r="16" spans="2:44" s="21" customFormat="1" ht="92.25" customHeight="1" x14ac:dyDescent="0.25">
      <c r="B16" s="117"/>
      <c r="C16" s="118"/>
      <c r="D16" s="119"/>
      <c r="E16" s="119"/>
      <c r="F16" s="119"/>
      <c r="G16" s="119"/>
      <c r="H16" s="120"/>
      <c r="I16" s="121"/>
      <c r="J16" s="119"/>
      <c r="K16" s="84"/>
      <c r="L16" s="84"/>
      <c r="M16" s="84"/>
      <c r="N16" s="84" t="e">
        <f>VLOOKUP(M16,Tablas!$A$31:$B$38,2,FALSE)</f>
        <v>#N/A</v>
      </c>
      <c r="O16" s="84"/>
      <c r="P16" s="84" t="e">
        <f>VLOOKUP(O16,Tablas!$A$41:$B$47,2,FALSE)</f>
        <v>#N/A</v>
      </c>
      <c r="Q16" s="84"/>
      <c r="R16" s="121" t="e">
        <f>VLOOKUP(Q16,Tablas!$A$51:$B$59,2,FALSE)</f>
        <v>#N/A</v>
      </c>
      <c r="S16" s="84"/>
      <c r="T16" s="84" t="e">
        <f>VLOOKUP(S16,Tablas!$A$62:$B$72,2,FALSE)</f>
        <v>#N/A</v>
      </c>
      <c r="U16" s="84" t="e">
        <f t="shared" si="0"/>
        <v>#N/A</v>
      </c>
      <c r="V16" s="84" t="e" cm="1">
        <f t="array" ref="V16">_xlfn.IFS(U16&lt;=1,Tablas!$A$75,U16&lt;=5,Tablas!$A$76,U16&lt;=10,Tablas!$A$77,U16&lt;=50,Tablas!$A$78,U16&lt;=100,Tablas!$A$79,U16&lt;=500,Tablas!$A$80,U16&lt;=999,Tablas!$A$81,U16&gt;1000,Tablas!A98)</f>
        <v>#N/A</v>
      </c>
      <c r="W16" s="84" t="e" cm="1">
        <f t="array" ref="W16">_xlfn.IFS(V16=Tablas!$A$87,Tablas!$B$87,V16=Tablas!$A$88,Tablas!$B$88,V16=Tablas!$A$89,Tablas!$B$89,V16=Tablas!$A$90,Tablas!$B$90,V16=Tablas!$A$91,Tablas!$B$91,V16=Tablas!$A$92,Tablas!$B$92,V16=Tablas!$A$93,Tablas!$B$93,V16=Tablas!$A$94,Tablas!$B$94)</f>
        <v>#N/A</v>
      </c>
      <c r="X16" s="84"/>
      <c r="Y16" s="117"/>
      <c r="Z16" s="84"/>
      <c r="AA16" s="84"/>
      <c r="AB16" s="84"/>
      <c r="AC16" s="84"/>
      <c r="AD16" s="84"/>
      <c r="AE16" s="84"/>
      <c r="AF16" s="84"/>
      <c r="AG16" s="84" t="e">
        <f>VLOOKUP(AF16,Tablas!A47:B54,2,FALSE)</f>
        <v>#N/A</v>
      </c>
      <c r="AH16" s="84"/>
      <c r="AI16" s="84" t="e">
        <f>VLOOKUP(AH16,Tablas!A57:B63,2,FALSE)</f>
        <v>#N/A</v>
      </c>
      <c r="AJ16" s="84"/>
      <c r="AK16" s="121" t="e">
        <f>VLOOKUP(AJ16,Tablas!A67:B75,2,FALSE)</f>
        <v>#N/A</v>
      </c>
      <c r="AL16" s="84"/>
      <c r="AM16" s="84" t="e">
        <f>VLOOKUP(AL16,Tablas!A78:B88,2,FALSE)</f>
        <v>#N/A</v>
      </c>
      <c r="AN16" s="84" t="e">
        <f t="shared" si="1"/>
        <v>#N/A</v>
      </c>
      <c r="AO16" s="84" t="e" cm="1">
        <f t="array" ref="AO16">_xlfn.IFS(AN16&lt;=1,Tablas!$A$75,AN16&lt;=5,Tablas!$A$76,AN16&lt;=10,Tablas!$A$77,AN16&lt;=50,Tablas!$A$78,AN16&lt;=100,Tablas!$A$79,AN16&lt;=500,Tablas!$A$80,AN16&lt;=999,Tablas!$A$81,AN16&gt;1000,Tablas!T98)</f>
        <v>#N/A</v>
      </c>
      <c r="AP16" s="84"/>
      <c r="AQ16" s="84"/>
    </row>
    <row r="17" spans="2:43" s="21" customFormat="1" ht="92.25" customHeight="1" x14ac:dyDescent="0.25">
      <c r="B17" s="117"/>
      <c r="C17" s="118"/>
      <c r="D17" s="119"/>
      <c r="E17" s="119"/>
      <c r="F17" s="119"/>
      <c r="G17" s="119"/>
      <c r="H17" s="120"/>
      <c r="I17" s="121"/>
      <c r="J17" s="119"/>
      <c r="K17" s="84"/>
      <c r="L17" s="84"/>
      <c r="M17" s="84"/>
      <c r="N17" s="84" t="e">
        <f>VLOOKUP(M17,Tablas!$A$31:$B$38,2,FALSE)</f>
        <v>#N/A</v>
      </c>
      <c r="O17" s="84"/>
      <c r="P17" s="84" t="e">
        <f>VLOOKUP(O17,Tablas!$A$41:$B$47,2,FALSE)</f>
        <v>#N/A</v>
      </c>
      <c r="Q17" s="84"/>
      <c r="R17" s="121" t="e">
        <f>VLOOKUP(Q17,Tablas!$A$51:$B$59,2,FALSE)</f>
        <v>#N/A</v>
      </c>
      <c r="S17" s="84"/>
      <c r="T17" s="84" t="e">
        <f>VLOOKUP(S17,Tablas!$A$62:$B$72,2,FALSE)</f>
        <v>#N/A</v>
      </c>
      <c r="U17" s="84" t="e">
        <f t="shared" si="0"/>
        <v>#N/A</v>
      </c>
      <c r="V17" s="84" t="e" cm="1">
        <f t="array" ref="V17">_xlfn.IFS(U17&lt;=1,Tablas!$A$75,U17&lt;=5,Tablas!$A$76,U17&lt;=10,Tablas!$A$77,U17&lt;=50,Tablas!$A$78,U17&lt;=100,Tablas!$A$79,U17&lt;=500,Tablas!$A$80,U17&lt;=999,Tablas!$A$81,U17&gt;1000,Tablas!A99)</f>
        <v>#N/A</v>
      </c>
      <c r="W17" s="84" t="e" cm="1">
        <f t="array" ref="W17">_xlfn.IFS(V17=Tablas!$A$87,Tablas!$B$87,V17=Tablas!$A$88,Tablas!$B$88,V17=Tablas!$A$89,Tablas!$B$89,V17=Tablas!$A$90,Tablas!$B$90,V17=Tablas!$A$91,Tablas!$B$91,V17=Tablas!$A$92,Tablas!$B$92,V17=Tablas!$A$93,Tablas!$B$93,V17=Tablas!$A$94,Tablas!$B$94)</f>
        <v>#N/A</v>
      </c>
      <c r="X17" s="84"/>
      <c r="Y17" s="117"/>
      <c r="Z17" s="84"/>
      <c r="AA17" s="84"/>
      <c r="AB17" s="84"/>
      <c r="AC17" s="84"/>
      <c r="AD17" s="84"/>
      <c r="AE17" s="84"/>
      <c r="AF17" s="84"/>
      <c r="AG17" s="84" t="e">
        <f>VLOOKUP(AF17,Tablas!A48:B55,2,FALSE)</f>
        <v>#N/A</v>
      </c>
      <c r="AH17" s="84"/>
      <c r="AI17" s="84" t="e">
        <f>VLOOKUP(AH17,Tablas!A58:B64,2,FALSE)</f>
        <v>#N/A</v>
      </c>
      <c r="AJ17" s="84"/>
      <c r="AK17" s="121" t="e">
        <f>VLOOKUP(AJ17,Tablas!A68:B76,2,FALSE)</f>
        <v>#N/A</v>
      </c>
      <c r="AL17" s="84"/>
      <c r="AM17" s="84" t="e">
        <f>VLOOKUP(AL17,Tablas!A79:B89,2,FALSE)</f>
        <v>#N/A</v>
      </c>
      <c r="AN17" s="84" t="e">
        <f t="shared" si="1"/>
        <v>#N/A</v>
      </c>
      <c r="AO17" s="84" t="e" cm="1">
        <f t="array" ref="AO17">_xlfn.IFS(AN17&lt;=1,Tablas!$A$75,AN17&lt;=5,Tablas!$A$76,AN17&lt;=10,Tablas!$A$77,AN17&lt;=50,Tablas!$A$78,AN17&lt;=100,Tablas!$A$79,AN17&lt;=500,Tablas!$A$80,AN17&lt;=999,Tablas!$A$81,AN17&gt;1000,Tablas!T99)</f>
        <v>#N/A</v>
      </c>
      <c r="AP17" s="84"/>
      <c r="AQ17" s="84"/>
    </row>
    <row r="18" spans="2:43" s="21" customFormat="1" ht="92.25" customHeight="1" x14ac:dyDescent="0.25">
      <c r="B18" s="117"/>
      <c r="C18" s="118"/>
      <c r="D18" s="119"/>
      <c r="E18" s="119"/>
      <c r="F18" s="119"/>
      <c r="G18" s="119"/>
      <c r="H18" s="120"/>
      <c r="I18" s="121"/>
      <c r="J18" s="119"/>
      <c r="K18" s="84"/>
      <c r="L18" s="84"/>
      <c r="M18" s="84"/>
      <c r="N18" s="84" t="e">
        <f>VLOOKUP(M18,Tablas!$A$31:$B$38,2,FALSE)</f>
        <v>#N/A</v>
      </c>
      <c r="O18" s="84"/>
      <c r="P18" s="84" t="e">
        <f>VLOOKUP(O18,Tablas!$A$41:$B$47,2,FALSE)</f>
        <v>#N/A</v>
      </c>
      <c r="Q18" s="84"/>
      <c r="R18" s="121" t="e">
        <f>VLOOKUP(Q18,Tablas!$A$51:$B$59,2,FALSE)</f>
        <v>#N/A</v>
      </c>
      <c r="S18" s="84"/>
      <c r="T18" s="84" t="e">
        <f>VLOOKUP(S18,Tablas!$A$62:$B$72,2,FALSE)</f>
        <v>#N/A</v>
      </c>
      <c r="U18" s="84" t="e">
        <f t="shared" si="0"/>
        <v>#N/A</v>
      </c>
      <c r="V18" s="84" t="e" cm="1">
        <f t="array" ref="V18">_xlfn.IFS(U18&lt;=1,Tablas!$A$75,U18&lt;=5,Tablas!$A$76,U18&lt;=10,Tablas!$A$77,U18&lt;=50,Tablas!$A$78,U18&lt;=100,Tablas!$A$79,U18&lt;=500,Tablas!$A$80,U18&lt;=999,Tablas!$A$81,U18&gt;1000,Tablas!A100)</f>
        <v>#N/A</v>
      </c>
      <c r="W18" s="84" t="e" cm="1">
        <f t="array" ref="W18">_xlfn.IFS(V18=Tablas!$A$87,Tablas!$B$87,V18=Tablas!$A$88,Tablas!$B$88,V18=Tablas!$A$89,Tablas!$B$89,V18=Tablas!$A$90,Tablas!$B$90,V18=Tablas!$A$91,Tablas!$B$91,V18=Tablas!$A$92,Tablas!$B$92,V18=Tablas!$A$93,Tablas!$B$93,V18=Tablas!$A$94,Tablas!$B$94)</f>
        <v>#N/A</v>
      </c>
      <c r="X18" s="84"/>
      <c r="Y18" s="117"/>
      <c r="Z18" s="84"/>
      <c r="AA18" s="84"/>
      <c r="AB18" s="84"/>
      <c r="AC18" s="84"/>
      <c r="AD18" s="84"/>
      <c r="AE18" s="84"/>
      <c r="AF18" s="84"/>
      <c r="AG18" s="84" t="e">
        <f>VLOOKUP(AF18,Tablas!A49:B56,2,FALSE)</f>
        <v>#N/A</v>
      </c>
      <c r="AH18" s="84"/>
      <c r="AI18" s="84" t="e">
        <f>VLOOKUP(AH18,Tablas!A59:B65,2,FALSE)</f>
        <v>#N/A</v>
      </c>
      <c r="AJ18" s="84"/>
      <c r="AK18" s="121" t="e">
        <f>VLOOKUP(AJ18,Tablas!A69:B77,2,FALSE)</f>
        <v>#N/A</v>
      </c>
      <c r="AL18" s="84"/>
      <c r="AM18" s="84" t="e">
        <f>VLOOKUP(AL18,Tablas!A80:B90,2,FALSE)</f>
        <v>#N/A</v>
      </c>
      <c r="AN18" s="84" t="e">
        <f t="shared" si="1"/>
        <v>#N/A</v>
      </c>
      <c r="AO18" s="84" t="e" cm="1">
        <f t="array" ref="AO18">_xlfn.IFS(AN18&lt;=1,Tablas!$A$75,AN18&lt;=5,Tablas!$A$76,AN18&lt;=10,Tablas!$A$77,AN18&lt;=50,Tablas!$A$78,AN18&lt;=100,Tablas!$A$79,AN18&lt;=500,Tablas!$A$80,AN18&lt;=999,Tablas!$A$81,AN18&gt;1000,Tablas!T100)</f>
        <v>#N/A</v>
      </c>
      <c r="AP18" s="84"/>
      <c r="AQ18" s="84"/>
    </row>
    <row r="19" spans="2:43" s="21" customFormat="1" ht="92.25" customHeight="1" x14ac:dyDescent="0.25">
      <c r="B19" s="117"/>
      <c r="C19" s="118"/>
      <c r="D19" s="119"/>
      <c r="E19" s="119"/>
      <c r="F19" s="119"/>
      <c r="G19" s="119"/>
      <c r="H19" s="120"/>
      <c r="I19" s="121"/>
      <c r="J19" s="119"/>
      <c r="K19" s="84"/>
      <c r="L19" s="84"/>
      <c r="M19" s="84"/>
      <c r="N19" s="84" t="e">
        <f>VLOOKUP(M19,Tablas!$A$31:$B$38,2,FALSE)</f>
        <v>#N/A</v>
      </c>
      <c r="O19" s="84"/>
      <c r="P19" s="84" t="e">
        <f>VLOOKUP(O19,Tablas!$A$41:$B$47,2,FALSE)</f>
        <v>#N/A</v>
      </c>
      <c r="Q19" s="84"/>
      <c r="R19" s="121" t="e">
        <f>VLOOKUP(Q19,Tablas!$A$51:$B$59,2,FALSE)</f>
        <v>#N/A</v>
      </c>
      <c r="S19" s="84"/>
      <c r="T19" s="84" t="e">
        <f>VLOOKUP(S19,Tablas!$A$62:$B$72,2,FALSE)</f>
        <v>#N/A</v>
      </c>
      <c r="U19" s="84" t="e">
        <f t="shared" si="0"/>
        <v>#N/A</v>
      </c>
      <c r="V19" s="84" t="e" cm="1">
        <f t="array" ref="V19">_xlfn.IFS(U19&lt;=1,Tablas!$A$75,U19&lt;=5,Tablas!$A$76,U19&lt;=10,Tablas!$A$77,U19&lt;=50,Tablas!$A$78,U19&lt;=100,Tablas!$A$79,U19&lt;=500,Tablas!$A$80,U19&lt;=999,Tablas!$A$81,U19&gt;1000,Tablas!A101)</f>
        <v>#N/A</v>
      </c>
      <c r="W19" s="84" t="e" cm="1">
        <f t="array" ref="W19">_xlfn.IFS(V19=Tablas!$A$87,Tablas!$B$87,V19=Tablas!$A$88,Tablas!$B$88,V19=Tablas!$A$89,Tablas!$B$89,V19=Tablas!$A$90,Tablas!$B$90,V19=Tablas!$A$91,Tablas!$B$91,V19=Tablas!$A$92,Tablas!$B$92,V19=Tablas!$A$93,Tablas!$B$93,V19=Tablas!$A$94,Tablas!$B$94)</f>
        <v>#N/A</v>
      </c>
      <c r="X19" s="84"/>
      <c r="Y19" s="117"/>
      <c r="Z19" s="84"/>
      <c r="AA19" s="84"/>
      <c r="AB19" s="84"/>
      <c r="AC19" s="84"/>
      <c r="AD19" s="84"/>
      <c r="AE19" s="84"/>
      <c r="AF19" s="84"/>
      <c r="AG19" s="84" t="e">
        <f>VLOOKUP(AF19,Tablas!A50:B57,2,FALSE)</f>
        <v>#N/A</v>
      </c>
      <c r="AH19" s="84"/>
      <c r="AI19" s="84" t="e">
        <f>VLOOKUP(AH19,Tablas!A60:B66,2,FALSE)</f>
        <v>#N/A</v>
      </c>
      <c r="AJ19" s="84"/>
      <c r="AK19" s="121" t="e">
        <f>VLOOKUP(AJ19,Tablas!A70:B78,2,FALSE)</f>
        <v>#N/A</v>
      </c>
      <c r="AL19" s="84"/>
      <c r="AM19" s="84" t="e">
        <f>VLOOKUP(AL19,Tablas!A81:B91,2,FALSE)</f>
        <v>#N/A</v>
      </c>
      <c r="AN19" s="84" t="e">
        <f t="shared" si="1"/>
        <v>#N/A</v>
      </c>
      <c r="AO19" s="84" t="e" cm="1">
        <f t="array" ref="AO19">_xlfn.IFS(AN19&lt;=1,Tablas!$A$75,AN19&lt;=5,Tablas!$A$76,AN19&lt;=10,Tablas!$A$77,AN19&lt;=50,Tablas!$A$78,AN19&lt;=100,Tablas!$A$79,AN19&lt;=500,Tablas!$A$80,AN19&lt;=999,Tablas!$A$81,AN19&gt;1000,Tablas!T101)</f>
        <v>#N/A</v>
      </c>
      <c r="AP19" s="84"/>
      <c r="AQ19" s="84"/>
    </row>
    <row r="20" spans="2:43" s="21" customFormat="1" ht="92.25" customHeight="1" x14ac:dyDescent="0.25">
      <c r="B20" s="117"/>
      <c r="C20" s="118"/>
      <c r="D20" s="119"/>
      <c r="E20" s="119"/>
      <c r="F20" s="119"/>
      <c r="G20" s="119"/>
      <c r="H20" s="120"/>
      <c r="I20" s="121"/>
      <c r="J20" s="119"/>
      <c r="K20" s="84"/>
      <c r="L20" s="84"/>
      <c r="M20" s="84"/>
      <c r="N20" s="84" t="e">
        <f>VLOOKUP(M20,Tablas!$A$31:$B$38,2,FALSE)</f>
        <v>#N/A</v>
      </c>
      <c r="O20" s="84"/>
      <c r="P20" s="84" t="e">
        <f>VLOOKUP(O20,Tablas!$A$41:$B$47,2,FALSE)</f>
        <v>#N/A</v>
      </c>
      <c r="Q20" s="84"/>
      <c r="R20" s="121" t="e">
        <f>VLOOKUP(Q20,Tablas!$A$51:$B$59,2,FALSE)</f>
        <v>#N/A</v>
      </c>
      <c r="S20" s="84"/>
      <c r="T20" s="84" t="e">
        <f>VLOOKUP(S20,Tablas!$A$62:$B$72,2,FALSE)</f>
        <v>#N/A</v>
      </c>
      <c r="U20" s="84" t="e">
        <f t="shared" si="0"/>
        <v>#N/A</v>
      </c>
      <c r="V20" s="84" t="e" cm="1">
        <f t="array" ref="V20">_xlfn.IFS(U20&lt;=1,Tablas!$A$75,U20&lt;=5,Tablas!$A$76,U20&lt;=10,Tablas!$A$77,U20&lt;=50,Tablas!$A$78,U20&lt;=100,Tablas!$A$79,U20&lt;=500,Tablas!$A$80,U20&lt;=999,Tablas!$A$81,U20&gt;1000,Tablas!A102)</f>
        <v>#N/A</v>
      </c>
      <c r="W20" s="84" t="e" cm="1">
        <f t="array" ref="W20">_xlfn.IFS(V20=Tablas!$A$87,Tablas!$B$87,V20=Tablas!$A$88,Tablas!$B$88,V20=Tablas!$A$89,Tablas!$B$89,V20=Tablas!$A$90,Tablas!$B$90,V20=Tablas!$A$91,Tablas!$B$91,V20=Tablas!$A$92,Tablas!$B$92,V20=Tablas!$A$93,Tablas!$B$93,V20=Tablas!$A$94,Tablas!$B$94)</f>
        <v>#N/A</v>
      </c>
      <c r="X20" s="84"/>
      <c r="Y20" s="117"/>
      <c r="Z20" s="84"/>
      <c r="AA20" s="84"/>
      <c r="AB20" s="84"/>
      <c r="AC20" s="84"/>
      <c r="AD20" s="84"/>
      <c r="AE20" s="84"/>
      <c r="AF20" s="84"/>
      <c r="AG20" s="84" t="e">
        <f>VLOOKUP(AF20,Tablas!A51:B58,2,FALSE)</f>
        <v>#N/A</v>
      </c>
      <c r="AH20" s="84"/>
      <c r="AI20" s="84" t="e">
        <f>VLOOKUP(AH20,Tablas!A61:B67,2,FALSE)</f>
        <v>#N/A</v>
      </c>
      <c r="AJ20" s="84"/>
      <c r="AK20" s="121" t="e">
        <f>VLOOKUP(AJ20,Tablas!A71:B79,2,FALSE)</f>
        <v>#N/A</v>
      </c>
      <c r="AL20" s="84"/>
      <c r="AM20" s="84" t="e">
        <f>VLOOKUP(AL20,Tablas!A82:B92,2,FALSE)</f>
        <v>#N/A</v>
      </c>
      <c r="AN20" s="84" t="e">
        <f t="shared" si="1"/>
        <v>#N/A</v>
      </c>
      <c r="AO20" s="84" t="e" cm="1">
        <f t="array" ref="AO20">_xlfn.IFS(AN20&lt;=1,Tablas!$A$75,AN20&lt;=5,Tablas!$A$76,AN20&lt;=10,Tablas!$A$77,AN20&lt;=50,Tablas!$A$78,AN20&lt;=100,Tablas!$A$79,AN20&lt;=500,Tablas!$A$80,AN20&lt;=999,Tablas!$A$81,AN20&gt;1000,Tablas!T102)</f>
        <v>#N/A</v>
      </c>
      <c r="AP20" s="84"/>
      <c r="AQ20" s="84"/>
    </row>
    <row r="21" spans="2:43" s="21" customFormat="1" ht="92.25" customHeight="1" x14ac:dyDescent="0.25">
      <c r="B21" s="117"/>
      <c r="C21" s="118"/>
      <c r="D21" s="119"/>
      <c r="E21" s="119"/>
      <c r="F21" s="119"/>
      <c r="G21" s="119"/>
      <c r="H21" s="120"/>
      <c r="I21" s="121"/>
      <c r="J21" s="119"/>
      <c r="K21" s="84"/>
      <c r="L21" s="84"/>
      <c r="M21" s="84"/>
      <c r="N21" s="84" t="e">
        <f>VLOOKUP(M21,Tablas!$A$31:$B$38,2,FALSE)</f>
        <v>#N/A</v>
      </c>
      <c r="O21" s="84"/>
      <c r="P21" s="84" t="e">
        <f>VLOOKUP(O21,Tablas!$A$41:$B$47,2,FALSE)</f>
        <v>#N/A</v>
      </c>
      <c r="Q21" s="84"/>
      <c r="R21" s="121" t="e">
        <f>VLOOKUP(Q21,Tablas!$A$51:$B$59,2,FALSE)</f>
        <v>#N/A</v>
      </c>
      <c r="S21" s="84"/>
      <c r="T21" s="84" t="e">
        <f>VLOOKUP(S21,Tablas!$A$62:$B$72,2,FALSE)</f>
        <v>#N/A</v>
      </c>
      <c r="U21" s="84" t="e">
        <f t="shared" si="0"/>
        <v>#N/A</v>
      </c>
      <c r="V21" s="84" t="e" cm="1">
        <f t="array" ref="V21">_xlfn.IFS(U21&lt;=1,Tablas!$A$75,U21&lt;=5,Tablas!$A$76,U21&lt;=10,Tablas!$A$77,U21&lt;=50,Tablas!$A$78,U21&lt;=100,Tablas!$A$79,U21&lt;=500,Tablas!$A$80,U21&lt;=999,Tablas!$A$81,U21&gt;1000,Tablas!A103)</f>
        <v>#N/A</v>
      </c>
      <c r="W21" s="84" t="e" cm="1">
        <f t="array" ref="W21">_xlfn.IFS(V21=Tablas!$A$87,Tablas!$B$87,V21=Tablas!$A$88,Tablas!$B$88,V21=Tablas!$A$89,Tablas!$B$89,V21=Tablas!$A$90,Tablas!$B$90,V21=Tablas!$A$91,Tablas!$B$91,V21=Tablas!$A$92,Tablas!$B$92,V21=Tablas!$A$93,Tablas!$B$93,V21=Tablas!$A$94,Tablas!$B$94)</f>
        <v>#N/A</v>
      </c>
      <c r="X21" s="84"/>
      <c r="Y21" s="117"/>
      <c r="Z21" s="84"/>
      <c r="AA21" s="84"/>
      <c r="AB21" s="84"/>
      <c r="AC21" s="84"/>
      <c r="AD21" s="84"/>
      <c r="AE21" s="84"/>
      <c r="AF21" s="84"/>
      <c r="AG21" s="84" t="e">
        <f>VLOOKUP(AF21,Tablas!A52:B59,2,FALSE)</f>
        <v>#N/A</v>
      </c>
      <c r="AH21" s="84"/>
      <c r="AI21" s="84" t="e">
        <f>VLOOKUP(AH21,Tablas!A62:B68,2,FALSE)</f>
        <v>#N/A</v>
      </c>
      <c r="AJ21" s="84"/>
      <c r="AK21" s="121" t="e">
        <f>VLOOKUP(AJ21,Tablas!A72:B80,2,FALSE)</f>
        <v>#N/A</v>
      </c>
      <c r="AL21" s="84"/>
      <c r="AM21" s="84" t="e">
        <f>VLOOKUP(AL21,Tablas!A83:B93,2,FALSE)</f>
        <v>#N/A</v>
      </c>
      <c r="AN21" s="84" t="e">
        <f t="shared" si="1"/>
        <v>#N/A</v>
      </c>
      <c r="AO21" s="84" t="e" cm="1">
        <f t="array" ref="AO21">_xlfn.IFS(AN21&lt;=1,Tablas!$A$75,AN21&lt;=5,Tablas!$A$76,AN21&lt;=10,Tablas!$A$77,AN21&lt;=50,Tablas!$A$78,AN21&lt;=100,Tablas!$A$79,AN21&lt;=500,Tablas!$A$80,AN21&lt;=999,Tablas!$A$81,AN21&gt;1000,Tablas!T103)</f>
        <v>#N/A</v>
      </c>
      <c r="AP21" s="84"/>
      <c r="AQ21" s="84"/>
    </row>
    <row r="22" spans="2:43" s="21" customFormat="1" ht="92.25" customHeight="1" x14ac:dyDescent="0.25">
      <c r="B22" s="117"/>
      <c r="C22" s="118"/>
      <c r="D22" s="119"/>
      <c r="E22" s="119"/>
      <c r="F22" s="119"/>
      <c r="G22" s="119"/>
      <c r="H22" s="120"/>
      <c r="I22" s="121"/>
      <c r="J22" s="119"/>
      <c r="K22" s="84"/>
      <c r="L22" s="84"/>
      <c r="M22" s="84"/>
      <c r="N22" s="84" t="e">
        <f>VLOOKUP(M22,Tablas!$A$31:$B$38,2,FALSE)</f>
        <v>#N/A</v>
      </c>
      <c r="O22" s="84"/>
      <c r="P22" s="84" t="e">
        <f>VLOOKUP(O22,Tablas!$A$41:$B$47,2,FALSE)</f>
        <v>#N/A</v>
      </c>
      <c r="Q22" s="84"/>
      <c r="R22" s="121" t="e">
        <f>VLOOKUP(Q22,Tablas!$A$51:$B$59,2,FALSE)</f>
        <v>#N/A</v>
      </c>
      <c r="S22" s="84"/>
      <c r="T22" s="84" t="e">
        <f>VLOOKUP(S22,Tablas!$A$62:$B$72,2,FALSE)</f>
        <v>#N/A</v>
      </c>
      <c r="U22" s="84" t="e">
        <f t="shared" si="0"/>
        <v>#N/A</v>
      </c>
      <c r="V22" s="84" t="e" cm="1">
        <f t="array" ref="V22">_xlfn.IFS(U22&lt;=1,Tablas!$A$75,U22&lt;=5,Tablas!$A$76,U22&lt;=10,Tablas!$A$77,U22&lt;=50,Tablas!$A$78,U22&lt;=100,Tablas!$A$79,U22&lt;=500,Tablas!$A$80,U22&lt;=999,Tablas!$A$81,U22&gt;1000,Tablas!A104)</f>
        <v>#N/A</v>
      </c>
      <c r="W22" s="84" t="e" cm="1">
        <f t="array" ref="W22">_xlfn.IFS(V22=Tablas!$A$87,Tablas!$B$87,V22=Tablas!$A$88,Tablas!$B$88,V22=Tablas!$A$89,Tablas!$B$89,V22=Tablas!$A$90,Tablas!$B$90,V22=Tablas!$A$91,Tablas!$B$91,V22=Tablas!$A$92,Tablas!$B$92,V22=Tablas!$A$93,Tablas!$B$93,V22=Tablas!$A$94,Tablas!$B$94)</f>
        <v>#N/A</v>
      </c>
      <c r="X22" s="84"/>
      <c r="Y22" s="117"/>
      <c r="Z22" s="84"/>
      <c r="AA22" s="84"/>
      <c r="AB22" s="84"/>
      <c r="AC22" s="84"/>
      <c r="AD22" s="84"/>
      <c r="AE22" s="84"/>
      <c r="AF22" s="84"/>
      <c r="AG22" s="84" t="e">
        <f>VLOOKUP(AF22,Tablas!A53:B60,2,FALSE)</f>
        <v>#N/A</v>
      </c>
      <c r="AH22" s="84"/>
      <c r="AI22" s="84" t="e">
        <f>VLOOKUP(AH22,Tablas!A63:B69,2,FALSE)</f>
        <v>#N/A</v>
      </c>
      <c r="AJ22" s="84"/>
      <c r="AK22" s="121" t="e">
        <f>VLOOKUP(AJ22,Tablas!A73:B81,2,FALSE)</f>
        <v>#N/A</v>
      </c>
      <c r="AL22" s="84"/>
      <c r="AM22" s="84" t="e">
        <f>VLOOKUP(AL22,Tablas!A84:B94,2,FALSE)</f>
        <v>#N/A</v>
      </c>
      <c r="AN22" s="84" t="e">
        <f t="shared" si="1"/>
        <v>#N/A</v>
      </c>
      <c r="AO22" s="84" t="e" cm="1">
        <f t="array" ref="AO22">_xlfn.IFS(AN22&lt;=1,Tablas!$A$75,AN22&lt;=5,Tablas!$A$76,AN22&lt;=10,Tablas!$A$77,AN22&lt;=50,Tablas!$A$78,AN22&lt;=100,Tablas!$A$79,AN22&lt;=500,Tablas!$A$80,AN22&lt;=999,Tablas!$A$81,AN22&gt;1000,Tablas!T104)</f>
        <v>#N/A</v>
      </c>
      <c r="AP22" s="84"/>
      <c r="AQ22" s="84"/>
    </row>
    <row r="23" spans="2:43" s="21" customFormat="1" ht="92.25" customHeight="1" x14ac:dyDescent="0.25">
      <c r="B23" s="117"/>
      <c r="C23" s="118"/>
      <c r="D23" s="119"/>
      <c r="E23" s="119"/>
      <c r="F23" s="119"/>
      <c r="G23" s="119"/>
      <c r="H23" s="120"/>
      <c r="I23" s="121"/>
      <c r="J23" s="119"/>
      <c r="K23" s="84"/>
      <c r="L23" s="84"/>
      <c r="M23" s="84"/>
      <c r="N23" s="84" t="e">
        <f>VLOOKUP(M23,Tablas!$A$31:$B$38,2,FALSE)</f>
        <v>#N/A</v>
      </c>
      <c r="O23" s="84"/>
      <c r="P23" s="84" t="e">
        <f>VLOOKUP(O23,Tablas!$A$41:$B$47,2,FALSE)</f>
        <v>#N/A</v>
      </c>
      <c r="Q23" s="84"/>
      <c r="R23" s="121" t="e">
        <f>VLOOKUP(Q23,Tablas!$A$51:$B$59,2,FALSE)</f>
        <v>#N/A</v>
      </c>
      <c r="S23" s="84"/>
      <c r="T23" s="84" t="e">
        <f>VLOOKUP(S23,Tablas!$A$62:$B$72,2,FALSE)</f>
        <v>#N/A</v>
      </c>
      <c r="U23" s="84" t="e">
        <f t="shared" si="0"/>
        <v>#N/A</v>
      </c>
      <c r="V23" s="84" t="e" cm="1">
        <f t="array" ref="V23">_xlfn.IFS(U23&lt;=1,Tablas!$A$75,U23&lt;=5,Tablas!$A$76,U23&lt;=10,Tablas!$A$77,U23&lt;=50,Tablas!$A$78,U23&lt;=100,Tablas!$A$79,U23&lt;=500,Tablas!$A$80,U23&lt;=999,Tablas!$A$81,U23&gt;1000,Tablas!A105)</f>
        <v>#N/A</v>
      </c>
      <c r="W23" s="84" t="e" cm="1">
        <f t="array" ref="W23">_xlfn.IFS(V23=Tablas!$A$87,Tablas!$B$87,V23=Tablas!$A$88,Tablas!$B$88,V23=Tablas!$A$89,Tablas!$B$89,V23=Tablas!$A$90,Tablas!$B$90,V23=Tablas!$A$91,Tablas!$B$91,V23=Tablas!$A$92,Tablas!$B$92,V23=Tablas!$A$93,Tablas!$B$93,V23=Tablas!$A$94,Tablas!$B$94)</f>
        <v>#N/A</v>
      </c>
      <c r="X23" s="84"/>
      <c r="Y23" s="117"/>
      <c r="Z23" s="84"/>
      <c r="AA23" s="84"/>
      <c r="AB23" s="84"/>
      <c r="AC23" s="84"/>
      <c r="AD23" s="84"/>
      <c r="AE23" s="84"/>
      <c r="AF23" s="84"/>
      <c r="AG23" s="84" t="e">
        <f>VLOOKUP(AF23,Tablas!A54:B61,2,FALSE)</f>
        <v>#N/A</v>
      </c>
      <c r="AH23" s="84"/>
      <c r="AI23" s="84" t="e">
        <f>VLOOKUP(AH23,Tablas!A64:B70,2,FALSE)</f>
        <v>#N/A</v>
      </c>
      <c r="AJ23" s="84"/>
      <c r="AK23" s="121" t="e">
        <f>VLOOKUP(AJ23,Tablas!A74:B82,2,FALSE)</f>
        <v>#N/A</v>
      </c>
      <c r="AL23" s="84"/>
      <c r="AM23" s="84" t="e">
        <f>VLOOKUP(AL23,Tablas!A85:B95,2,FALSE)</f>
        <v>#N/A</v>
      </c>
      <c r="AN23" s="84" t="e">
        <f t="shared" si="1"/>
        <v>#N/A</v>
      </c>
      <c r="AO23" s="84" t="e" cm="1">
        <f t="array" ref="AO23">_xlfn.IFS(AN23&lt;=1,Tablas!$A$75,AN23&lt;=5,Tablas!$A$76,AN23&lt;=10,Tablas!$A$77,AN23&lt;=50,Tablas!$A$78,AN23&lt;=100,Tablas!$A$79,AN23&lt;=500,Tablas!$A$80,AN23&lt;=999,Tablas!$A$81,AN23&gt;1000,Tablas!T105)</f>
        <v>#N/A</v>
      </c>
      <c r="AP23" s="84"/>
      <c r="AQ23" s="84"/>
    </row>
    <row r="24" spans="2:43" s="21" customFormat="1" ht="92.25" customHeight="1" x14ac:dyDescent="0.25">
      <c r="B24" s="117"/>
      <c r="C24" s="118"/>
      <c r="D24" s="119"/>
      <c r="E24" s="119"/>
      <c r="F24" s="119"/>
      <c r="G24" s="119"/>
      <c r="H24" s="120"/>
      <c r="I24" s="121"/>
      <c r="J24" s="119"/>
      <c r="K24" s="84"/>
      <c r="L24" s="84"/>
      <c r="M24" s="84"/>
      <c r="N24" s="84" t="e">
        <f>VLOOKUP(M24,Tablas!$A$31:$B$38,2,FALSE)</f>
        <v>#N/A</v>
      </c>
      <c r="O24" s="84"/>
      <c r="P24" s="84" t="e">
        <f>VLOOKUP(O24,Tablas!$A$41:$B$47,2,FALSE)</f>
        <v>#N/A</v>
      </c>
      <c r="Q24" s="84"/>
      <c r="R24" s="121" t="e">
        <f>VLOOKUP(Q24,Tablas!$A$51:$B$59,2,FALSE)</f>
        <v>#N/A</v>
      </c>
      <c r="S24" s="84"/>
      <c r="T24" s="84" t="e">
        <f>VLOOKUP(S24,Tablas!$A$62:$B$72,2,FALSE)</f>
        <v>#N/A</v>
      </c>
      <c r="U24" s="84" t="e">
        <f t="shared" si="0"/>
        <v>#N/A</v>
      </c>
      <c r="V24" s="84" t="e" cm="1">
        <f t="array" ref="V24">_xlfn.IFS(U24&lt;=1,Tablas!$A$75,U24&lt;=5,Tablas!$A$76,U24&lt;=10,Tablas!$A$77,U24&lt;=50,Tablas!$A$78,U24&lt;=100,Tablas!$A$79,U24&lt;=500,Tablas!$A$80,U24&lt;=999,Tablas!$A$81,U24&gt;1000,Tablas!A106)</f>
        <v>#N/A</v>
      </c>
      <c r="W24" s="84" t="e" cm="1">
        <f t="array" ref="W24">_xlfn.IFS(V24=Tablas!$A$87,Tablas!$B$87,V24=Tablas!$A$88,Tablas!$B$88,V24=Tablas!$A$89,Tablas!$B$89,V24=Tablas!$A$90,Tablas!$B$90,V24=Tablas!$A$91,Tablas!$B$91,V24=Tablas!$A$92,Tablas!$B$92,V24=Tablas!$A$93,Tablas!$B$93,V24=Tablas!$A$94,Tablas!$B$94)</f>
        <v>#N/A</v>
      </c>
      <c r="X24" s="84"/>
      <c r="Y24" s="117"/>
      <c r="Z24" s="84"/>
      <c r="AA24" s="84"/>
      <c r="AB24" s="84"/>
      <c r="AC24" s="84"/>
      <c r="AD24" s="84"/>
      <c r="AE24" s="84"/>
      <c r="AF24" s="84"/>
      <c r="AG24" s="84" t="e">
        <f>VLOOKUP(AF24,Tablas!A55:B62,2,FALSE)</f>
        <v>#N/A</v>
      </c>
      <c r="AH24" s="84"/>
      <c r="AI24" s="84" t="e">
        <f>VLOOKUP(AH24,Tablas!A65:B71,2,FALSE)</f>
        <v>#N/A</v>
      </c>
      <c r="AJ24" s="84"/>
      <c r="AK24" s="121" t="e">
        <f>VLOOKUP(AJ24,Tablas!A75:B83,2,FALSE)</f>
        <v>#N/A</v>
      </c>
      <c r="AL24" s="84"/>
      <c r="AM24" s="84" t="e">
        <f>VLOOKUP(AL24,Tablas!A86:B96,2,FALSE)</f>
        <v>#N/A</v>
      </c>
      <c r="AN24" s="84" t="e">
        <f t="shared" si="1"/>
        <v>#N/A</v>
      </c>
      <c r="AO24" s="84" t="e" cm="1">
        <f t="array" ref="AO24">_xlfn.IFS(AN24&lt;=1,Tablas!$A$75,AN24&lt;=5,Tablas!$A$76,AN24&lt;=10,Tablas!$A$77,AN24&lt;=50,Tablas!$A$78,AN24&lt;=100,Tablas!$A$79,AN24&lt;=500,Tablas!$A$80,AN24&lt;=999,Tablas!$A$81,AN24&gt;1000,Tablas!T106)</f>
        <v>#N/A</v>
      </c>
      <c r="AP24" s="84"/>
      <c r="AQ24" s="84"/>
    </row>
    <row r="25" spans="2:43" s="21" customFormat="1" ht="92.25" customHeight="1" x14ac:dyDescent="0.25">
      <c r="B25" s="117"/>
      <c r="C25" s="118"/>
      <c r="D25" s="119"/>
      <c r="E25" s="119"/>
      <c r="F25" s="119"/>
      <c r="G25" s="119"/>
      <c r="H25" s="120"/>
      <c r="I25" s="121"/>
      <c r="J25" s="119"/>
      <c r="K25" s="84"/>
      <c r="L25" s="84"/>
      <c r="M25" s="84"/>
      <c r="N25" s="84" t="e">
        <f>VLOOKUP(M25,Tablas!$A$31:$B$38,2,FALSE)</f>
        <v>#N/A</v>
      </c>
      <c r="O25" s="84"/>
      <c r="P25" s="84" t="e">
        <f>VLOOKUP(O25,Tablas!$A$41:$B$47,2,FALSE)</f>
        <v>#N/A</v>
      </c>
      <c r="Q25" s="84"/>
      <c r="R25" s="121" t="e">
        <f>VLOOKUP(Q25,Tablas!$A$51:$B$59,2,FALSE)</f>
        <v>#N/A</v>
      </c>
      <c r="S25" s="84"/>
      <c r="T25" s="84" t="e">
        <f>VLOOKUP(S25,Tablas!$A$62:$B$72,2,FALSE)</f>
        <v>#N/A</v>
      </c>
      <c r="U25" s="84" t="e">
        <f t="shared" si="0"/>
        <v>#N/A</v>
      </c>
      <c r="V25" s="84" t="e" cm="1">
        <f t="array" ref="V25">_xlfn.IFS(U25&lt;=1,Tablas!$A$75,U25&lt;=5,Tablas!$A$76,U25&lt;=10,Tablas!$A$77,U25&lt;=50,Tablas!$A$78,U25&lt;=100,Tablas!$A$79,U25&lt;=500,Tablas!$A$80,U25&lt;=999,Tablas!$A$81,U25&gt;1000,Tablas!A107)</f>
        <v>#N/A</v>
      </c>
      <c r="W25" s="84" t="e" cm="1">
        <f t="array" ref="W25">_xlfn.IFS(V25=Tablas!$A$87,Tablas!$B$87,V25=Tablas!$A$88,Tablas!$B$88,V25=Tablas!$A$89,Tablas!$B$89,V25=Tablas!$A$90,Tablas!$B$90,V25=Tablas!$A$91,Tablas!$B$91,V25=Tablas!$A$92,Tablas!$B$92,V25=Tablas!$A$93,Tablas!$B$93,V25=Tablas!$A$94,Tablas!$B$94)</f>
        <v>#N/A</v>
      </c>
      <c r="X25" s="84"/>
      <c r="Y25" s="117"/>
      <c r="Z25" s="84"/>
      <c r="AA25" s="84"/>
      <c r="AB25" s="84"/>
      <c r="AC25" s="84"/>
      <c r="AD25" s="84"/>
      <c r="AE25" s="84"/>
      <c r="AF25" s="84"/>
      <c r="AG25" s="84" t="e">
        <f>VLOOKUP(AF25,Tablas!A56:B63,2,FALSE)</f>
        <v>#N/A</v>
      </c>
      <c r="AH25" s="84"/>
      <c r="AI25" s="84" t="e">
        <f>VLOOKUP(AH25,Tablas!A66:B72,2,FALSE)</f>
        <v>#N/A</v>
      </c>
      <c r="AJ25" s="84"/>
      <c r="AK25" s="121" t="e">
        <f>VLOOKUP(AJ25,Tablas!A76:B84,2,FALSE)</f>
        <v>#N/A</v>
      </c>
      <c r="AL25" s="84"/>
      <c r="AM25" s="84" t="e">
        <f>VLOOKUP(AL25,Tablas!A87:B97,2,FALSE)</f>
        <v>#N/A</v>
      </c>
      <c r="AN25" s="84" t="e">
        <f t="shared" si="1"/>
        <v>#N/A</v>
      </c>
      <c r="AO25" s="84" t="e" cm="1">
        <f t="array" ref="AO25">_xlfn.IFS(AN25&lt;=1,Tablas!$A$75,AN25&lt;=5,Tablas!$A$76,AN25&lt;=10,Tablas!$A$77,AN25&lt;=50,Tablas!$A$78,AN25&lt;=100,Tablas!$A$79,AN25&lt;=500,Tablas!$A$80,AN25&lt;=999,Tablas!$A$81,AN25&gt;1000,Tablas!T107)</f>
        <v>#N/A</v>
      </c>
      <c r="AP25" s="84"/>
      <c r="AQ25" s="84"/>
    </row>
    <row r="26" spans="2:43" s="21" customFormat="1" ht="92.25" customHeight="1" x14ac:dyDescent="0.25">
      <c r="B26" s="117"/>
      <c r="C26" s="118"/>
      <c r="D26" s="119"/>
      <c r="E26" s="119"/>
      <c r="F26" s="119"/>
      <c r="G26" s="119"/>
      <c r="H26" s="120"/>
      <c r="I26" s="121"/>
      <c r="J26" s="119"/>
      <c r="K26" s="84"/>
      <c r="L26" s="84"/>
      <c r="M26" s="84"/>
      <c r="N26" s="84" t="e">
        <f>VLOOKUP(M26,Tablas!$A$31:$B$38,2,FALSE)</f>
        <v>#N/A</v>
      </c>
      <c r="O26" s="84"/>
      <c r="P26" s="84" t="e">
        <f>VLOOKUP(O26,Tablas!$A$41:$B$47,2,FALSE)</f>
        <v>#N/A</v>
      </c>
      <c r="Q26" s="84"/>
      <c r="R26" s="121" t="e">
        <f>VLOOKUP(Q26,Tablas!$A$51:$B$59,2,FALSE)</f>
        <v>#N/A</v>
      </c>
      <c r="S26" s="84"/>
      <c r="T26" s="84" t="e">
        <f>VLOOKUP(S26,Tablas!$A$62:$B$72,2,FALSE)</f>
        <v>#N/A</v>
      </c>
      <c r="U26" s="84" t="e">
        <f t="shared" si="0"/>
        <v>#N/A</v>
      </c>
      <c r="V26" s="84" t="e" cm="1">
        <f t="array" ref="V26">_xlfn.IFS(U26&lt;=1,Tablas!$A$75,U26&lt;=5,Tablas!$A$76,U26&lt;=10,Tablas!$A$77,U26&lt;=50,Tablas!$A$78,U26&lt;=100,Tablas!$A$79,U26&lt;=500,Tablas!$A$80,U26&lt;=999,Tablas!$A$81,U26&gt;1000,Tablas!A108)</f>
        <v>#N/A</v>
      </c>
      <c r="W26" s="84" t="e" cm="1">
        <f t="array" ref="W26">_xlfn.IFS(V26=Tablas!$A$87,Tablas!$B$87,V26=Tablas!$A$88,Tablas!$B$88,V26=Tablas!$A$89,Tablas!$B$89,V26=Tablas!$A$90,Tablas!$B$90,V26=Tablas!$A$91,Tablas!$B$91,V26=Tablas!$A$92,Tablas!$B$92,V26=Tablas!$A$93,Tablas!$B$93,V26=Tablas!$A$94,Tablas!$B$94)</f>
        <v>#N/A</v>
      </c>
      <c r="X26" s="84"/>
      <c r="Y26" s="117"/>
      <c r="Z26" s="84"/>
      <c r="AA26" s="84"/>
      <c r="AB26" s="84"/>
      <c r="AC26" s="84"/>
      <c r="AD26" s="84"/>
      <c r="AE26" s="84"/>
      <c r="AF26" s="84"/>
      <c r="AG26" s="84" t="e">
        <f>VLOOKUP(AF26,Tablas!A57:B64,2,FALSE)</f>
        <v>#N/A</v>
      </c>
      <c r="AH26" s="84"/>
      <c r="AI26" s="84" t="e">
        <f>VLOOKUP(AH26,Tablas!A67:B73,2,FALSE)</f>
        <v>#N/A</v>
      </c>
      <c r="AJ26" s="84"/>
      <c r="AK26" s="121" t="e">
        <f>VLOOKUP(AJ26,Tablas!A77:B85,2,FALSE)</f>
        <v>#N/A</v>
      </c>
      <c r="AL26" s="84"/>
      <c r="AM26" s="84" t="e">
        <f>VLOOKUP(AL26,Tablas!A88:B98,2,FALSE)</f>
        <v>#N/A</v>
      </c>
      <c r="AN26" s="84" t="e">
        <f t="shared" si="1"/>
        <v>#N/A</v>
      </c>
      <c r="AO26" s="84" t="e" cm="1">
        <f t="array" ref="AO26">_xlfn.IFS(AN26&lt;=1,Tablas!$A$75,AN26&lt;=5,Tablas!$A$76,AN26&lt;=10,Tablas!$A$77,AN26&lt;=50,Tablas!$A$78,AN26&lt;=100,Tablas!$A$79,AN26&lt;=500,Tablas!$A$80,AN26&lt;=999,Tablas!$A$81,AN26&gt;1000,Tablas!T108)</f>
        <v>#N/A</v>
      </c>
      <c r="AP26" s="84"/>
      <c r="AQ26" s="84"/>
    </row>
    <row r="27" spans="2:43" s="21" customFormat="1" ht="92.25" customHeight="1" x14ac:dyDescent="0.25">
      <c r="B27" s="117"/>
      <c r="C27" s="118"/>
      <c r="D27" s="119"/>
      <c r="E27" s="119"/>
      <c r="F27" s="119"/>
      <c r="G27" s="119"/>
      <c r="H27" s="120"/>
      <c r="I27" s="121"/>
      <c r="J27" s="119"/>
      <c r="K27" s="84"/>
      <c r="L27" s="84"/>
      <c r="M27" s="84"/>
      <c r="N27" s="84" t="e">
        <f>VLOOKUP(M27,Tablas!$A$31:$B$38,2,FALSE)</f>
        <v>#N/A</v>
      </c>
      <c r="O27" s="84"/>
      <c r="P27" s="84" t="e">
        <f>VLOOKUP(O27,Tablas!$A$41:$B$47,2,FALSE)</f>
        <v>#N/A</v>
      </c>
      <c r="Q27" s="84"/>
      <c r="R27" s="121" t="e">
        <f>VLOOKUP(Q27,Tablas!$A$51:$B$59,2,FALSE)</f>
        <v>#N/A</v>
      </c>
      <c r="S27" s="84"/>
      <c r="T27" s="84" t="e">
        <f>VLOOKUP(S27,Tablas!$A$62:$B$72,2,FALSE)</f>
        <v>#N/A</v>
      </c>
      <c r="U27" s="84" t="e">
        <f t="shared" si="0"/>
        <v>#N/A</v>
      </c>
      <c r="V27" s="84" t="e" cm="1">
        <f t="array" ref="V27">_xlfn.IFS(U27&lt;=1,Tablas!$A$75,U27&lt;=5,Tablas!$A$76,U27&lt;=10,Tablas!$A$77,U27&lt;=50,Tablas!$A$78,U27&lt;=100,Tablas!$A$79,U27&lt;=500,Tablas!$A$80,U27&lt;=999,Tablas!$A$81,U27&gt;1000,Tablas!A109)</f>
        <v>#N/A</v>
      </c>
      <c r="W27" s="84" t="e" cm="1">
        <f t="array" ref="W27">_xlfn.IFS(V27=Tablas!$A$87,Tablas!$B$87,V27=Tablas!$A$88,Tablas!$B$88,V27=Tablas!$A$89,Tablas!$B$89,V27=Tablas!$A$90,Tablas!$B$90,V27=Tablas!$A$91,Tablas!$B$91,V27=Tablas!$A$92,Tablas!$B$92,V27=Tablas!$A$93,Tablas!$B$93,V27=Tablas!$A$94,Tablas!$B$94)</f>
        <v>#N/A</v>
      </c>
      <c r="X27" s="84"/>
      <c r="Y27" s="117"/>
      <c r="Z27" s="84"/>
      <c r="AA27" s="84"/>
      <c r="AB27" s="84"/>
      <c r="AC27" s="84"/>
      <c r="AD27" s="84"/>
      <c r="AE27" s="84"/>
      <c r="AF27" s="84"/>
      <c r="AG27" s="84" t="e">
        <f>VLOOKUP(AF27,Tablas!A58:B65,2,FALSE)</f>
        <v>#N/A</v>
      </c>
      <c r="AH27" s="84"/>
      <c r="AI27" s="84" t="e">
        <f>VLOOKUP(AH27,Tablas!A68:B74,2,FALSE)</f>
        <v>#N/A</v>
      </c>
      <c r="AJ27" s="84"/>
      <c r="AK27" s="121" t="e">
        <f>VLOOKUP(AJ27,Tablas!A78:B86,2,FALSE)</f>
        <v>#N/A</v>
      </c>
      <c r="AL27" s="84"/>
      <c r="AM27" s="84" t="e">
        <f>VLOOKUP(AL27,Tablas!A89:B99,2,FALSE)</f>
        <v>#N/A</v>
      </c>
      <c r="AN27" s="84" t="e">
        <f t="shared" si="1"/>
        <v>#N/A</v>
      </c>
      <c r="AO27" s="84" t="e" cm="1">
        <f t="array" ref="AO27">_xlfn.IFS(AN27&lt;=1,Tablas!$A$75,AN27&lt;=5,Tablas!$A$76,AN27&lt;=10,Tablas!$A$77,AN27&lt;=50,Tablas!$A$78,AN27&lt;=100,Tablas!$A$79,AN27&lt;=500,Tablas!$A$80,AN27&lt;=999,Tablas!$A$81,AN27&gt;1000,Tablas!T109)</f>
        <v>#N/A</v>
      </c>
      <c r="AP27" s="84"/>
      <c r="AQ27" s="84"/>
    </row>
    <row r="28" spans="2:43" s="21" customFormat="1" ht="92.25" customHeight="1" x14ac:dyDescent="0.25">
      <c r="B28" s="117"/>
      <c r="C28" s="118"/>
      <c r="D28" s="119"/>
      <c r="E28" s="119"/>
      <c r="F28" s="119"/>
      <c r="G28" s="119"/>
      <c r="H28" s="120"/>
      <c r="I28" s="121"/>
      <c r="J28" s="119"/>
      <c r="K28" s="84"/>
      <c r="L28" s="84"/>
      <c r="M28" s="84"/>
      <c r="N28" s="84" t="e">
        <f>VLOOKUP(M28,Tablas!$A$31:$B$38,2,FALSE)</f>
        <v>#N/A</v>
      </c>
      <c r="O28" s="84"/>
      <c r="P28" s="84" t="e">
        <f>VLOOKUP(O28,Tablas!$A$41:$B$47,2,FALSE)</f>
        <v>#N/A</v>
      </c>
      <c r="Q28" s="84"/>
      <c r="R28" s="121" t="e">
        <f>VLOOKUP(Q28,Tablas!$A$51:$B$59,2,FALSE)</f>
        <v>#N/A</v>
      </c>
      <c r="S28" s="84"/>
      <c r="T28" s="84" t="e">
        <f>VLOOKUP(S28,Tablas!$A$62:$B$72,2,FALSE)</f>
        <v>#N/A</v>
      </c>
      <c r="U28" s="84" t="e">
        <f t="shared" si="0"/>
        <v>#N/A</v>
      </c>
      <c r="V28" s="84" t="e" cm="1">
        <f t="array" ref="V28">_xlfn.IFS(U28&lt;=1,Tablas!$A$75,U28&lt;=5,Tablas!$A$76,U28&lt;=10,Tablas!$A$77,U28&lt;=50,Tablas!$A$78,U28&lt;=100,Tablas!$A$79,U28&lt;=500,Tablas!$A$80,U28&lt;=999,Tablas!$A$81,U28&gt;1000,Tablas!A110)</f>
        <v>#N/A</v>
      </c>
      <c r="W28" s="84" t="e" cm="1">
        <f t="array" ref="W28">_xlfn.IFS(V28=Tablas!$A$87,Tablas!$B$87,V28=Tablas!$A$88,Tablas!$B$88,V28=Tablas!$A$89,Tablas!$B$89,V28=Tablas!$A$90,Tablas!$B$90,V28=Tablas!$A$91,Tablas!$B$91,V28=Tablas!$A$92,Tablas!$B$92,V28=Tablas!$A$93,Tablas!$B$93,V28=Tablas!$A$94,Tablas!$B$94)</f>
        <v>#N/A</v>
      </c>
      <c r="X28" s="84"/>
      <c r="Y28" s="117"/>
      <c r="Z28" s="84"/>
      <c r="AA28" s="84"/>
      <c r="AB28" s="84"/>
      <c r="AC28" s="84"/>
      <c r="AD28" s="84"/>
      <c r="AE28" s="84"/>
      <c r="AF28" s="84"/>
      <c r="AG28" s="84" t="e">
        <f>VLOOKUP(AF28,Tablas!A59:B66,2,FALSE)</f>
        <v>#N/A</v>
      </c>
      <c r="AH28" s="84"/>
      <c r="AI28" s="84" t="e">
        <f>VLOOKUP(AH28,Tablas!A69:B75,2,FALSE)</f>
        <v>#N/A</v>
      </c>
      <c r="AJ28" s="84"/>
      <c r="AK28" s="121" t="e">
        <f>VLOOKUP(AJ28,Tablas!A79:B87,2,FALSE)</f>
        <v>#N/A</v>
      </c>
      <c r="AL28" s="84"/>
      <c r="AM28" s="84" t="e">
        <f>VLOOKUP(AL28,Tablas!A90:B100,2,FALSE)</f>
        <v>#N/A</v>
      </c>
      <c r="AN28" s="84" t="e">
        <f t="shared" si="1"/>
        <v>#N/A</v>
      </c>
      <c r="AO28" s="84" t="e" cm="1">
        <f t="array" ref="AO28">_xlfn.IFS(AN28&lt;=1,Tablas!$A$75,AN28&lt;=5,Tablas!$A$76,AN28&lt;=10,Tablas!$A$77,AN28&lt;=50,Tablas!$A$78,AN28&lt;=100,Tablas!$A$79,AN28&lt;=500,Tablas!$A$80,AN28&lt;=999,Tablas!$A$81,AN28&gt;1000,Tablas!T110)</f>
        <v>#N/A</v>
      </c>
      <c r="AP28" s="84"/>
      <c r="AQ28" s="84"/>
    </row>
    <row r="29" spans="2:43" s="21" customFormat="1" ht="92.25" customHeight="1" x14ac:dyDescent="0.25">
      <c r="B29" s="117"/>
      <c r="C29" s="118"/>
      <c r="D29" s="119"/>
      <c r="E29" s="119"/>
      <c r="F29" s="119"/>
      <c r="G29" s="119"/>
      <c r="H29" s="120"/>
      <c r="I29" s="121"/>
      <c r="J29" s="119"/>
      <c r="K29" s="84"/>
      <c r="L29" s="84"/>
      <c r="M29" s="84"/>
      <c r="N29" s="84" t="e">
        <f>VLOOKUP(M29,Tablas!$A$31:$B$38,2,FALSE)</f>
        <v>#N/A</v>
      </c>
      <c r="O29" s="84"/>
      <c r="P29" s="84" t="e">
        <f>VLOOKUP(O29,Tablas!$A$41:$B$47,2,FALSE)</f>
        <v>#N/A</v>
      </c>
      <c r="Q29" s="84"/>
      <c r="R29" s="121" t="e">
        <f>VLOOKUP(Q29,Tablas!$A$51:$B$59,2,FALSE)</f>
        <v>#N/A</v>
      </c>
      <c r="S29" s="84"/>
      <c r="T29" s="84" t="e">
        <f>VLOOKUP(S29,Tablas!$A$62:$B$72,2,FALSE)</f>
        <v>#N/A</v>
      </c>
      <c r="U29" s="84" t="e">
        <f t="shared" si="0"/>
        <v>#N/A</v>
      </c>
      <c r="V29" s="84" t="e" cm="1">
        <f t="array" ref="V29">_xlfn.IFS(U29&lt;=1,Tablas!$A$75,U29&lt;=5,Tablas!$A$76,U29&lt;=10,Tablas!$A$77,U29&lt;=50,Tablas!$A$78,U29&lt;=100,Tablas!$A$79,U29&lt;=500,Tablas!$A$80,U29&lt;=999,Tablas!$A$81,U29&gt;1000,Tablas!A111)</f>
        <v>#N/A</v>
      </c>
      <c r="W29" s="84" t="e" cm="1">
        <f t="array" ref="W29">_xlfn.IFS(V29=Tablas!$A$87,Tablas!$B$87,V29=Tablas!$A$88,Tablas!$B$88,V29=Tablas!$A$89,Tablas!$B$89,V29=Tablas!$A$90,Tablas!$B$90,V29=Tablas!$A$91,Tablas!$B$91,V29=Tablas!$A$92,Tablas!$B$92,V29=Tablas!$A$93,Tablas!$B$93,V29=Tablas!$A$94,Tablas!$B$94)</f>
        <v>#N/A</v>
      </c>
      <c r="X29" s="84"/>
      <c r="Y29" s="117"/>
      <c r="Z29" s="84"/>
      <c r="AA29" s="84"/>
      <c r="AB29" s="84"/>
      <c r="AC29" s="84"/>
      <c r="AD29" s="84"/>
      <c r="AE29" s="84"/>
      <c r="AF29" s="84"/>
      <c r="AG29" s="84" t="e">
        <f>VLOOKUP(AF29,Tablas!A60:B67,2,FALSE)</f>
        <v>#N/A</v>
      </c>
      <c r="AH29" s="84"/>
      <c r="AI29" s="84" t="e">
        <f>VLOOKUP(AH29,Tablas!A70:B76,2,FALSE)</f>
        <v>#N/A</v>
      </c>
      <c r="AJ29" s="84"/>
      <c r="AK29" s="121" t="e">
        <f>VLOOKUP(AJ29,Tablas!A80:B88,2,FALSE)</f>
        <v>#N/A</v>
      </c>
      <c r="AL29" s="84"/>
      <c r="AM29" s="84" t="e">
        <f>VLOOKUP(AL29,Tablas!A91:B101,2,FALSE)</f>
        <v>#N/A</v>
      </c>
      <c r="AN29" s="84" t="e">
        <f t="shared" si="1"/>
        <v>#N/A</v>
      </c>
      <c r="AO29" s="84" t="e" cm="1">
        <f t="array" ref="AO29">_xlfn.IFS(AN29&lt;=1,Tablas!$A$75,AN29&lt;=5,Tablas!$A$76,AN29&lt;=10,Tablas!$A$77,AN29&lt;=50,Tablas!$A$78,AN29&lt;=100,Tablas!$A$79,AN29&lt;=500,Tablas!$A$80,AN29&lt;=999,Tablas!$A$81,AN29&gt;1000,Tablas!T111)</f>
        <v>#N/A</v>
      </c>
      <c r="AP29" s="84"/>
      <c r="AQ29" s="84"/>
    </row>
    <row r="30" spans="2:43" s="21" customFormat="1" ht="92.25" customHeight="1" x14ac:dyDescent="0.25">
      <c r="B30" s="117"/>
      <c r="C30" s="118"/>
      <c r="D30" s="119"/>
      <c r="E30" s="119"/>
      <c r="F30" s="119"/>
      <c r="G30" s="119"/>
      <c r="H30" s="120"/>
      <c r="I30" s="121"/>
      <c r="J30" s="119"/>
      <c r="K30" s="84"/>
      <c r="L30" s="84"/>
      <c r="M30" s="84"/>
      <c r="N30" s="84" t="e">
        <f>VLOOKUP(M30,Tablas!$A$31:$B$38,2,FALSE)</f>
        <v>#N/A</v>
      </c>
      <c r="O30" s="84"/>
      <c r="P30" s="84" t="e">
        <f>VLOOKUP(O30,Tablas!$A$41:$B$47,2,FALSE)</f>
        <v>#N/A</v>
      </c>
      <c r="Q30" s="84"/>
      <c r="R30" s="121" t="e">
        <f>VLOOKUP(Q30,Tablas!$A$51:$B$59,2,FALSE)</f>
        <v>#N/A</v>
      </c>
      <c r="S30" s="84"/>
      <c r="T30" s="84" t="e">
        <f>VLOOKUP(S30,Tablas!$A$62:$B$72,2,FALSE)</f>
        <v>#N/A</v>
      </c>
      <c r="U30" s="84" t="e">
        <f t="shared" si="0"/>
        <v>#N/A</v>
      </c>
      <c r="V30" s="84" t="e" cm="1">
        <f t="array" ref="V30">_xlfn.IFS(U30&lt;=1,Tablas!$A$75,U30&lt;=5,Tablas!$A$76,U30&lt;=10,Tablas!$A$77,U30&lt;=50,Tablas!$A$78,U30&lt;=100,Tablas!$A$79,U30&lt;=500,Tablas!$A$80,U30&lt;=999,Tablas!$A$81,U30&gt;1000,Tablas!A112)</f>
        <v>#N/A</v>
      </c>
      <c r="W30" s="84" t="e" cm="1">
        <f t="array" ref="W30">_xlfn.IFS(V30=Tablas!$A$87,Tablas!$B$87,V30=Tablas!$A$88,Tablas!$B$88,V30=Tablas!$A$89,Tablas!$B$89,V30=Tablas!$A$90,Tablas!$B$90,V30=Tablas!$A$91,Tablas!$B$91,V30=Tablas!$A$92,Tablas!$B$92,V30=Tablas!$A$93,Tablas!$B$93,V30=Tablas!$A$94,Tablas!$B$94)</f>
        <v>#N/A</v>
      </c>
      <c r="X30" s="84"/>
      <c r="Y30" s="117"/>
      <c r="Z30" s="84"/>
      <c r="AA30" s="84"/>
      <c r="AB30" s="84"/>
      <c r="AC30" s="84"/>
      <c r="AD30" s="84"/>
      <c r="AE30" s="84"/>
      <c r="AF30" s="84"/>
      <c r="AG30" s="84" t="e">
        <f>VLOOKUP(AF30,Tablas!A61:B68,2,FALSE)</f>
        <v>#N/A</v>
      </c>
      <c r="AH30" s="84"/>
      <c r="AI30" s="84" t="e">
        <f>VLOOKUP(AH30,Tablas!A71:B77,2,FALSE)</f>
        <v>#N/A</v>
      </c>
      <c r="AJ30" s="84"/>
      <c r="AK30" s="121" t="e">
        <f>VLOOKUP(AJ30,Tablas!A81:B89,2,FALSE)</f>
        <v>#N/A</v>
      </c>
      <c r="AL30" s="84"/>
      <c r="AM30" s="84" t="e">
        <f>VLOOKUP(AL30,Tablas!A92:B102,2,FALSE)</f>
        <v>#N/A</v>
      </c>
      <c r="AN30" s="84" t="e">
        <f t="shared" si="1"/>
        <v>#N/A</v>
      </c>
      <c r="AO30" s="84" t="e" cm="1">
        <f t="array" ref="AO30">_xlfn.IFS(AN30&lt;=1,Tablas!$A$75,AN30&lt;=5,Tablas!$A$76,AN30&lt;=10,Tablas!$A$77,AN30&lt;=50,Tablas!$A$78,AN30&lt;=100,Tablas!$A$79,AN30&lt;=500,Tablas!$A$80,AN30&lt;=999,Tablas!$A$81,AN30&gt;1000,Tablas!T112)</f>
        <v>#N/A</v>
      </c>
      <c r="AP30" s="84"/>
      <c r="AQ30" s="84"/>
    </row>
    <row r="31" spans="2:43" s="21" customFormat="1" ht="92.25" customHeight="1" x14ac:dyDescent="0.25">
      <c r="B31" s="117"/>
      <c r="C31" s="118"/>
      <c r="D31" s="119"/>
      <c r="E31" s="119"/>
      <c r="F31" s="119"/>
      <c r="G31" s="119"/>
      <c r="H31" s="120"/>
      <c r="I31" s="121"/>
      <c r="J31" s="119"/>
      <c r="K31" s="84"/>
      <c r="L31" s="84"/>
      <c r="M31" s="84"/>
      <c r="N31" s="84" t="e">
        <f>VLOOKUP(M31,Tablas!$A$31:$B$38,2,FALSE)</f>
        <v>#N/A</v>
      </c>
      <c r="O31" s="84"/>
      <c r="P31" s="84" t="e">
        <f>VLOOKUP(O31,Tablas!$A$41:$B$47,2,FALSE)</f>
        <v>#N/A</v>
      </c>
      <c r="Q31" s="84"/>
      <c r="R31" s="121" t="e">
        <f>VLOOKUP(Q31,Tablas!$A$51:$B$59,2,FALSE)</f>
        <v>#N/A</v>
      </c>
      <c r="S31" s="84"/>
      <c r="T31" s="84" t="e">
        <f>VLOOKUP(S31,Tablas!$A$62:$B$72,2,FALSE)</f>
        <v>#N/A</v>
      </c>
      <c r="U31" s="84" t="e">
        <f t="shared" si="0"/>
        <v>#N/A</v>
      </c>
      <c r="V31" s="84" t="e" cm="1">
        <f t="array" ref="V31">_xlfn.IFS(U31&lt;=1,Tablas!$A$75,U31&lt;=5,Tablas!$A$76,U31&lt;=10,Tablas!$A$77,U31&lt;=50,Tablas!$A$78,U31&lt;=100,Tablas!$A$79,U31&lt;=500,Tablas!$A$80,U31&lt;=999,Tablas!$A$81,U31&gt;1000,Tablas!A113)</f>
        <v>#N/A</v>
      </c>
      <c r="W31" s="84" t="e" cm="1">
        <f t="array" ref="W31">_xlfn.IFS(V31=Tablas!$A$87,Tablas!$B$87,V31=Tablas!$A$88,Tablas!$B$88,V31=Tablas!$A$89,Tablas!$B$89,V31=Tablas!$A$90,Tablas!$B$90,V31=Tablas!$A$91,Tablas!$B$91,V31=Tablas!$A$92,Tablas!$B$92,V31=Tablas!$A$93,Tablas!$B$93,V31=Tablas!$A$94,Tablas!$B$94)</f>
        <v>#N/A</v>
      </c>
      <c r="X31" s="84"/>
      <c r="Y31" s="117"/>
      <c r="Z31" s="84"/>
      <c r="AA31" s="84"/>
      <c r="AB31" s="84"/>
      <c r="AC31" s="84"/>
      <c r="AD31" s="84"/>
      <c r="AE31" s="84"/>
      <c r="AF31" s="84"/>
      <c r="AG31" s="84" t="e">
        <f>VLOOKUP(AF31,Tablas!A62:B69,2,FALSE)</f>
        <v>#N/A</v>
      </c>
      <c r="AH31" s="84"/>
      <c r="AI31" s="84" t="e">
        <f>VLOOKUP(AH31,Tablas!A72:B78,2,FALSE)</f>
        <v>#N/A</v>
      </c>
      <c r="AJ31" s="84"/>
      <c r="AK31" s="121" t="e">
        <f>VLOOKUP(AJ31,Tablas!A82:B90,2,FALSE)</f>
        <v>#N/A</v>
      </c>
      <c r="AL31" s="84"/>
      <c r="AM31" s="84" t="e">
        <f>VLOOKUP(AL31,Tablas!A93:B103,2,FALSE)</f>
        <v>#N/A</v>
      </c>
      <c r="AN31" s="84" t="e">
        <f t="shared" si="1"/>
        <v>#N/A</v>
      </c>
      <c r="AO31" s="84" t="e" cm="1">
        <f t="array" ref="AO31">_xlfn.IFS(AN31&lt;=1,Tablas!$A$75,AN31&lt;=5,Tablas!$A$76,AN31&lt;=10,Tablas!$A$77,AN31&lt;=50,Tablas!$A$78,AN31&lt;=100,Tablas!$A$79,AN31&lt;=500,Tablas!$A$80,AN31&lt;=999,Tablas!$A$81,AN31&gt;1000,Tablas!T113)</f>
        <v>#N/A</v>
      </c>
      <c r="AP31" s="84"/>
      <c r="AQ31" s="84"/>
    </row>
    <row r="32" spans="2:43" s="21" customFormat="1" ht="92.25" customHeight="1" x14ac:dyDescent="0.25">
      <c r="B32" s="117"/>
      <c r="C32" s="118"/>
      <c r="D32" s="119"/>
      <c r="E32" s="119"/>
      <c r="F32" s="119"/>
      <c r="G32" s="119"/>
      <c r="H32" s="120"/>
      <c r="I32" s="121"/>
      <c r="J32" s="119"/>
      <c r="K32" s="84"/>
      <c r="L32" s="84"/>
      <c r="M32" s="84"/>
      <c r="N32" s="84" t="e">
        <f>VLOOKUP(M32,Tablas!$A$31:$B$38,2,FALSE)</f>
        <v>#N/A</v>
      </c>
      <c r="O32" s="84"/>
      <c r="P32" s="84" t="e">
        <f>VLOOKUP(O32,Tablas!$A$41:$B$47,2,FALSE)</f>
        <v>#N/A</v>
      </c>
      <c r="Q32" s="84"/>
      <c r="R32" s="121" t="e">
        <f>VLOOKUP(Q32,Tablas!$A$51:$B$59,2,FALSE)</f>
        <v>#N/A</v>
      </c>
      <c r="S32" s="84"/>
      <c r="T32" s="84" t="e">
        <f>VLOOKUP(S32,Tablas!$A$62:$B$72,2,FALSE)</f>
        <v>#N/A</v>
      </c>
      <c r="U32" s="84" t="e">
        <f t="shared" si="0"/>
        <v>#N/A</v>
      </c>
      <c r="V32" s="84" t="e" cm="1">
        <f t="array" ref="V32">_xlfn.IFS(U32&lt;=1,Tablas!$A$75,U32&lt;=5,Tablas!$A$76,U32&lt;=10,Tablas!$A$77,U32&lt;=50,Tablas!$A$78,U32&lt;=100,Tablas!$A$79,U32&lt;=500,Tablas!$A$80,U32&lt;=999,Tablas!$A$81,U32&gt;1000,Tablas!A114)</f>
        <v>#N/A</v>
      </c>
      <c r="W32" s="84" t="e" cm="1">
        <f t="array" ref="W32">_xlfn.IFS(V32=Tablas!$A$87,Tablas!$B$87,V32=Tablas!$A$88,Tablas!$B$88,V32=Tablas!$A$89,Tablas!$B$89,V32=Tablas!$A$90,Tablas!$B$90,V32=Tablas!$A$91,Tablas!$B$91,V32=Tablas!$A$92,Tablas!$B$92,V32=Tablas!$A$93,Tablas!$B$93,V32=Tablas!$A$94,Tablas!$B$94)</f>
        <v>#N/A</v>
      </c>
      <c r="X32" s="84"/>
      <c r="Y32" s="117"/>
      <c r="Z32" s="84"/>
      <c r="AA32" s="84"/>
      <c r="AB32" s="84"/>
      <c r="AC32" s="84"/>
      <c r="AD32" s="84"/>
      <c r="AE32" s="84"/>
      <c r="AF32" s="84"/>
      <c r="AG32" s="84" t="e">
        <f>VLOOKUP(AF32,Tablas!A63:B70,2,FALSE)</f>
        <v>#N/A</v>
      </c>
      <c r="AH32" s="84"/>
      <c r="AI32" s="84" t="e">
        <f>VLOOKUP(AH32,Tablas!A73:B79,2,FALSE)</f>
        <v>#N/A</v>
      </c>
      <c r="AJ32" s="84"/>
      <c r="AK32" s="121" t="e">
        <f>VLOOKUP(AJ32,Tablas!A83:B91,2,FALSE)</f>
        <v>#N/A</v>
      </c>
      <c r="AL32" s="84"/>
      <c r="AM32" s="84" t="e">
        <f>VLOOKUP(AL32,Tablas!A94:B104,2,FALSE)</f>
        <v>#N/A</v>
      </c>
      <c r="AN32" s="84" t="e">
        <f t="shared" si="1"/>
        <v>#N/A</v>
      </c>
      <c r="AO32" s="84" t="e" cm="1">
        <f t="array" ref="AO32">_xlfn.IFS(AN32&lt;=1,Tablas!$A$75,AN32&lt;=5,Tablas!$A$76,AN32&lt;=10,Tablas!$A$77,AN32&lt;=50,Tablas!$A$78,AN32&lt;=100,Tablas!$A$79,AN32&lt;=500,Tablas!$A$80,AN32&lt;=999,Tablas!$A$81,AN32&gt;1000,Tablas!T114)</f>
        <v>#N/A</v>
      </c>
      <c r="AP32" s="84"/>
      <c r="AQ32" s="84"/>
    </row>
    <row r="33" spans="2:43" s="21" customFormat="1" ht="92.25" customHeight="1" x14ac:dyDescent="0.25">
      <c r="B33" s="117"/>
      <c r="C33" s="118"/>
      <c r="D33" s="119"/>
      <c r="E33" s="119"/>
      <c r="F33" s="119"/>
      <c r="G33" s="119"/>
      <c r="H33" s="120"/>
      <c r="I33" s="121"/>
      <c r="J33" s="119"/>
      <c r="K33" s="84"/>
      <c r="L33" s="84"/>
      <c r="M33" s="84"/>
      <c r="N33" s="84" t="e">
        <f>VLOOKUP(M33,Tablas!$A$31:$B$38,2,FALSE)</f>
        <v>#N/A</v>
      </c>
      <c r="O33" s="84"/>
      <c r="P33" s="84" t="e">
        <f>VLOOKUP(O33,Tablas!$A$41:$B$47,2,FALSE)</f>
        <v>#N/A</v>
      </c>
      <c r="Q33" s="84"/>
      <c r="R33" s="121" t="e">
        <f>VLOOKUP(Q33,Tablas!$A$51:$B$59,2,FALSE)</f>
        <v>#N/A</v>
      </c>
      <c r="S33" s="84"/>
      <c r="T33" s="84" t="e">
        <f>VLOOKUP(S33,Tablas!$A$62:$B$72,2,FALSE)</f>
        <v>#N/A</v>
      </c>
      <c r="U33" s="84" t="e">
        <f t="shared" si="0"/>
        <v>#N/A</v>
      </c>
      <c r="V33" s="84" t="e" cm="1">
        <f t="array" ref="V33">_xlfn.IFS(U33&lt;=1,Tablas!$A$75,U33&lt;=5,Tablas!$A$76,U33&lt;=10,Tablas!$A$77,U33&lt;=50,Tablas!$A$78,U33&lt;=100,Tablas!$A$79,U33&lt;=500,Tablas!$A$80,U33&lt;=999,Tablas!$A$81,U33&gt;1000,Tablas!A115)</f>
        <v>#N/A</v>
      </c>
      <c r="W33" s="84" t="e" cm="1">
        <f t="array" ref="W33">_xlfn.IFS(V33=Tablas!$A$87,Tablas!$B$87,V33=Tablas!$A$88,Tablas!$B$88,V33=Tablas!$A$89,Tablas!$B$89,V33=Tablas!$A$90,Tablas!$B$90,V33=Tablas!$A$91,Tablas!$B$91,V33=Tablas!$A$92,Tablas!$B$92,V33=Tablas!$A$93,Tablas!$B$93,V33=Tablas!$A$94,Tablas!$B$94)</f>
        <v>#N/A</v>
      </c>
      <c r="X33" s="84"/>
      <c r="Y33" s="117"/>
      <c r="Z33" s="84"/>
      <c r="AA33" s="84"/>
      <c r="AB33" s="84"/>
      <c r="AC33" s="84"/>
      <c r="AD33" s="84"/>
      <c r="AE33" s="84"/>
      <c r="AF33" s="84"/>
      <c r="AG33" s="84" t="e">
        <f>VLOOKUP(AF33,Tablas!A64:B71,2,FALSE)</f>
        <v>#N/A</v>
      </c>
      <c r="AH33" s="84"/>
      <c r="AI33" s="84" t="e">
        <f>VLOOKUP(AH33,Tablas!A74:B80,2,FALSE)</f>
        <v>#N/A</v>
      </c>
      <c r="AJ33" s="84"/>
      <c r="AK33" s="121" t="e">
        <f>VLOOKUP(AJ33,Tablas!A84:B92,2,FALSE)</f>
        <v>#N/A</v>
      </c>
      <c r="AL33" s="84"/>
      <c r="AM33" s="84" t="e">
        <f>VLOOKUP(AL33,Tablas!A95:B105,2,FALSE)</f>
        <v>#N/A</v>
      </c>
      <c r="AN33" s="84" t="e">
        <f t="shared" si="1"/>
        <v>#N/A</v>
      </c>
      <c r="AO33" s="84" t="e" cm="1">
        <f t="array" ref="AO33">_xlfn.IFS(AN33&lt;=1,Tablas!$A$75,AN33&lt;=5,Tablas!$A$76,AN33&lt;=10,Tablas!$A$77,AN33&lt;=50,Tablas!$A$78,AN33&lt;=100,Tablas!$A$79,AN33&lt;=500,Tablas!$A$80,AN33&lt;=999,Tablas!$A$81,AN33&gt;1000,Tablas!T115)</f>
        <v>#N/A</v>
      </c>
      <c r="AP33" s="84"/>
      <c r="AQ33" s="84"/>
    </row>
    <row r="34" spans="2:43" s="21" customFormat="1" ht="92.25" customHeight="1" x14ac:dyDescent="0.25">
      <c r="B34" s="117"/>
      <c r="C34" s="118"/>
      <c r="D34" s="119"/>
      <c r="E34" s="119"/>
      <c r="F34" s="119"/>
      <c r="G34" s="119"/>
      <c r="H34" s="120"/>
      <c r="I34" s="121"/>
      <c r="J34" s="119"/>
      <c r="K34" s="84"/>
      <c r="L34" s="84"/>
      <c r="M34" s="84"/>
      <c r="N34" s="84" t="e">
        <f>VLOOKUP(M34,Tablas!$A$31:$B$38,2,FALSE)</f>
        <v>#N/A</v>
      </c>
      <c r="O34" s="84"/>
      <c r="P34" s="84" t="e">
        <f>VLOOKUP(O34,Tablas!$A$41:$B$47,2,FALSE)</f>
        <v>#N/A</v>
      </c>
      <c r="Q34" s="84"/>
      <c r="R34" s="121" t="e">
        <f>VLOOKUP(Q34,Tablas!$A$51:$B$59,2,FALSE)</f>
        <v>#N/A</v>
      </c>
      <c r="S34" s="84"/>
      <c r="T34" s="84" t="e">
        <f>VLOOKUP(S34,Tablas!$A$62:$B$72,2,FALSE)</f>
        <v>#N/A</v>
      </c>
      <c r="U34" s="84" t="e">
        <f t="shared" si="0"/>
        <v>#N/A</v>
      </c>
      <c r="V34" s="84" t="e" cm="1">
        <f t="array" ref="V34">_xlfn.IFS(U34&lt;=1,Tablas!$A$75,U34&lt;=5,Tablas!$A$76,U34&lt;=10,Tablas!$A$77,U34&lt;=50,Tablas!$A$78,U34&lt;=100,Tablas!$A$79,U34&lt;=500,Tablas!$A$80,U34&lt;=999,Tablas!$A$81,U34&gt;1000,Tablas!A116)</f>
        <v>#N/A</v>
      </c>
      <c r="W34" s="84" t="e" cm="1">
        <f t="array" ref="W34">_xlfn.IFS(V34=Tablas!$A$87,Tablas!$B$87,V34=Tablas!$A$88,Tablas!$B$88,V34=Tablas!$A$89,Tablas!$B$89,V34=Tablas!$A$90,Tablas!$B$90,V34=Tablas!$A$91,Tablas!$B$91,V34=Tablas!$A$92,Tablas!$B$92,V34=Tablas!$A$93,Tablas!$B$93,V34=Tablas!$A$94,Tablas!$B$94)</f>
        <v>#N/A</v>
      </c>
      <c r="X34" s="84"/>
      <c r="Y34" s="117"/>
      <c r="Z34" s="84"/>
      <c r="AA34" s="84"/>
      <c r="AB34" s="84"/>
      <c r="AC34" s="84"/>
      <c r="AD34" s="84"/>
      <c r="AE34" s="84"/>
      <c r="AF34" s="84"/>
      <c r="AG34" s="84" t="e">
        <f>VLOOKUP(AF34,Tablas!A65:B72,2,FALSE)</f>
        <v>#N/A</v>
      </c>
      <c r="AH34" s="84"/>
      <c r="AI34" s="84" t="e">
        <f>VLOOKUP(AH34,Tablas!A75:B81,2,FALSE)</f>
        <v>#N/A</v>
      </c>
      <c r="AJ34" s="84"/>
      <c r="AK34" s="121" t="e">
        <f>VLOOKUP(AJ34,Tablas!A85:B93,2,FALSE)</f>
        <v>#N/A</v>
      </c>
      <c r="AL34" s="84"/>
      <c r="AM34" s="84" t="e">
        <f>VLOOKUP(AL34,Tablas!A96:B106,2,FALSE)</f>
        <v>#N/A</v>
      </c>
      <c r="AN34" s="84" t="e">
        <f t="shared" si="1"/>
        <v>#N/A</v>
      </c>
      <c r="AO34" s="84" t="e" cm="1">
        <f t="array" ref="AO34">_xlfn.IFS(AN34&lt;=1,Tablas!$A$75,AN34&lt;=5,Tablas!$A$76,AN34&lt;=10,Tablas!$A$77,AN34&lt;=50,Tablas!$A$78,AN34&lt;=100,Tablas!$A$79,AN34&lt;=500,Tablas!$A$80,AN34&lt;=999,Tablas!$A$81,AN34&gt;1000,Tablas!T116)</f>
        <v>#N/A</v>
      </c>
      <c r="AP34" s="84"/>
      <c r="AQ34" s="84"/>
    </row>
    <row r="35" spans="2:43" s="21" customFormat="1" ht="92.25" customHeight="1" x14ac:dyDescent="0.25">
      <c r="B35" s="117"/>
      <c r="C35" s="118"/>
      <c r="D35" s="119"/>
      <c r="E35" s="119"/>
      <c r="F35" s="119"/>
      <c r="G35" s="119"/>
      <c r="H35" s="120"/>
      <c r="I35" s="121"/>
      <c r="J35" s="119"/>
      <c r="K35" s="84"/>
      <c r="L35" s="84"/>
      <c r="M35" s="84"/>
      <c r="N35" s="84" t="e">
        <f>VLOOKUP(M35,Tablas!$A$31:$B$38,2,FALSE)</f>
        <v>#N/A</v>
      </c>
      <c r="O35" s="84"/>
      <c r="P35" s="84" t="e">
        <f>VLOOKUP(O35,Tablas!$A$41:$B$47,2,FALSE)</f>
        <v>#N/A</v>
      </c>
      <c r="Q35" s="84"/>
      <c r="R35" s="121" t="e">
        <f>VLOOKUP(Q35,Tablas!$A$51:$B$59,2,FALSE)</f>
        <v>#N/A</v>
      </c>
      <c r="S35" s="84"/>
      <c r="T35" s="84" t="e">
        <f>VLOOKUP(S35,Tablas!$A$62:$B$72,2,FALSE)</f>
        <v>#N/A</v>
      </c>
      <c r="U35" s="84" t="e">
        <f t="shared" si="0"/>
        <v>#N/A</v>
      </c>
      <c r="V35" s="84" t="e" cm="1">
        <f t="array" ref="V35">_xlfn.IFS(U35&lt;=1,Tablas!$A$75,U35&lt;=5,Tablas!$A$76,U35&lt;=10,Tablas!$A$77,U35&lt;=50,Tablas!$A$78,U35&lt;=100,Tablas!$A$79,U35&lt;=500,Tablas!$A$80,U35&lt;=999,Tablas!$A$81,U35&gt;1000,Tablas!A117)</f>
        <v>#N/A</v>
      </c>
      <c r="W35" s="84" t="e" cm="1">
        <f t="array" ref="W35">_xlfn.IFS(V35=Tablas!$A$87,Tablas!$B$87,V35=Tablas!$A$88,Tablas!$B$88,V35=Tablas!$A$89,Tablas!$B$89,V35=Tablas!$A$90,Tablas!$B$90,V35=Tablas!$A$91,Tablas!$B$91,V35=Tablas!$A$92,Tablas!$B$92,V35=Tablas!$A$93,Tablas!$B$93,V35=Tablas!$A$94,Tablas!$B$94)</f>
        <v>#N/A</v>
      </c>
      <c r="X35" s="84"/>
      <c r="Y35" s="117"/>
      <c r="Z35" s="84"/>
      <c r="AA35" s="84"/>
      <c r="AB35" s="84"/>
      <c r="AC35" s="84"/>
      <c r="AD35" s="84"/>
      <c r="AE35" s="84"/>
      <c r="AF35" s="84"/>
      <c r="AG35" s="84" t="e">
        <f>VLOOKUP(AF35,Tablas!A66:B73,2,FALSE)</f>
        <v>#N/A</v>
      </c>
      <c r="AH35" s="84"/>
      <c r="AI35" s="84" t="e">
        <f>VLOOKUP(AH35,Tablas!A76:B82,2,FALSE)</f>
        <v>#N/A</v>
      </c>
      <c r="AJ35" s="84"/>
      <c r="AK35" s="121" t="e">
        <f>VLOOKUP(AJ35,Tablas!A86:B94,2,FALSE)</f>
        <v>#N/A</v>
      </c>
      <c r="AL35" s="84"/>
      <c r="AM35" s="84" t="e">
        <f>VLOOKUP(AL35,Tablas!A97:B107,2,FALSE)</f>
        <v>#N/A</v>
      </c>
      <c r="AN35" s="84" t="e">
        <f t="shared" si="1"/>
        <v>#N/A</v>
      </c>
      <c r="AO35" s="84" t="e" cm="1">
        <f t="array" ref="AO35">_xlfn.IFS(AN35&lt;=1,Tablas!$A$75,AN35&lt;=5,Tablas!$A$76,AN35&lt;=10,Tablas!$A$77,AN35&lt;=50,Tablas!$A$78,AN35&lt;=100,Tablas!$A$79,AN35&lt;=500,Tablas!$A$80,AN35&lt;=999,Tablas!$A$81,AN35&gt;1000,Tablas!T117)</f>
        <v>#N/A</v>
      </c>
      <c r="AP35" s="84"/>
      <c r="AQ35" s="84"/>
    </row>
    <row r="36" spans="2:43" s="21" customFormat="1" ht="92.25" customHeight="1" x14ac:dyDescent="0.25">
      <c r="B36" s="117"/>
      <c r="C36" s="118"/>
      <c r="D36" s="119"/>
      <c r="E36" s="119"/>
      <c r="F36" s="119"/>
      <c r="G36" s="119"/>
      <c r="H36" s="120"/>
      <c r="I36" s="121"/>
      <c r="J36" s="119"/>
      <c r="K36" s="84"/>
      <c r="L36" s="84"/>
      <c r="M36" s="84"/>
      <c r="N36" s="84" t="e">
        <f>VLOOKUP(M36,Tablas!$A$31:$B$38,2,FALSE)</f>
        <v>#N/A</v>
      </c>
      <c r="O36" s="84"/>
      <c r="P36" s="84" t="e">
        <f>VLOOKUP(O36,Tablas!$A$41:$B$47,2,FALSE)</f>
        <v>#N/A</v>
      </c>
      <c r="Q36" s="84"/>
      <c r="R36" s="121" t="e">
        <f>VLOOKUP(Q36,Tablas!$A$51:$B$59,2,FALSE)</f>
        <v>#N/A</v>
      </c>
      <c r="S36" s="84"/>
      <c r="T36" s="84" t="e">
        <f>VLOOKUP(S36,Tablas!$A$62:$B$72,2,FALSE)</f>
        <v>#N/A</v>
      </c>
      <c r="U36" s="84" t="e">
        <f t="shared" si="0"/>
        <v>#N/A</v>
      </c>
      <c r="V36" s="84" t="e" cm="1">
        <f t="array" ref="V36">_xlfn.IFS(U36&lt;=1,Tablas!$A$75,U36&lt;=5,Tablas!$A$76,U36&lt;=10,Tablas!$A$77,U36&lt;=50,Tablas!$A$78,U36&lt;=100,Tablas!$A$79,U36&lt;=500,Tablas!$A$80,U36&lt;=999,Tablas!$A$81,U36&gt;1000,Tablas!A118)</f>
        <v>#N/A</v>
      </c>
      <c r="W36" s="84" t="e" cm="1">
        <f t="array" ref="W36">_xlfn.IFS(V36=Tablas!$A$87,Tablas!$B$87,V36=Tablas!$A$88,Tablas!$B$88,V36=Tablas!$A$89,Tablas!$B$89,V36=Tablas!$A$90,Tablas!$B$90,V36=Tablas!$A$91,Tablas!$B$91,V36=Tablas!$A$92,Tablas!$B$92,V36=Tablas!$A$93,Tablas!$B$93,V36=Tablas!$A$94,Tablas!$B$94)</f>
        <v>#N/A</v>
      </c>
      <c r="X36" s="84"/>
      <c r="Y36" s="117"/>
      <c r="Z36" s="84"/>
      <c r="AA36" s="84"/>
      <c r="AB36" s="84"/>
      <c r="AC36" s="84"/>
      <c r="AD36" s="84"/>
      <c r="AE36" s="84"/>
      <c r="AF36" s="84"/>
      <c r="AG36" s="84" t="e">
        <f>VLOOKUP(AF36,Tablas!A67:B74,2,FALSE)</f>
        <v>#N/A</v>
      </c>
      <c r="AH36" s="84"/>
      <c r="AI36" s="84" t="e">
        <f>VLOOKUP(AH36,Tablas!A77:B83,2,FALSE)</f>
        <v>#N/A</v>
      </c>
      <c r="AJ36" s="84"/>
      <c r="AK36" s="121" t="e">
        <f>VLOOKUP(AJ36,Tablas!A87:B95,2,FALSE)</f>
        <v>#N/A</v>
      </c>
      <c r="AL36" s="84"/>
      <c r="AM36" s="84" t="e">
        <f>VLOOKUP(AL36,Tablas!A98:B108,2,FALSE)</f>
        <v>#N/A</v>
      </c>
      <c r="AN36" s="84" t="e">
        <f t="shared" si="1"/>
        <v>#N/A</v>
      </c>
      <c r="AO36" s="84" t="e" cm="1">
        <f t="array" ref="AO36">_xlfn.IFS(AN36&lt;=1,Tablas!$A$75,AN36&lt;=5,Tablas!$A$76,AN36&lt;=10,Tablas!$A$77,AN36&lt;=50,Tablas!$A$78,AN36&lt;=100,Tablas!$A$79,AN36&lt;=500,Tablas!$A$80,AN36&lt;=999,Tablas!$A$81,AN36&gt;1000,Tablas!T118)</f>
        <v>#N/A</v>
      </c>
      <c r="AP36" s="84"/>
      <c r="AQ36" s="84"/>
    </row>
    <row r="37" spans="2:43" s="21" customFormat="1" ht="92.25" customHeight="1" x14ac:dyDescent="0.25">
      <c r="B37" s="117"/>
      <c r="C37" s="118"/>
      <c r="D37" s="119"/>
      <c r="E37" s="119"/>
      <c r="F37" s="119"/>
      <c r="G37" s="119"/>
      <c r="H37" s="120"/>
      <c r="I37" s="121"/>
      <c r="J37" s="119"/>
      <c r="K37" s="84"/>
      <c r="L37" s="84"/>
      <c r="M37" s="84"/>
      <c r="N37" s="84" t="e">
        <f>VLOOKUP(M37,Tablas!$A$31:$B$38,2,FALSE)</f>
        <v>#N/A</v>
      </c>
      <c r="O37" s="84"/>
      <c r="P37" s="84" t="e">
        <f>VLOOKUP(O37,Tablas!$A$41:$B$47,2,FALSE)</f>
        <v>#N/A</v>
      </c>
      <c r="Q37" s="84"/>
      <c r="R37" s="121" t="e">
        <f>VLOOKUP(Q37,Tablas!$A$51:$B$59,2,FALSE)</f>
        <v>#N/A</v>
      </c>
      <c r="S37" s="84"/>
      <c r="T37" s="84" t="e">
        <f>VLOOKUP(S37,Tablas!$A$62:$B$72,2,FALSE)</f>
        <v>#N/A</v>
      </c>
      <c r="U37" s="84" t="e">
        <f t="shared" si="0"/>
        <v>#N/A</v>
      </c>
      <c r="V37" s="84" t="e" cm="1">
        <f t="array" ref="V37">_xlfn.IFS(U37&lt;=1,Tablas!$A$75,U37&lt;=5,Tablas!$A$76,U37&lt;=10,Tablas!$A$77,U37&lt;=50,Tablas!$A$78,U37&lt;=100,Tablas!$A$79,U37&lt;=500,Tablas!$A$80,U37&lt;=999,Tablas!$A$81,U37&gt;1000,Tablas!A119)</f>
        <v>#N/A</v>
      </c>
      <c r="W37" s="84" t="e" cm="1">
        <f t="array" ref="W37">_xlfn.IFS(V37=Tablas!$A$87,Tablas!$B$87,V37=Tablas!$A$88,Tablas!$B$88,V37=Tablas!$A$89,Tablas!$B$89,V37=Tablas!$A$90,Tablas!$B$90,V37=Tablas!$A$91,Tablas!$B$91,V37=Tablas!$A$92,Tablas!$B$92,V37=Tablas!$A$93,Tablas!$B$93,V37=Tablas!$A$94,Tablas!$B$94)</f>
        <v>#N/A</v>
      </c>
      <c r="X37" s="84"/>
      <c r="Y37" s="117"/>
      <c r="Z37" s="84"/>
      <c r="AA37" s="84"/>
      <c r="AB37" s="84"/>
      <c r="AC37" s="84"/>
      <c r="AD37" s="84"/>
      <c r="AE37" s="84"/>
      <c r="AF37" s="84"/>
      <c r="AG37" s="84" t="e">
        <f>VLOOKUP(AF37,Tablas!A68:B75,2,FALSE)</f>
        <v>#N/A</v>
      </c>
      <c r="AH37" s="84"/>
      <c r="AI37" s="84" t="e">
        <f>VLOOKUP(AH37,Tablas!A78:B84,2,FALSE)</f>
        <v>#N/A</v>
      </c>
      <c r="AJ37" s="84"/>
      <c r="AK37" s="121" t="e">
        <f>VLOOKUP(AJ37,Tablas!A88:B96,2,FALSE)</f>
        <v>#N/A</v>
      </c>
      <c r="AL37" s="84"/>
      <c r="AM37" s="84" t="e">
        <f>VLOOKUP(AL37,Tablas!A99:B109,2,FALSE)</f>
        <v>#N/A</v>
      </c>
      <c r="AN37" s="84" t="e">
        <f t="shared" si="1"/>
        <v>#N/A</v>
      </c>
      <c r="AO37" s="84" t="e" cm="1">
        <f t="array" ref="AO37">_xlfn.IFS(AN37&lt;=1,Tablas!$A$75,AN37&lt;=5,Tablas!$A$76,AN37&lt;=10,Tablas!$A$77,AN37&lt;=50,Tablas!$A$78,AN37&lt;=100,Tablas!$A$79,AN37&lt;=500,Tablas!$A$80,AN37&lt;=999,Tablas!$A$81,AN37&gt;1000,Tablas!T119)</f>
        <v>#N/A</v>
      </c>
      <c r="AP37" s="84"/>
      <c r="AQ37" s="84"/>
    </row>
    <row r="38" spans="2:43" s="21" customFormat="1" ht="92.25" customHeight="1" x14ac:dyDescent="0.25">
      <c r="B38" s="117"/>
      <c r="C38" s="118"/>
      <c r="D38" s="119"/>
      <c r="E38" s="119"/>
      <c r="F38" s="119"/>
      <c r="G38" s="119"/>
      <c r="H38" s="120"/>
      <c r="I38" s="121"/>
      <c r="J38" s="119"/>
      <c r="K38" s="84"/>
      <c r="L38" s="84"/>
      <c r="M38" s="84"/>
      <c r="N38" s="84" t="e">
        <f>VLOOKUP(M38,Tablas!$A$31:$B$38,2,FALSE)</f>
        <v>#N/A</v>
      </c>
      <c r="O38" s="84"/>
      <c r="P38" s="84" t="e">
        <f>VLOOKUP(O38,Tablas!$A$41:$B$47,2,FALSE)</f>
        <v>#N/A</v>
      </c>
      <c r="Q38" s="84"/>
      <c r="R38" s="121" t="e">
        <f>VLOOKUP(Q38,Tablas!$A$51:$B$59,2,FALSE)</f>
        <v>#N/A</v>
      </c>
      <c r="S38" s="84"/>
      <c r="T38" s="84" t="e">
        <f>VLOOKUP(S38,Tablas!$A$62:$B$72,2,FALSE)</f>
        <v>#N/A</v>
      </c>
      <c r="U38" s="84" t="e">
        <f t="shared" si="0"/>
        <v>#N/A</v>
      </c>
      <c r="V38" s="84" t="e" cm="1">
        <f t="array" ref="V38">_xlfn.IFS(U38&lt;=1,Tablas!$A$75,U38&lt;=5,Tablas!$A$76,U38&lt;=10,Tablas!$A$77,U38&lt;=50,Tablas!$A$78,U38&lt;=100,Tablas!$A$79,U38&lt;=500,Tablas!$A$80,U38&lt;=999,Tablas!$A$81,U38&gt;1000,Tablas!A120)</f>
        <v>#N/A</v>
      </c>
      <c r="W38" s="84" t="e" cm="1">
        <f t="array" ref="W38">_xlfn.IFS(V38=Tablas!$A$87,Tablas!$B$87,V38=Tablas!$A$88,Tablas!$B$88,V38=Tablas!$A$89,Tablas!$B$89,V38=Tablas!$A$90,Tablas!$B$90,V38=Tablas!$A$91,Tablas!$B$91,V38=Tablas!$A$92,Tablas!$B$92,V38=Tablas!$A$93,Tablas!$B$93,V38=Tablas!$A$94,Tablas!$B$94)</f>
        <v>#N/A</v>
      </c>
      <c r="X38" s="84"/>
      <c r="Y38" s="117"/>
      <c r="Z38" s="84"/>
      <c r="AA38" s="84"/>
      <c r="AB38" s="84"/>
      <c r="AC38" s="84"/>
      <c r="AD38" s="84"/>
      <c r="AE38" s="84"/>
      <c r="AF38" s="84"/>
      <c r="AG38" s="84" t="e">
        <f>VLOOKUP(AF38,Tablas!A69:B76,2,FALSE)</f>
        <v>#N/A</v>
      </c>
      <c r="AH38" s="84"/>
      <c r="AI38" s="84" t="e">
        <f>VLOOKUP(AH38,Tablas!A79:B85,2,FALSE)</f>
        <v>#N/A</v>
      </c>
      <c r="AJ38" s="84"/>
      <c r="AK38" s="121" t="e">
        <f>VLOOKUP(AJ38,Tablas!A89:B97,2,FALSE)</f>
        <v>#N/A</v>
      </c>
      <c r="AL38" s="84"/>
      <c r="AM38" s="84" t="e">
        <f>VLOOKUP(AL38,Tablas!A100:B110,2,FALSE)</f>
        <v>#N/A</v>
      </c>
      <c r="AN38" s="84" t="e">
        <f t="shared" si="1"/>
        <v>#N/A</v>
      </c>
      <c r="AO38" s="84" t="e" cm="1">
        <f t="array" ref="AO38">_xlfn.IFS(AN38&lt;=1,Tablas!$A$75,AN38&lt;=5,Tablas!$A$76,AN38&lt;=10,Tablas!$A$77,AN38&lt;=50,Tablas!$A$78,AN38&lt;=100,Tablas!$A$79,AN38&lt;=500,Tablas!$A$80,AN38&lt;=999,Tablas!$A$81,AN38&gt;1000,Tablas!T120)</f>
        <v>#N/A</v>
      </c>
      <c r="AP38" s="84"/>
      <c r="AQ38" s="84"/>
    </row>
    <row r="39" spans="2:43" s="21" customFormat="1" ht="92.25" customHeight="1" x14ac:dyDescent="0.25">
      <c r="B39" s="117"/>
      <c r="C39" s="118"/>
      <c r="D39" s="119"/>
      <c r="E39" s="119"/>
      <c r="F39" s="119"/>
      <c r="G39" s="119"/>
      <c r="H39" s="120"/>
      <c r="I39" s="121"/>
      <c r="J39" s="119"/>
      <c r="K39" s="84"/>
      <c r="L39" s="84"/>
      <c r="M39" s="84"/>
      <c r="N39" s="84" t="e">
        <f>VLOOKUP(M39,Tablas!$A$31:$B$38,2,FALSE)</f>
        <v>#N/A</v>
      </c>
      <c r="O39" s="84"/>
      <c r="P39" s="84" t="e">
        <f>VLOOKUP(O39,Tablas!$A$41:$B$47,2,FALSE)</f>
        <v>#N/A</v>
      </c>
      <c r="Q39" s="84"/>
      <c r="R39" s="121" t="e">
        <f>VLOOKUP(Q39,Tablas!$A$51:$B$59,2,FALSE)</f>
        <v>#N/A</v>
      </c>
      <c r="S39" s="84"/>
      <c r="T39" s="84" t="e">
        <f>VLOOKUP(S39,Tablas!$A$62:$B$72,2,FALSE)</f>
        <v>#N/A</v>
      </c>
      <c r="U39" s="84" t="e">
        <f t="shared" si="0"/>
        <v>#N/A</v>
      </c>
      <c r="V39" s="84" t="e" cm="1">
        <f t="array" ref="V39">_xlfn.IFS(U39&lt;=1,Tablas!$A$75,U39&lt;=5,Tablas!$A$76,U39&lt;=10,Tablas!$A$77,U39&lt;=50,Tablas!$A$78,U39&lt;=100,Tablas!$A$79,U39&lt;=500,Tablas!$A$80,U39&lt;=999,Tablas!$A$81,U39&gt;1000,Tablas!A121)</f>
        <v>#N/A</v>
      </c>
      <c r="W39" s="84" t="e" cm="1">
        <f t="array" ref="W39">_xlfn.IFS(V39=Tablas!$A$87,Tablas!$B$87,V39=Tablas!$A$88,Tablas!$B$88,V39=Tablas!$A$89,Tablas!$B$89,V39=Tablas!$A$90,Tablas!$B$90,V39=Tablas!$A$91,Tablas!$B$91,V39=Tablas!$A$92,Tablas!$B$92,V39=Tablas!$A$93,Tablas!$B$93,V39=Tablas!$A$94,Tablas!$B$94)</f>
        <v>#N/A</v>
      </c>
      <c r="X39" s="84"/>
      <c r="Y39" s="117"/>
      <c r="Z39" s="84"/>
      <c r="AA39" s="84"/>
      <c r="AB39" s="84"/>
      <c r="AC39" s="84"/>
      <c r="AD39" s="84"/>
      <c r="AE39" s="84"/>
      <c r="AF39" s="84"/>
      <c r="AG39" s="84" t="e">
        <f>VLOOKUP(AF39,Tablas!A70:B77,2,FALSE)</f>
        <v>#N/A</v>
      </c>
      <c r="AH39" s="84"/>
      <c r="AI39" s="84" t="e">
        <f>VLOOKUP(AH39,Tablas!A80:B86,2,FALSE)</f>
        <v>#N/A</v>
      </c>
      <c r="AJ39" s="84"/>
      <c r="AK39" s="121" t="e">
        <f>VLOOKUP(AJ39,Tablas!A90:B98,2,FALSE)</f>
        <v>#N/A</v>
      </c>
      <c r="AL39" s="84"/>
      <c r="AM39" s="84" t="e">
        <f>VLOOKUP(AL39,Tablas!A101:B111,2,FALSE)</f>
        <v>#N/A</v>
      </c>
      <c r="AN39" s="84" t="e">
        <f t="shared" si="1"/>
        <v>#N/A</v>
      </c>
      <c r="AO39" s="84" t="e" cm="1">
        <f t="array" ref="AO39">_xlfn.IFS(AN39&lt;=1,Tablas!$A$75,AN39&lt;=5,Tablas!$A$76,AN39&lt;=10,Tablas!$A$77,AN39&lt;=50,Tablas!$A$78,AN39&lt;=100,Tablas!$A$79,AN39&lt;=500,Tablas!$A$80,AN39&lt;=999,Tablas!$A$81,AN39&gt;1000,Tablas!T121)</f>
        <v>#N/A</v>
      </c>
      <c r="AP39" s="84"/>
      <c r="AQ39" s="84"/>
    </row>
    <row r="40" spans="2:43" s="21" customFormat="1" ht="92.25" customHeight="1" x14ac:dyDescent="0.25">
      <c r="B40" s="117"/>
      <c r="C40" s="118"/>
      <c r="D40" s="119"/>
      <c r="E40" s="119"/>
      <c r="F40" s="119"/>
      <c r="G40" s="119"/>
      <c r="H40" s="120"/>
      <c r="I40" s="121"/>
      <c r="J40" s="119"/>
      <c r="K40" s="84"/>
      <c r="L40" s="84"/>
      <c r="M40" s="84"/>
      <c r="N40" s="84" t="e">
        <f>VLOOKUP(M40,Tablas!$A$31:$B$38,2,FALSE)</f>
        <v>#N/A</v>
      </c>
      <c r="O40" s="84"/>
      <c r="P40" s="84" t="e">
        <f>VLOOKUP(O40,Tablas!$A$41:$B$47,2,FALSE)</f>
        <v>#N/A</v>
      </c>
      <c r="Q40" s="84"/>
      <c r="R40" s="121" t="e">
        <f>VLOOKUP(Q40,Tablas!$A$51:$B$59,2,FALSE)</f>
        <v>#N/A</v>
      </c>
      <c r="S40" s="84"/>
      <c r="T40" s="84" t="e">
        <f>VLOOKUP(S40,Tablas!$A$62:$B$72,2,FALSE)</f>
        <v>#N/A</v>
      </c>
      <c r="U40" s="84" t="e">
        <f t="shared" si="0"/>
        <v>#N/A</v>
      </c>
      <c r="V40" s="84" t="e" cm="1">
        <f t="array" ref="V40">_xlfn.IFS(U40&lt;=1,Tablas!$A$75,U40&lt;=5,Tablas!$A$76,U40&lt;=10,Tablas!$A$77,U40&lt;=50,Tablas!$A$78,U40&lt;=100,Tablas!$A$79,U40&lt;=500,Tablas!$A$80,U40&lt;=999,Tablas!$A$81,U40&gt;1000,Tablas!A122)</f>
        <v>#N/A</v>
      </c>
      <c r="W40" s="84" t="e" cm="1">
        <f t="array" ref="W40">_xlfn.IFS(V40=Tablas!$A$87,Tablas!$B$87,V40=Tablas!$A$88,Tablas!$B$88,V40=Tablas!$A$89,Tablas!$B$89,V40=Tablas!$A$90,Tablas!$B$90,V40=Tablas!$A$91,Tablas!$B$91,V40=Tablas!$A$92,Tablas!$B$92,V40=Tablas!$A$93,Tablas!$B$93,V40=Tablas!$A$94,Tablas!$B$94)</f>
        <v>#N/A</v>
      </c>
      <c r="X40" s="84"/>
      <c r="Y40" s="117"/>
      <c r="Z40" s="84"/>
      <c r="AA40" s="84"/>
      <c r="AB40" s="84"/>
      <c r="AC40" s="84"/>
      <c r="AD40" s="84"/>
      <c r="AE40" s="84"/>
      <c r="AF40" s="84"/>
      <c r="AG40" s="84" t="e">
        <f>VLOOKUP(AF40,Tablas!A71:B78,2,FALSE)</f>
        <v>#N/A</v>
      </c>
      <c r="AH40" s="84"/>
      <c r="AI40" s="84" t="e">
        <f>VLOOKUP(AH40,Tablas!A81:B87,2,FALSE)</f>
        <v>#N/A</v>
      </c>
      <c r="AJ40" s="84"/>
      <c r="AK40" s="121" t="e">
        <f>VLOOKUP(AJ40,Tablas!A91:B99,2,FALSE)</f>
        <v>#N/A</v>
      </c>
      <c r="AL40" s="84"/>
      <c r="AM40" s="84" t="e">
        <f>VLOOKUP(AL40,Tablas!A102:B112,2,FALSE)</f>
        <v>#N/A</v>
      </c>
      <c r="AN40" s="84" t="e">
        <f t="shared" si="1"/>
        <v>#N/A</v>
      </c>
      <c r="AO40" s="84" t="e" cm="1">
        <f t="array" ref="AO40">_xlfn.IFS(AN40&lt;=1,Tablas!$A$75,AN40&lt;=5,Tablas!$A$76,AN40&lt;=10,Tablas!$A$77,AN40&lt;=50,Tablas!$A$78,AN40&lt;=100,Tablas!$A$79,AN40&lt;=500,Tablas!$A$80,AN40&lt;=999,Tablas!$A$81,AN40&gt;1000,Tablas!T122)</f>
        <v>#N/A</v>
      </c>
      <c r="AP40" s="84"/>
      <c r="AQ40" s="84"/>
    </row>
    <row r="41" spans="2:43" s="21" customFormat="1" ht="92.25" customHeight="1" x14ac:dyDescent="0.25">
      <c r="B41" s="117"/>
      <c r="C41" s="118"/>
      <c r="D41" s="119"/>
      <c r="E41" s="119"/>
      <c r="F41" s="119"/>
      <c r="G41" s="119"/>
      <c r="H41" s="120"/>
      <c r="I41" s="121"/>
      <c r="J41" s="119"/>
      <c r="K41" s="84"/>
      <c r="L41" s="84"/>
      <c r="M41" s="84"/>
      <c r="N41" s="84" t="e">
        <f>VLOOKUP(M41,Tablas!$A$31:$B$38,2,FALSE)</f>
        <v>#N/A</v>
      </c>
      <c r="O41" s="84"/>
      <c r="P41" s="84" t="e">
        <f>VLOOKUP(O41,Tablas!$A$41:$B$47,2,FALSE)</f>
        <v>#N/A</v>
      </c>
      <c r="Q41" s="84"/>
      <c r="R41" s="121" t="e">
        <f>VLOOKUP(Q41,Tablas!$A$51:$B$59,2,FALSE)</f>
        <v>#N/A</v>
      </c>
      <c r="S41" s="84"/>
      <c r="T41" s="84" t="e">
        <f>VLOOKUP(S41,Tablas!$A$62:$B$72,2,FALSE)</f>
        <v>#N/A</v>
      </c>
      <c r="U41" s="84" t="e">
        <f t="shared" si="0"/>
        <v>#N/A</v>
      </c>
      <c r="V41" s="84" t="e" cm="1">
        <f t="array" ref="V41">_xlfn.IFS(U41&lt;=1,Tablas!$A$75,U41&lt;=5,Tablas!$A$76,U41&lt;=10,Tablas!$A$77,U41&lt;=50,Tablas!$A$78,U41&lt;=100,Tablas!$A$79,U41&lt;=500,Tablas!$A$80,U41&lt;=999,Tablas!$A$81,U41&gt;1000,Tablas!A123)</f>
        <v>#N/A</v>
      </c>
      <c r="W41" s="84" t="e" cm="1">
        <f t="array" ref="W41">_xlfn.IFS(V41=Tablas!$A$87,Tablas!$B$87,V41=Tablas!$A$88,Tablas!$B$88,V41=Tablas!$A$89,Tablas!$B$89,V41=Tablas!$A$90,Tablas!$B$90,V41=Tablas!$A$91,Tablas!$B$91,V41=Tablas!$A$92,Tablas!$B$92,V41=Tablas!$A$93,Tablas!$B$93,V41=Tablas!$A$94,Tablas!$B$94)</f>
        <v>#N/A</v>
      </c>
      <c r="X41" s="84"/>
      <c r="Y41" s="117"/>
      <c r="Z41" s="84"/>
      <c r="AA41" s="84"/>
      <c r="AB41" s="84"/>
      <c r="AC41" s="84"/>
      <c r="AD41" s="84"/>
      <c r="AE41" s="84"/>
      <c r="AF41" s="84"/>
      <c r="AG41" s="84" t="e">
        <f>VLOOKUP(AF41,Tablas!A72:B79,2,FALSE)</f>
        <v>#N/A</v>
      </c>
      <c r="AH41" s="84"/>
      <c r="AI41" s="84" t="e">
        <f>VLOOKUP(AH41,Tablas!A82:B88,2,FALSE)</f>
        <v>#N/A</v>
      </c>
      <c r="AJ41" s="84"/>
      <c r="AK41" s="121" t="e">
        <f>VLOOKUP(AJ41,Tablas!A92:B100,2,FALSE)</f>
        <v>#N/A</v>
      </c>
      <c r="AL41" s="84"/>
      <c r="AM41" s="84" t="e">
        <f>VLOOKUP(AL41,Tablas!A103:B113,2,FALSE)</f>
        <v>#N/A</v>
      </c>
      <c r="AN41" s="84" t="e">
        <f t="shared" si="1"/>
        <v>#N/A</v>
      </c>
      <c r="AO41" s="84" t="e" cm="1">
        <f t="array" ref="AO41">_xlfn.IFS(AN41&lt;=1,Tablas!$A$75,AN41&lt;=5,Tablas!$A$76,AN41&lt;=10,Tablas!$A$77,AN41&lt;=50,Tablas!$A$78,AN41&lt;=100,Tablas!$A$79,AN41&lt;=500,Tablas!$A$80,AN41&lt;=999,Tablas!$A$81,AN41&gt;1000,Tablas!T123)</f>
        <v>#N/A</v>
      </c>
      <c r="AP41" s="84"/>
      <c r="AQ41" s="84"/>
    </row>
    <row r="42" spans="2:43" s="21" customFormat="1" ht="92.25" customHeight="1" x14ac:dyDescent="0.25">
      <c r="B42" s="117"/>
      <c r="C42" s="118"/>
      <c r="D42" s="119"/>
      <c r="E42" s="119"/>
      <c r="F42" s="119"/>
      <c r="G42" s="119"/>
      <c r="H42" s="120"/>
      <c r="I42" s="121"/>
      <c r="J42" s="119"/>
      <c r="K42" s="84"/>
      <c r="L42" s="84"/>
      <c r="M42" s="84"/>
      <c r="N42" s="84" t="e">
        <f>VLOOKUP(M42,Tablas!$A$31:$B$38,2,FALSE)</f>
        <v>#N/A</v>
      </c>
      <c r="O42" s="84"/>
      <c r="P42" s="84" t="e">
        <f>VLOOKUP(O42,Tablas!$A$41:$B$47,2,FALSE)</f>
        <v>#N/A</v>
      </c>
      <c r="Q42" s="84"/>
      <c r="R42" s="121" t="e">
        <f>VLOOKUP(Q42,Tablas!$A$51:$B$59,2,FALSE)</f>
        <v>#N/A</v>
      </c>
      <c r="S42" s="84"/>
      <c r="T42" s="84" t="e">
        <f>VLOOKUP(S42,Tablas!$A$62:$B$72,2,FALSE)</f>
        <v>#N/A</v>
      </c>
      <c r="U42" s="84" t="e">
        <f t="shared" si="0"/>
        <v>#N/A</v>
      </c>
      <c r="V42" s="84" t="e" cm="1">
        <f t="array" ref="V42">_xlfn.IFS(U42&lt;=1,Tablas!$A$75,U42&lt;=5,Tablas!$A$76,U42&lt;=10,Tablas!$A$77,U42&lt;=50,Tablas!$A$78,U42&lt;=100,Tablas!$A$79,U42&lt;=500,Tablas!$A$80,U42&lt;=999,Tablas!$A$81,U42&gt;1000,Tablas!A124)</f>
        <v>#N/A</v>
      </c>
      <c r="W42" s="84" t="e" cm="1">
        <f t="array" ref="W42">_xlfn.IFS(V42=Tablas!$A$87,Tablas!$B$87,V42=Tablas!$A$88,Tablas!$B$88,V42=Tablas!$A$89,Tablas!$B$89,V42=Tablas!$A$90,Tablas!$B$90,V42=Tablas!$A$91,Tablas!$B$91,V42=Tablas!$A$92,Tablas!$B$92,V42=Tablas!$A$93,Tablas!$B$93,V42=Tablas!$A$94,Tablas!$B$94)</f>
        <v>#N/A</v>
      </c>
      <c r="X42" s="84"/>
      <c r="Y42" s="117"/>
      <c r="Z42" s="84"/>
      <c r="AA42" s="84"/>
      <c r="AB42" s="84"/>
      <c r="AC42" s="84"/>
      <c r="AD42" s="84"/>
      <c r="AE42" s="84"/>
      <c r="AF42" s="84"/>
      <c r="AG42" s="84" t="e">
        <f>VLOOKUP(AF42,Tablas!A73:B80,2,FALSE)</f>
        <v>#N/A</v>
      </c>
      <c r="AH42" s="84"/>
      <c r="AI42" s="84" t="e">
        <f>VLOOKUP(AH42,Tablas!A83:B89,2,FALSE)</f>
        <v>#N/A</v>
      </c>
      <c r="AJ42" s="84"/>
      <c r="AK42" s="121" t="e">
        <f>VLOOKUP(AJ42,Tablas!A93:B101,2,FALSE)</f>
        <v>#N/A</v>
      </c>
      <c r="AL42" s="84"/>
      <c r="AM42" s="84" t="e">
        <f>VLOOKUP(AL42,Tablas!A104:B114,2,FALSE)</f>
        <v>#N/A</v>
      </c>
      <c r="AN42" s="84" t="e">
        <f t="shared" si="1"/>
        <v>#N/A</v>
      </c>
      <c r="AO42" s="84" t="e" cm="1">
        <f t="array" ref="AO42">_xlfn.IFS(AN42&lt;=1,Tablas!$A$75,AN42&lt;=5,Tablas!$A$76,AN42&lt;=10,Tablas!$A$77,AN42&lt;=50,Tablas!$A$78,AN42&lt;=100,Tablas!$A$79,AN42&lt;=500,Tablas!$A$80,AN42&lt;=999,Tablas!$A$81,AN42&gt;1000,Tablas!T124)</f>
        <v>#N/A</v>
      </c>
      <c r="AP42" s="84"/>
      <c r="AQ42" s="84"/>
    </row>
    <row r="43" spans="2:43" s="21" customFormat="1" ht="92.25" customHeight="1" x14ac:dyDescent="0.25">
      <c r="B43" s="117"/>
      <c r="C43" s="118"/>
      <c r="D43" s="119"/>
      <c r="E43" s="119"/>
      <c r="F43" s="119"/>
      <c r="G43" s="119"/>
      <c r="H43" s="120"/>
      <c r="I43" s="121"/>
      <c r="J43" s="119"/>
      <c r="K43" s="84"/>
      <c r="L43" s="84"/>
      <c r="M43" s="84"/>
      <c r="N43" s="84" t="e">
        <f>VLOOKUP(M43,Tablas!$A$31:$B$38,2,FALSE)</f>
        <v>#N/A</v>
      </c>
      <c r="O43" s="84"/>
      <c r="P43" s="84" t="e">
        <f>VLOOKUP(O43,Tablas!$A$41:$B$47,2,FALSE)</f>
        <v>#N/A</v>
      </c>
      <c r="Q43" s="84"/>
      <c r="R43" s="121" t="e">
        <f>VLOOKUP(Q43,Tablas!$A$51:$B$59,2,FALSE)</f>
        <v>#N/A</v>
      </c>
      <c r="S43" s="84"/>
      <c r="T43" s="84" t="e">
        <f>VLOOKUP(S43,Tablas!$A$62:$B$72,2,FALSE)</f>
        <v>#N/A</v>
      </c>
      <c r="U43" s="84" t="e">
        <f t="shared" si="0"/>
        <v>#N/A</v>
      </c>
      <c r="V43" s="84" t="e" cm="1">
        <f t="array" ref="V43">_xlfn.IFS(U43&lt;=1,Tablas!$A$75,U43&lt;=5,Tablas!$A$76,U43&lt;=10,Tablas!$A$77,U43&lt;=50,Tablas!$A$78,U43&lt;=100,Tablas!$A$79,U43&lt;=500,Tablas!$A$80,U43&lt;=999,Tablas!$A$81,U43&gt;1000,Tablas!A125)</f>
        <v>#N/A</v>
      </c>
      <c r="W43" s="84" t="e" cm="1">
        <f t="array" ref="W43">_xlfn.IFS(V43=Tablas!$A$87,Tablas!$B$87,V43=Tablas!$A$88,Tablas!$B$88,V43=Tablas!$A$89,Tablas!$B$89,V43=Tablas!$A$90,Tablas!$B$90,V43=Tablas!$A$91,Tablas!$B$91,V43=Tablas!$A$92,Tablas!$B$92,V43=Tablas!$A$93,Tablas!$B$93,V43=Tablas!$A$94,Tablas!$B$94)</f>
        <v>#N/A</v>
      </c>
      <c r="X43" s="84"/>
      <c r="Y43" s="117"/>
      <c r="Z43" s="84"/>
      <c r="AA43" s="84"/>
      <c r="AB43" s="84"/>
      <c r="AC43" s="84"/>
      <c r="AD43" s="84"/>
      <c r="AE43" s="84"/>
      <c r="AF43" s="84"/>
      <c r="AG43" s="84" t="e">
        <f>VLOOKUP(AF43,Tablas!A74:B81,2,FALSE)</f>
        <v>#N/A</v>
      </c>
      <c r="AH43" s="84"/>
      <c r="AI43" s="84" t="e">
        <f>VLOOKUP(AH43,Tablas!A84:B90,2,FALSE)</f>
        <v>#N/A</v>
      </c>
      <c r="AJ43" s="84"/>
      <c r="AK43" s="121" t="e">
        <f>VLOOKUP(AJ43,Tablas!A94:B102,2,FALSE)</f>
        <v>#N/A</v>
      </c>
      <c r="AL43" s="84"/>
      <c r="AM43" s="84" t="e">
        <f>VLOOKUP(AL43,Tablas!A105:B115,2,FALSE)</f>
        <v>#N/A</v>
      </c>
      <c r="AN43" s="84" t="e">
        <f t="shared" si="1"/>
        <v>#N/A</v>
      </c>
      <c r="AO43" s="84" t="e" cm="1">
        <f t="array" ref="AO43">_xlfn.IFS(AN43&lt;=1,Tablas!$A$75,AN43&lt;=5,Tablas!$A$76,AN43&lt;=10,Tablas!$A$77,AN43&lt;=50,Tablas!$A$78,AN43&lt;=100,Tablas!$A$79,AN43&lt;=500,Tablas!$A$80,AN43&lt;=999,Tablas!$A$81,AN43&gt;1000,Tablas!T125)</f>
        <v>#N/A</v>
      </c>
      <c r="AP43" s="84"/>
      <c r="AQ43" s="84"/>
    </row>
    <row r="44" spans="2:43" s="21" customFormat="1" ht="92.25" customHeight="1" x14ac:dyDescent="0.25">
      <c r="B44" s="117"/>
      <c r="C44" s="118"/>
      <c r="D44" s="119"/>
      <c r="E44" s="119"/>
      <c r="F44" s="119"/>
      <c r="G44" s="119"/>
      <c r="H44" s="120"/>
      <c r="I44" s="121"/>
      <c r="J44" s="119"/>
      <c r="K44" s="84"/>
      <c r="L44" s="84"/>
      <c r="M44" s="84"/>
      <c r="N44" s="84" t="e">
        <f>VLOOKUP(M44,Tablas!$A$31:$B$38,2,FALSE)</f>
        <v>#N/A</v>
      </c>
      <c r="O44" s="84"/>
      <c r="P44" s="84" t="e">
        <f>VLOOKUP(O44,Tablas!$A$41:$B$47,2,FALSE)</f>
        <v>#N/A</v>
      </c>
      <c r="Q44" s="84"/>
      <c r="R44" s="121" t="e">
        <f>VLOOKUP(Q44,Tablas!$A$51:$B$59,2,FALSE)</f>
        <v>#N/A</v>
      </c>
      <c r="S44" s="84"/>
      <c r="T44" s="84" t="e">
        <f>VLOOKUP(S44,Tablas!$A$62:$B$72,2,FALSE)</f>
        <v>#N/A</v>
      </c>
      <c r="U44" s="84" t="e">
        <f t="shared" si="0"/>
        <v>#N/A</v>
      </c>
      <c r="V44" s="84" t="e" cm="1">
        <f t="array" ref="V44">_xlfn.IFS(U44&lt;=1,Tablas!$A$75,U44&lt;=5,Tablas!$A$76,U44&lt;=10,Tablas!$A$77,U44&lt;=50,Tablas!$A$78,U44&lt;=100,Tablas!$A$79,U44&lt;=500,Tablas!$A$80,U44&lt;=999,Tablas!$A$81,U44&gt;1000,Tablas!A126)</f>
        <v>#N/A</v>
      </c>
      <c r="W44" s="84" t="e" cm="1">
        <f t="array" ref="W44">_xlfn.IFS(V44=Tablas!$A$87,Tablas!$B$87,V44=Tablas!$A$88,Tablas!$B$88,V44=Tablas!$A$89,Tablas!$B$89,V44=Tablas!$A$90,Tablas!$B$90,V44=Tablas!$A$91,Tablas!$B$91,V44=Tablas!$A$92,Tablas!$B$92,V44=Tablas!$A$93,Tablas!$B$93,V44=Tablas!$A$94,Tablas!$B$94)</f>
        <v>#N/A</v>
      </c>
      <c r="X44" s="84"/>
      <c r="Y44" s="117"/>
      <c r="Z44" s="84"/>
      <c r="AA44" s="84"/>
      <c r="AB44" s="84"/>
      <c r="AC44" s="84"/>
      <c r="AD44" s="84"/>
      <c r="AE44" s="84"/>
      <c r="AF44" s="84"/>
      <c r="AG44" s="84" t="e">
        <f>VLOOKUP(AF44,Tablas!A75:B82,2,FALSE)</f>
        <v>#N/A</v>
      </c>
      <c r="AH44" s="84"/>
      <c r="AI44" s="84" t="e">
        <f>VLOOKUP(AH44,Tablas!A85:B91,2,FALSE)</f>
        <v>#N/A</v>
      </c>
      <c r="AJ44" s="84"/>
      <c r="AK44" s="121" t="e">
        <f>VLOOKUP(AJ44,Tablas!A95:B103,2,FALSE)</f>
        <v>#N/A</v>
      </c>
      <c r="AL44" s="84"/>
      <c r="AM44" s="84" t="e">
        <f>VLOOKUP(AL44,Tablas!A106:B116,2,FALSE)</f>
        <v>#N/A</v>
      </c>
      <c r="AN44" s="84" t="e">
        <f t="shared" si="1"/>
        <v>#N/A</v>
      </c>
      <c r="AO44" s="84" t="e" cm="1">
        <f t="array" ref="AO44">_xlfn.IFS(AN44&lt;=1,Tablas!$A$75,AN44&lt;=5,Tablas!$A$76,AN44&lt;=10,Tablas!$A$77,AN44&lt;=50,Tablas!$A$78,AN44&lt;=100,Tablas!$A$79,AN44&lt;=500,Tablas!$A$80,AN44&lt;=999,Tablas!$A$81,AN44&gt;1000,Tablas!T126)</f>
        <v>#N/A</v>
      </c>
      <c r="AP44" s="84"/>
      <c r="AQ44" s="84"/>
    </row>
    <row r="45" spans="2:43" s="21" customFormat="1" ht="92.25" customHeight="1" x14ac:dyDescent="0.25">
      <c r="B45" s="117"/>
      <c r="C45" s="118"/>
      <c r="D45" s="119"/>
      <c r="E45" s="119"/>
      <c r="F45" s="119"/>
      <c r="G45" s="119"/>
      <c r="H45" s="120"/>
      <c r="I45" s="121"/>
      <c r="J45" s="119"/>
      <c r="K45" s="84"/>
      <c r="L45" s="84"/>
      <c r="M45" s="84"/>
      <c r="N45" s="84" t="e">
        <f>VLOOKUP(M45,Tablas!$A$31:$B$38,2,FALSE)</f>
        <v>#N/A</v>
      </c>
      <c r="O45" s="84"/>
      <c r="P45" s="84" t="e">
        <f>VLOOKUP(O45,Tablas!$A$41:$B$47,2,FALSE)</f>
        <v>#N/A</v>
      </c>
      <c r="Q45" s="84"/>
      <c r="R45" s="121" t="e">
        <f>VLOOKUP(Q45,Tablas!$A$51:$B$59,2,FALSE)</f>
        <v>#N/A</v>
      </c>
      <c r="S45" s="84"/>
      <c r="T45" s="84" t="e">
        <f>VLOOKUP(S45,Tablas!$A$62:$B$72,2,FALSE)</f>
        <v>#N/A</v>
      </c>
      <c r="U45" s="84" t="e">
        <f t="shared" si="0"/>
        <v>#N/A</v>
      </c>
      <c r="V45" s="84" t="e" cm="1">
        <f t="array" ref="V45">_xlfn.IFS(U45&lt;=1,Tablas!$A$75,U45&lt;=5,Tablas!$A$76,U45&lt;=10,Tablas!$A$77,U45&lt;=50,Tablas!$A$78,U45&lt;=100,Tablas!$A$79,U45&lt;=500,Tablas!$A$80,U45&lt;=999,Tablas!$A$81,U45&gt;1000,Tablas!A127)</f>
        <v>#N/A</v>
      </c>
      <c r="W45" s="84" t="e" cm="1">
        <f t="array" ref="W45">_xlfn.IFS(V45=Tablas!$A$87,Tablas!$B$87,V45=Tablas!$A$88,Tablas!$B$88,V45=Tablas!$A$89,Tablas!$B$89,V45=Tablas!$A$90,Tablas!$B$90,V45=Tablas!$A$91,Tablas!$B$91,V45=Tablas!$A$92,Tablas!$B$92,V45=Tablas!$A$93,Tablas!$B$93,V45=Tablas!$A$94,Tablas!$B$94)</f>
        <v>#N/A</v>
      </c>
      <c r="X45" s="84"/>
      <c r="Y45" s="117"/>
      <c r="Z45" s="84"/>
      <c r="AA45" s="84"/>
      <c r="AB45" s="84"/>
      <c r="AC45" s="84"/>
      <c r="AD45" s="84"/>
      <c r="AE45" s="84"/>
      <c r="AF45" s="84"/>
      <c r="AG45" s="84" t="e">
        <f>VLOOKUP(AF45,Tablas!A76:B83,2,FALSE)</f>
        <v>#N/A</v>
      </c>
      <c r="AH45" s="84"/>
      <c r="AI45" s="84" t="e">
        <f>VLOOKUP(AH45,Tablas!A86:B92,2,FALSE)</f>
        <v>#N/A</v>
      </c>
      <c r="AJ45" s="84"/>
      <c r="AK45" s="121" t="e">
        <f>VLOOKUP(AJ45,Tablas!A96:B104,2,FALSE)</f>
        <v>#N/A</v>
      </c>
      <c r="AL45" s="84"/>
      <c r="AM45" s="84" t="e">
        <f>VLOOKUP(AL45,Tablas!A107:B117,2,FALSE)</f>
        <v>#N/A</v>
      </c>
      <c r="AN45" s="84" t="e">
        <f t="shared" si="1"/>
        <v>#N/A</v>
      </c>
      <c r="AO45" s="84" t="e" cm="1">
        <f t="array" ref="AO45">_xlfn.IFS(AN45&lt;=1,Tablas!$A$75,AN45&lt;=5,Tablas!$A$76,AN45&lt;=10,Tablas!$A$77,AN45&lt;=50,Tablas!$A$78,AN45&lt;=100,Tablas!$A$79,AN45&lt;=500,Tablas!$A$80,AN45&lt;=999,Tablas!$A$81,AN45&gt;1000,Tablas!T127)</f>
        <v>#N/A</v>
      </c>
      <c r="AP45" s="84"/>
      <c r="AQ45" s="84"/>
    </row>
    <row r="46" spans="2:43" s="21" customFormat="1" ht="92.25" customHeight="1" x14ac:dyDescent="0.25">
      <c r="B46" s="117"/>
      <c r="C46" s="118"/>
      <c r="D46" s="119"/>
      <c r="E46" s="119"/>
      <c r="F46" s="119"/>
      <c r="G46" s="119"/>
      <c r="H46" s="120"/>
      <c r="I46" s="121"/>
      <c r="J46" s="119"/>
      <c r="K46" s="84"/>
      <c r="L46" s="84"/>
      <c r="M46" s="84"/>
      <c r="N46" s="84" t="e">
        <f>VLOOKUP(M46,Tablas!$A$31:$B$38,2,FALSE)</f>
        <v>#N/A</v>
      </c>
      <c r="O46" s="84"/>
      <c r="P46" s="84" t="e">
        <f>VLOOKUP(O46,Tablas!$A$41:$B$47,2,FALSE)</f>
        <v>#N/A</v>
      </c>
      <c r="Q46" s="84"/>
      <c r="R46" s="121" t="e">
        <f>VLOOKUP(Q46,Tablas!$A$51:$B$59,2,FALSE)</f>
        <v>#N/A</v>
      </c>
      <c r="S46" s="84"/>
      <c r="T46" s="84" t="e">
        <f>VLOOKUP(S46,Tablas!$A$62:$B$72,2,FALSE)</f>
        <v>#N/A</v>
      </c>
      <c r="U46" s="84" t="e">
        <f t="shared" si="0"/>
        <v>#N/A</v>
      </c>
      <c r="V46" s="84" t="e" cm="1">
        <f t="array" ref="V46">_xlfn.IFS(U46&lt;=1,Tablas!$A$75,U46&lt;=5,Tablas!$A$76,U46&lt;=10,Tablas!$A$77,U46&lt;=50,Tablas!$A$78,U46&lt;=100,Tablas!$A$79,U46&lt;=500,Tablas!$A$80,U46&lt;=999,Tablas!$A$81,U46&gt;1000,Tablas!A128)</f>
        <v>#N/A</v>
      </c>
      <c r="W46" s="84" t="e" cm="1">
        <f t="array" ref="W46">_xlfn.IFS(V46=Tablas!$A$87,Tablas!$B$87,V46=Tablas!$A$88,Tablas!$B$88,V46=Tablas!$A$89,Tablas!$B$89,V46=Tablas!$A$90,Tablas!$B$90,V46=Tablas!$A$91,Tablas!$B$91,V46=Tablas!$A$92,Tablas!$B$92,V46=Tablas!$A$93,Tablas!$B$93,V46=Tablas!$A$94,Tablas!$B$94)</f>
        <v>#N/A</v>
      </c>
      <c r="X46" s="84"/>
      <c r="Y46" s="117"/>
      <c r="Z46" s="84"/>
      <c r="AA46" s="84"/>
      <c r="AB46" s="84"/>
      <c r="AC46" s="84"/>
      <c r="AD46" s="84"/>
      <c r="AE46" s="84"/>
      <c r="AF46" s="84"/>
      <c r="AG46" s="84" t="e">
        <f>VLOOKUP(AF46,Tablas!A77:B84,2,FALSE)</f>
        <v>#N/A</v>
      </c>
      <c r="AH46" s="84"/>
      <c r="AI46" s="84" t="e">
        <f>VLOOKUP(AH46,Tablas!A87:B93,2,FALSE)</f>
        <v>#N/A</v>
      </c>
      <c r="AJ46" s="84"/>
      <c r="AK46" s="121" t="e">
        <f>VLOOKUP(AJ46,Tablas!A97:B105,2,FALSE)</f>
        <v>#N/A</v>
      </c>
      <c r="AL46" s="84"/>
      <c r="AM46" s="84" t="e">
        <f>VLOOKUP(AL46,Tablas!A108:B118,2,FALSE)</f>
        <v>#N/A</v>
      </c>
      <c r="AN46" s="84" t="e">
        <f t="shared" si="1"/>
        <v>#N/A</v>
      </c>
      <c r="AO46" s="84" t="e" cm="1">
        <f t="array" ref="AO46">_xlfn.IFS(AN46&lt;=1,Tablas!$A$75,AN46&lt;=5,Tablas!$A$76,AN46&lt;=10,Tablas!$A$77,AN46&lt;=50,Tablas!$A$78,AN46&lt;=100,Tablas!$A$79,AN46&lt;=500,Tablas!$A$80,AN46&lt;=999,Tablas!$A$81,AN46&gt;1000,Tablas!T128)</f>
        <v>#N/A</v>
      </c>
      <c r="AP46" s="84"/>
      <c r="AQ46" s="84"/>
    </row>
    <row r="47" spans="2:43" s="21" customFormat="1" ht="92.25" customHeight="1" x14ac:dyDescent="0.25">
      <c r="B47" s="117"/>
      <c r="C47" s="118"/>
      <c r="D47" s="119"/>
      <c r="E47" s="119"/>
      <c r="F47" s="119"/>
      <c r="G47" s="119"/>
      <c r="H47" s="120"/>
      <c r="I47" s="121"/>
      <c r="J47" s="119"/>
      <c r="K47" s="84"/>
      <c r="L47" s="84"/>
      <c r="M47" s="84"/>
      <c r="N47" s="84" t="e">
        <f>VLOOKUP(M47,Tablas!$A$31:$B$38,2,FALSE)</f>
        <v>#N/A</v>
      </c>
      <c r="O47" s="84"/>
      <c r="P47" s="84" t="e">
        <f>VLOOKUP(O47,Tablas!$A$41:$B$47,2,FALSE)</f>
        <v>#N/A</v>
      </c>
      <c r="Q47" s="84"/>
      <c r="R47" s="121" t="e">
        <f>VLOOKUP(Q47,Tablas!$A$51:$B$59,2,FALSE)</f>
        <v>#N/A</v>
      </c>
      <c r="S47" s="84"/>
      <c r="T47" s="84" t="e">
        <f>VLOOKUP(S47,Tablas!$A$62:$B$72,2,FALSE)</f>
        <v>#N/A</v>
      </c>
      <c r="U47" s="84" t="e">
        <f t="shared" si="0"/>
        <v>#N/A</v>
      </c>
      <c r="V47" s="84" t="e" cm="1">
        <f t="array" ref="V47">_xlfn.IFS(U47&lt;=1,Tablas!$A$75,U47&lt;=5,Tablas!$A$76,U47&lt;=10,Tablas!$A$77,U47&lt;=50,Tablas!$A$78,U47&lt;=100,Tablas!$A$79,U47&lt;=500,Tablas!$A$80,U47&lt;=999,Tablas!$A$81,U47&gt;1000,Tablas!A129)</f>
        <v>#N/A</v>
      </c>
      <c r="W47" s="84" t="e" cm="1">
        <f t="array" ref="W47">_xlfn.IFS(V47=Tablas!$A$87,Tablas!$B$87,V47=Tablas!$A$88,Tablas!$B$88,V47=Tablas!$A$89,Tablas!$B$89,V47=Tablas!$A$90,Tablas!$B$90,V47=Tablas!$A$91,Tablas!$B$91,V47=Tablas!$A$92,Tablas!$B$92,V47=Tablas!$A$93,Tablas!$B$93,V47=Tablas!$A$94,Tablas!$B$94)</f>
        <v>#N/A</v>
      </c>
      <c r="X47" s="84"/>
      <c r="Y47" s="117"/>
      <c r="Z47" s="84"/>
      <c r="AA47" s="84"/>
      <c r="AB47" s="84"/>
      <c r="AC47" s="84"/>
      <c r="AD47" s="84"/>
      <c r="AE47" s="84"/>
      <c r="AF47" s="84"/>
      <c r="AG47" s="84" t="e">
        <f>VLOOKUP(AF47,Tablas!A78:B85,2,FALSE)</f>
        <v>#N/A</v>
      </c>
      <c r="AH47" s="84"/>
      <c r="AI47" s="84" t="e">
        <f>VLOOKUP(AH47,Tablas!A88:B94,2,FALSE)</f>
        <v>#N/A</v>
      </c>
      <c r="AJ47" s="84"/>
      <c r="AK47" s="121" t="e">
        <f>VLOOKUP(AJ47,Tablas!A98:B106,2,FALSE)</f>
        <v>#N/A</v>
      </c>
      <c r="AL47" s="84"/>
      <c r="AM47" s="84" t="e">
        <f>VLOOKUP(AL47,Tablas!A109:B119,2,FALSE)</f>
        <v>#N/A</v>
      </c>
      <c r="AN47" s="84" t="e">
        <f t="shared" si="1"/>
        <v>#N/A</v>
      </c>
      <c r="AO47" s="84" t="e" cm="1">
        <f t="array" ref="AO47">_xlfn.IFS(AN47&lt;=1,Tablas!$A$75,AN47&lt;=5,Tablas!$A$76,AN47&lt;=10,Tablas!$A$77,AN47&lt;=50,Tablas!$A$78,AN47&lt;=100,Tablas!$A$79,AN47&lt;=500,Tablas!$A$80,AN47&lt;=999,Tablas!$A$81,AN47&gt;1000,Tablas!T129)</f>
        <v>#N/A</v>
      </c>
      <c r="AP47" s="84"/>
      <c r="AQ47" s="84"/>
    </row>
    <row r="48" spans="2:43" s="21" customFormat="1" ht="92.25" customHeight="1" x14ac:dyDescent="0.25">
      <c r="B48" s="117"/>
      <c r="C48" s="118"/>
      <c r="D48" s="119"/>
      <c r="E48" s="119"/>
      <c r="F48" s="119"/>
      <c r="G48" s="119"/>
      <c r="H48" s="120"/>
      <c r="I48" s="121"/>
      <c r="J48" s="119"/>
      <c r="K48" s="84"/>
      <c r="L48" s="84"/>
      <c r="M48" s="84"/>
      <c r="N48" s="84" t="e">
        <f>VLOOKUP(M48,Tablas!$A$31:$B$38,2,FALSE)</f>
        <v>#N/A</v>
      </c>
      <c r="O48" s="84"/>
      <c r="P48" s="84" t="e">
        <f>VLOOKUP(O48,Tablas!$A$41:$B$47,2,FALSE)</f>
        <v>#N/A</v>
      </c>
      <c r="Q48" s="84"/>
      <c r="R48" s="121" t="e">
        <f>VLOOKUP(Q48,Tablas!$A$51:$B$59,2,FALSE)</f>
        <v>#N/A</v>
      </c>
      <c r="S48" s="84"/>
      <c r="T48" s="84" t="e">
        <f>VLOOKUP(S48,Tablas!$A$62:$B$72,2,FALSE)</f>
        <v>#N/A</v>
      </c>
      <c r="U48" s="84" t="e">
        <f t="shared" si="0"/>
        <v>#N/A</v>
      </c>
      <c r="V48" s="84" t="e" cm="1">
        <f t="array" ref="V48">_xlfn.IFS(U48&lt;=1,Tablas!$A$75,U48&lt;=5,Tablas!$A$76,U48&lt;=10,Tablas!$A$77,U48&lt;=50,Tablas!$A$78,U48&lt;=100,Tablas!$A$79,U48&lt;=500,Tablas!$A$80,U48&lt;=999,Tablas!$A$81,U48&gt;1000,Tablas!A130)</f>
        <v>#N/A</v>
      </c>
      <c r="W48" s="84" t="e" cm="1">
        <f t="array" ref="W48">_xlfn.IFS(V48=Tablas!$A$87,Tablas!$B$87,V48=Tablas!$A$88,Tablas!$B$88,V48=Tablas!$A$89,Tablas!$B$89,V48=Tablas!$A$90,Tablas!$B$90,V48=Tablas!$A$91,Tablas!$B$91,V48=Tablas!$A$92,Tablas!$B$92,V48=Tablas!$A$93,Tablas!$B$93,V48=Tablas!$A$94,Tablas!$B$94)</f>
        <v>#N/A</v>
      </c>
      <c r="X48" s="84"/>
      <c r="Y48" s="117"/>
      <c r="Z48" s="84"/>
      <c r="AA48" s="84"/>
      <c r="AB48" s="84"/>
      <c r="AC48" s="84"/>
      <c r="AD48" s="84"/>
      <c r="AE48" s="84"/>
      <c r="AF48" s="84"/>
      <c r="AG48" s="84" t="e">
        <f>VLOOKUP(AF48,Tablas!A79:B86,2,FALSE)</f>
        <v>#N/A</v>
      </c>
      <c r="AH48" s="84"/>
      <c r="AI48" s="84" t="e">
        <f>VLOOKUP(AH48,Tablas!A89:B95,2,FALSE)</f>
        <v>#N/A</v>
      </c>
      <c r="AJ48" s="84"/>
      <c r="AK48" s="121" t="e">
        <f>VLOOKUP(AJ48,Tablas!A99:B107,2,FALSE)</f>
        <v>#N/A</v>
      </c>
      <c r="AL48" s="84"/>
      <c r="AM48" s="84" t="e">
        <f>VLOOKUP(AL48,Tablas!A110:B120,2,FALSE)</f>
        <v>#N/A</v>
      </c>
      <c r="AN48" s="84" t="e">
        <f t="shared" si="1"/>
        <v>#N/A</v>
      </c>
      <c r="AO48" s="84" t="e" cm="1">
        <f t="array" ref="AO48">_xlfn.IFS(AN48&lt;=1,Tablas!$A$75,AN48&lt;=5,Tablas!$A$76,AN48&lt;=10,Tablas!$A$77,AN48&lt;=50,Tablas!$A$78,AN48&lt;=100,Tablas!$A$79,AN48&lt;=500,Tablas!$A$80,AN48&lt;=999,Tablas!$A$81,AN48&gt;1000,Tablas!T130)</f>
        <v>#N/A</v>
      </c>
      <c r="AP48" s="84"/>
      <c r="AQ48" s="84"/>
    </row>
    <row r="49" spans="2:43" s="21" customFormat="1" ht="92.25" customHeight="1" x14ac:dyDescent="0.25">
      <c r="B49" s="117"/>
      <c r="C49" s="118"/>
      <c r="D49" s="119"/>
      <c r="E49" s="119"/>
      <c r="F49" s="119"/>
      <c r="G49" s="119"/>
      <c r="H49" s="120"/>
      <c r="I49" s="121"/>
      <c r="J49" s="119"/>
      <c r="K49" s="84"/>
      <c r="L49" s="84"/>
      <c r="M49" s="84"/>
      <c r="N49" s="84" t="e">
        <f>VLOOKUP(M49,Tablas!$A$31:$B$38,2,FALSE)</f>
        <v>#N/A</v>
      </c>
      <c r="O49" s="84"/>
      <c r="P49" s="84" t="e">
        <f>VLOOKUP(O49,Tablas!$A$41:$B$47,2,FALSE)</f>
        <v>#N/A</v>
      </c>
      <c r="Q49" s="84"/>
      <c r="R49" s="121" t="e">
        <f>VLOOKUP(Q49,Tablas!$A$51:$B$59,2,FALSE)</f>
        <v>#N/A</v>
      </c>
      <c r="S49" s="84"/>
      <c r="T49" s="84" t="e">
        <f>VLOOKUP(S49,Tablas!$A$62:$B$72,2,FALSE)</f>
        <v>#N/A</v>
      </c>
      <c r="U49" s="84" t="e">
        <f t="shared" si="0"/>
        <v>#N/A</v>
      </c>
      <c r="V49" s="84" t="e" cm="1">
        <f t="array" ref="V49">_xlfn.IFS(U49&lt;=1,Tablas!$A$75,U49&lt;=5,Tablas!$A$76,U49&lt;=10,Tablas!$A$77,U49&lt;=50,Tablas!$A$78,U49&lt;=100,Tablas!$A$79,U49&lt;=500,Tablas!$A$80,U49&lt;=999,Tablas!$A$81,U49&gt;1000,Tablas!A131)</f>
        <v>#N/A</v>
      </c>
      <c r="W49" s="84" t="e" cm="1">
        <f t="array" ref="W49">_xlfn.IFS(V49=Tablas!$A$87,Tablas!$B$87,V49=Tablas!$A$88,Tablas!$B$88,V49=Tablas!$A$89,Tablas!$B$89,V49=Tablas!$A$90,Tablas!$B$90,V49=Tablas!$A$91,Tablas!$B$91,V49=Tablas!$A$92,Tablas!$B$92,V49=Tablas!$A$93,Tablas!$B$93,V49=Tablas!$A$94,Tablas!$B$94)</f>
        <v>#N/A</v>
      </c>
      <c r="X49" s="84"/>
      <c r="Y49" s="117"/>
      <c r="Z49" s="84"/>
      <c r="AA49" s="84"/>
      <c r="AB49" s="84"/>
      <c r="AC49" s="84"/>
      <c r="AD49" s="84"/>
      <c r="AE49" s="84"/>
      <c r="AF49" s="84"/>
      <c r="AG49" s="84" t="e">
        <f>VLOOKUP(AF49,Tablas!A80:B87,2,FALSE)</f>
        <v>#N/A</v>
      </c>
      <c r="AH49" s="84"/>
      <c r="AI49" s="84" t="e">
        <f>VLOOKUP(AH49,Tablas!A90:B96,2,FALSE)</f>
        <v>#N/A</v>
      </c>
      <c r="AJ49" s="84"/>
      <c r="AK49" s="121" t="e">
        <f>VLOOKUP(AJ49,Tablas!A100:B108,2,FALSE)</f>
        <v>#N/A</v>
      </c>
      <c r="AL49" s="84"/>
      <c r="AM49" s="84" t="e">
        <f>VLOOKUP(AL49,Tablas!A111:B121,2,FALSE)</f>
        <v>#N/A</v>
      </c>
      <c r="AN49" s="84" t="e">
        <f t="shared" si="1"/>
        <v>#N/A</v>
      </c>
      <c r="AO49" s="84" t="e" cm="1">
        <f t="array" ref="AO49">_xlfn.IFS(AN49&lt;=1,Tablas!$A$75,AN49&lt;=5,Tablas!$A$76,AN49&lt;=10,Tablas!$A$77,AN49&lt;=50,Tablas!$A$78,AN49&lt;=100,Tablas!$A$79,AN49&lt;=500,Tablas!$A$80,AN49&lt;=999,Tablas!$A$81,AN49&gt;1000,Tablas!T131)</f>
        <v>#N/A</v>
      </c>
      <c r="AP49" s="84"/>
      <c r="AQ49" s="84"/>
    </row>
    <row r="50" spans="2:43" s="21" customFormat="1" ht="92.25" customHeight="1" x14ac:dyDescent="0.25">
      <c r="B50" s="117"/>
      <c r="C50" s="118"/>
      <c r="D50" s="119"/>
      <c r="E50" s="119"/>
      <c r="F50" s="119"/>
      <c r="G50" s="119"/>
      <c r="H50" s="120"/>
      <c r="I50" s="121"/>
      <c r="J50" s="119"/>
      <c r="K50" s="84"/>
      <c r="L50" s="84"/>
      <c r="M50" s="84"/>
      <c r="N50" s="84" t="e">
        <f>VLOOKUP(M50,Tablas!$A$31:$B$38,2,FALSE)</f>
        <v>#N/A</v>
      </c>
      <c r="O50" s="84"/>
      <c r="P50" s="84" t="e">
        <f>VLOOKUP(O50,Tablas!$A$41:$B$47,2,FALSE)</f>
        <v>#N/A</v>
      </c>
      <c r="Q50" s="84"/>
      <c r="R50" s="121" t="e">
        <f>VLOOKUP(Q50,Tablas!$A$51:$B$59,2,FALSE)</f>
        <v>#N/A</v>
      </c>
      <c r="S50" s="84"/>
      <c r="T50" s="84" t="e">
        <f>VLOOKUP(S50,Tablas!$A$62:$B$72,2,FALSE)</f>
        <v>#N/A</v>
      </c>
      <c r="U50" s="84" t="e">
        <f t="shared" si="0"/>
        <v>#N/A</v>
      </c>
      <c r="V50" s="84" t="e" cm="1">
        <f t="array" ref="V50">_xlfn.IFS(U50&lt;=1,Tablas!$A$75,U50&lt;=5,Tablas!$A$76,U50&lt;=10,Tablas!$A$77,U50&lt;=50,Tablas!$A$78,U50&lt;=100,Tablas!$A$79,U50&lt;=500,Tablas!$A$80,U50&lt;=999,Tablas!$A$81,U50&gt;1000,Tablas!A132)</f>
        <v>#N/A</v>
      </c>
      <c r="W50" s="84" t="e" cm="1">
        <f t="array" ref="W50">_xlfn.IFS(V50=Tablas!$A$87,Tablas!$B$87,V50=Tablas!$A$88,Tablas!$B$88,V50=Tablas!$A$89,Tablas!$B$89,V50=Tablas!$A$90,Tablas!$B$90,V50=Tablas!$A$91,Tablas!$B$91,V50=Tablas!$A$92,Tablas!$B$92,V50=Tablas!$A$93,Tablas!$B$93,V50=Tablas!$A$94,Tablas!$B$94)</f>
        <v>#N/A</v>
      </c>
      <c r="X50" s="84"/>
      <c r="Y50" s="117"/>
      <c r="Z50" s="84"/>
      <c r="AA50" s="84"/>
      <c r="AB50" s="84"/>
      <c r="AC50" s="84"/>
      <c r="AD50" s="84"/>
      <c r="AE50" s="84"/>
      <c r="AF50" s="84"/>
      <c r="AG50" s="84" t="e">
        <f>VLOOKUP(AF50,Tablas!A81:B88,2,FALSE)</f>
        <v>#N/A</v>
      </c>
      <c r="AH50" s="84"/>
      <c r="AI50" s="84" t="e">
        <f>VLOOKUP(AH50,Tablas!A91:B97,2,FALSE)</f>
        <v>#N/A</v>
      </c>
      <c r="AJ50" s="84"/>
      <c r="AK50" s="121" t="e">
        <f>VLOOKUP(AJ50,Tablas!A101:B109,2,FALSE)</f>
        <v>#N/A</v>
      </c>
      <c r="AL50" s="84"/>
      <c r="AM50" s="84" t="e">
        <f>VLOOKUP(AL50,Tablas!A112:B122,2,FALSE)</f>
        <v>#N/A</v>
      </c>
      <c r="AN50" s="84" t="e">
        <f t="shared" si="1"/>
        <v>#N/A</v>
      </c>
      <c r="AO50" s="84" t="e" cm="1">
        <f t="array" ref="AO50">_xlfn.IFS(AN50&lt;=1,Tablas!$A$75,AN50&lt;=5,Tablas!$A$76,AN50&lt;=10,Tablas!$A$77,AN50&lt;=50,Tablas!$A$78,AN50&lt;=100,Tablas!$A$79,AN50&lt;=500,Tablas!$A$80,AN50&lt;=999,Tablas!$A$81,AN50&gt;1000,Tablas!T132)</f>
        <v>#N/A</v>
      </c>
      <c r="AP50" s="84"/>
      <c r="AQ50" s="84"/>
    </row>
    <row r="51" spans="2:43" s="21" customFormat="1" ht="92.25" customHeight="1" x14ac:dyDescent="0.25">
      <c r="B51" s="117"/>
      <c r="C51" s="118"/>
      <c r="D51" s="119"/>
      <c r="E51" s="119"/>
      <c r="F51" s="119"/>
      <c r="G51" s="119"/>
      <c r="H51" s="120"/>
      <c r="I51" s="121"/>
      <c r="J51" s="119"/>
      <c r="K51" s="84"/>
      <c r="L51" s="84"/>
      <c r="M51" s="84"/>
      <c r="N51" s="84" t="e">
        <f>VLOOKUP(M51,Tablas!$A$31:$B$38,2,FALSE)</f>
        <v>#N/A</v>
      </c>
      <c r="O51" s="84"/>
      <c r="P51" s="84" t="e">
        <f>VLOOKUP(O51,Tablas!$A$41:$B$47,2,FALSE)</f>
        <v>#N/A</v>
      </c>
      <c r="Q51" s="84"/>
      <c r="R51" s="121" t="e">
        <f>VLOOKUP(Q51,Tablas!$A$51:$B$59,2,FALSE)</f>
        <v>#N/A</v>
      </c>
      <c r="S51" s="84"/>
      <c r="T51" s="84" t="e">
        <f>VLOOKUP(S51,Tablas!$A$62:$B$72,2,FALSE)</f>
        <v>#N/A</v>
      </c>
      <c r="U51" s="84" t="e">
        <f t="shared" si="0"/>
        <v>#N/A</v>
      </c>
      <c r="V51" s="84" t="e" cm="1">
        <f t="array" ref="V51">_xlfn.IFS(U51&lt;=1,Tablas!$A$75,U51&lt;=5,Tablas!$A$76,U51&lt;=10,Tablas!$A$77,U51&lt;=50,Tablas!$A$78,U51&lt;=100,Tablas!$A$79,U51&lt;=500,Tablas!$A$80,U51&lt;=999,Tablas!$A$81,U51&gt;1000,Tablas!A133)</f>
        <v>#N/A</v>
      </c>
      <c r="W51" s="84" t="e" cm="1">
        <f t="array" ref="W51">_xlfn.IFS(V51=Tablas!$A$87,Tablas!$B$87,V51=Tablas!$A$88,Tablas!$B$88,V51=Tablas!$A$89,Tablas!$B$89,V51=Tablas!$A$90,Tablas!$B$90,V51=Tablas!$A$91,Tablas!$B$91,V51=Tablas!$A$92,Tablas!$B$92,V51=Tablas!$A$93,Tablas!$B$93,V51=Tablas!$A$94,Tablas!$B$94)</f>
        <v>#N/A</v>
      </c>
      <c r="X51" s="84"/>
      <c r="Y51" s="117"/>
      <c r="Z51" s="84"/>
      <c r="AA51" s="84"/>
      <c r="AB51" s="84"/>
      <c r="AC51" s="84"/>
      <c r="AD51" s="84"/>
      <c r="AE51" s="84"/>
      <c r="AF51" s="84"/>
      <c r="AG51" s="84" t="e">
        <f>VLOOKUP(AF51,Tablas!A82:B89,2,FALSE)</f>
        <v>#N/A</v>
      </c>
      <c r="AH51" s="84"/>
      <c r="AI51" s="84" t="e">
        <f>VLOOKUP(AH51,Tablas!A92:B98,2,FALSE)</f>
        <v>#N/A</v>
      </c>
      <c r="AJ51" s="84"/>
      <c r="AK51" s="121" t="e">
        <f>VLOOKUP(AJ51,Tablas!A102:B110,2,FALSE)</f>
        <v>#N/A</v>
      </c>
      <c r="AL51" s="84"/>
      <c r="AM51" s="84" t="e">
        <f>VLOOKUP(AL51,Tablas!A113:B123,2,FALSE)</f>
        <v>#N/A</v>
      </c>
      <c r="AN51" s="84" t="e">
        <f t="shared" si="1"/>
        <v>#N/A</v>
      </c>
      <c r="AO51" s="84" t="e" cm="1">
        <f t="array" ref="AO51">_xlfn.IFS(AN51&lt;=1,Tablas!$A$75,AN51&lt;=5,Tablas!$A$76,AN51&lt;=10,Tablas!$A$77,AN51&lt;=50,Tablas!$A$78,AN51&lt;=100,Tablas!$A$79,AN51&lt;=500,Tablas!$A$80,AN51&lt;=999,Tablas!$A$81,AN51&gt;1000,Tablas!T133)</f>
        <v>#N/A</v>
      </c>
      <c r="AP51" s="84"/>
      <c r="AQ51" s="84"/>
    </row>
    <row r="52" spans="2:43" s="21" customFormat="1" ht="92.25" customHeight="1" x14ac:dyDescent="0.25">
      <c r="B52" s="117"/>
      <c r="C52" s="118"/>
      <c r="D52" s="119"/>
      <c r="E52" s="119"/>
      <c r="F52" s="119"/>
      <c r="G52" s="119"/>
      <c r="H52" s="120"/>
      <c r="I52" s="121"/>
      <c r="J52" s="119"/>
      <c r="K52" s="84"/>
      <c r="L52" s="84"/>
      <c r="M52" s="84"/>
      <c r="N52" s="84" t="e">
        <f>VLOOKUP(M52,Tablas!$A$31:$B$38,2,FALSE)</f>
        <v>#N/A</v>
      </c>
      <c r="O52" s="84"/>
      <c r="P52" s="84" t="e">
        <f>VLOOKUP(O52,Tablas!$A$41:$B$47,2,FALSE)</f>
        <v>#N/A</v>
      </c>
      <c r="Q52" s="84"/>
      <c r="R52" s="121" t="e">
        <f>VLOOKUP(Q52,Tablas!$A$51:$B$59,2,FALSE)</f>
        <v>#N/A</v>
      </c>
      <c r="S52" s="84"/>
      <c r="T52" s="84" t="e">
        <f>VLOOKUP(S52,Tablas!$A$62:$B$72,2,FALSE)</f>
        <v>#N/A</v>
      </c>
      <c r="U52" s="84" t="e">
        <f t="shared" si="0"/>
        <v>#N/A</v>
      </c>
      <c r="V52" s="84" t="e" cm="1">
        <f t="array" ref="V52">_xlfn.IFS(U52&lt;=1,Tablas!$A$75,U52&lt;=5,Tablas!$A$76,U52&lt;=10,Tablas!$A$77,U52&lt;=50,Tablas!$A$78,U52&lt;=100,Tablas!$A$79,U52&lt;=500,Tablas!$A$80,U52&lt;=999,Tablas!$A$81,U52&gt;1000,Tablas!A134)</f>
        <v>#N/A</v>
      </c>
      <c r="W52" s="84" t="e" cm="1">
        <f t="array" ref="W52">_xlfn.IFS(V52=Tablas!$A$87,Tablas!$B$87,V52=Tablas!$A$88,Tablas!$B$88,V52=Tablas!$A$89,Tablas!$B$89,V52=Tablas!$A$90,Tablas!$B$90,V52=Tablas!$A$91,Tablas!$B$91,V52=Tablas!$A$92,Tablas!$B$92,V52=Tablas!$A$93,Tablas!$B$93,V52=Tablas!$A$94,Tablas!$B$94)</f>
        <v>#N/A</v>
      </c>
      <c r="X52" s="84"/>
      <c r="Y52" s="117"/>
      <c r="Z52" s="84"/>
      <c r="AA52" s="84"/>
      <c r="AB52" s="84"/>
      <c r="AC52" s="84"/>
      <c r="AD52" s="84"/>
      <c r="AE52" s="84"/>
      <c r="AF52" s="84"/>
      <c r="AG52" s="84" t="e">
        <f>VLOOKUP(AF52,Tablas!A83:B90,2,FALSE)</f>
        <v>#N/A</v>
      </c>
      <c r="AH52" s="84"/>
      <c r="AI52" s="84" t="e">
        <f>VLOOKUP(AH52,Tablas!A93:B99,2,FALSE)</f>
        <v>#N/A</v>
      </c>
      <c r="AJ52" s="84"/>
      <c r="AK52" s="121" t="e">
        <f>VLOOKUP(AJ52,Tablas!A103:B111,2,FALSE)</f>
        <v>#N/A</v>
      </c>
      <c r="AL52" s="84"/>
      <c r="AM52" s="84" t="e">
        <f>VLOOKUP(AL52,Tablas!A114:B124,2,FALSE)</f>
        <v>#N/A</v>
      </c>
      <c r="AN52" s="84" t="e">
        <f t="shared" si="1"/>
        <v>#N/A</v>
      </c>
      <c r="AO52" s="84" t="e" cm="1">
        <f t="array" ref="AO52">_xlfn.IFS(AN52&lt;=1,Tablas!$A$75,AN52&lt;=5,Tablas!$A$76,AN52&lt;=10,Tablas!$A$77,AN52&lt;=50,Tablas!$A$78,AN52&lt;=100,Tablas!$A$79,AN52&lt;=500,Tablas!$A$80,AN52&lt;=999,Tablas!$A$81,AN52&gt;1000,Tablas!T134)</f>
        <v>#N/A</v>
      </c>
      <c r="AP52" s="84"/>
      <c r="AQ52" s="84"/>
    </row>
    <row r="53" spans="2:43" s="21" customFormat="1" ht="92.25" customHeight="1" x14ac:dyDescent="0.25">
      <c r="B53" s="117"/>
      <c r="C53" s="118"/>
      <c r="D53" s="119"/>
      <c r="E53" s="119"/>
      <c r="F53" s="119"/>
      <c r="G53" s="119"/>
      <c r="H53" s="120"/>
      <c r="I53" s="121"/>
      <c r="J53" s="119"/>
      <c r="K53" s="84"/>
      <c r="L53" s="84"/>
      <c r="M53" s="84"/>
      <c r="N53" s="84" t="e">
        <f>VLOOKUP(M53,Tablas!$A$31:$B$38,2,FALSE)</f>
        <v>#N/A</v>
      </c>
      <c r="O53" s="84"/>
      <c r="P53" s="84" t="e">
        <f>VLOOKUP(O53,Tablas!$A$41:$B$47,2,FALSE)</f>
        <v>#N/A</v>
      </c>
      <c r="Q53" s="84"/>
      <c r="R53" s="121" t="e">
        <f>VLOOKUP(Q53,Tablas!$A$51:$B$59,2,FALSE)</f>
        <v>#N/A</v>
      </c>
      <c r="S53" s="84"/>
      <c r="T53" s="84" t="e">
        <f>VLOOKUP(S53,Tablas!$A$62:$B$72,2,FALSE)</f>
        <v>#N/A</v>
      </c>
      <c r="U53" s="84" t="e">
        <f t="shared" si="0"/>
        <v>#N/A</v>
      </c>
      <c r="V53" s="84" t="e" cm="1">
        <f t="array" ref="V53">_xlfn.IFS(U53&lt;=1,Tablas!$A$75,U53&lt;=5,Tablas!$A$76,U53&lt;=10,Tablas!$A$77,U53&lt;=50,Tablas!$A$78,U53&lt;=100,Tablas!$A$79,U53&lt;=500,Tablas!$A$80,U53&lt;=999,Tablas!$A$81,U53&gt;1000,Tablas!A135)</f>
        <v>#N/A</v>
      </c>
      <c r="W53" s="84" t="e" cm="1">
        <f t="array" ref="W53">_xlfn.IFS(V53=Tablas!$A$87,Tablas!$B$87,V53=Tablas!$A$88,Tablas!$B$88,V53=Tablas!$A$89,Tablas!$B$89,V53=Tablas!$A$90,Tablas!$B$90,V53=Tablas!$A$91,Tablas!$B$91,V53=Tablas!$A$92,Tablas!$B$92,V53=Tablas!$A$93,Tablas!$B$93,V53=Tablas!$A$94,Tablas!$B$94)</f>
        <v>#N/A</v>
      </c>
      <c r="X53" s="84"/>
      <c r="Y53" s="117"/>
      <c r="Z53" s="84"/>
      <c r="AA53" s="84"/>
      <c r="AB53" s="84"/>
      <c r="AC53" s="84"/>
      <c r="AD53" s="84"/>
      <c r="AE53" s="84"/>
      <c r="AF53" s="84"/>
      <c r="AG53" s="84" t="e">
        <f>VLOOKUP(AF53,Tablas!A84:B91,2,FALSE)</f>
        <v>#N/A</v>
      </c>
      <c r="AH53" s="84"/>
      <c r="AI53" s="84" t="e">
        <f>VLOOKUP(AH53,Tablas!A94:B100,2,FALSE)</f>
        <v>#N/A</v>
      </c>
      <c r="AJ53" s="84"/>
      <c r="AK53" s="121" t="e">
        <f>VLOOKUP(AJ53,Tablas!A104:B112,2,FALSE)</f>
        <v>#N/A</v>
      </c>
      <c r="AL53" s="84"/>
      <c r="AM53" s="84" t="e">
        <f>VLOOKUP(AL53,Tablas!A115:B125,2,FALSE)</f>
        <v>#N/A</v>
      </c>
      <c r="AN53" s="84" t="e">
        <f t="shared" si="1"/>
        <v>#N/A</v>
      </c>
      <c r="AO53" s="84" t="e" cm="1">
        <f t="array" ref="AO53">_xlfn.IFS(AN53&lt;=1,Tablas!$A$75,AN53&lt;=5,Tablas!$A$76,AN53&lt;=10,Tablas!$A$77,AN53&lt;=50,Tablas!$A$78,AN53&lt;=100,Tablas!$A$79,AN53&lt;=500,Tablas!$A$80,AN53&lt;=999,Tablas!$A$81,AN53&gt;1000,Tablas!T135)</f>
        <v>#N/A</v>
      </c>
      <c r="AP53" s="84"/>
      <c r="AQ53" s="84"/>
    </row>
    <row r="54" spans="2:43" s="21" customFormat="1" ht="92.25" customHeight="1" x14ac:dyDescent="0.25">
      <c r="B54" s="117"/>
      <c r="C54" s="118"/>
      <c r="D54" s="119"/>
      <c r="E54" s="119"/>
      <c r="F54" s="119"/>
      <c r="G54" s="119"/>
      <c r="H54" s="120"/>
      <c r="I54" s="121"/>
      <c r="J54" s="119"/>
      <c r="K54" s="84"/>
      <c r="L54" s="84"/>
      <c r="M54" s="84"/>
      <c r="N54" s="84" t="e">
        <f>VLOOKUP(M54,Tablas!$A$31:$B$38,2,FALSE)</f>
        <v>#N/A</v>
      </c>
      <c r="O54" s="84"/>
      <c r="P54" s="84" t="e">
        <f>VLOOKUP(O54,Tablas!$A$41:$B$47,2,FALSE)</f>
        <v>#N/A</v>
      </c>
      <c r="Q54" s="84"/>
      <c r="R54" s="121" t="e">
        <f>VLOOKUP(Q54,Tablas!$A$51:$B$59,2,FALSE)</f>
        <v>#N/A</v>
      </c>
      <c r="S54" s="84"/>
      <c r="T54" s="84" t="e">
        <f>VLOOKUP(S54,Tablas!$A$62:$B$72,2,FALSE)</f>
        <v>#N/A</v>
      </c>
      <c r="U54" s="84" t="e">
        <f t="shared" si="0"/>
        <v>#N/A</v>
      </c>
      <c r="V54" s="84" t="e" cm="1">
        <f t="array" ref="V54">_xlfn.IFS(U54&lt;=1,Tablas!$A$75,U54&lt;=5,Tablas!$A$76,U54&lt;=10,Tablas!$A$77,U54&lt;=50,Tablas!$A$78,U54&lt;=100,Tablas!$A$79,U54&lt;=500,Tablas!$A$80,U54&lt;=999,Tablas!$A$81,U54&gt;1000,Tablas!A136)</f>
        <v>#N/A</v>
      </c>
      <c r="W54" s="84" t="e" cm="1">
        <f t="array" ref="W54">_xlfn.IFS(V54=Tablas!$A$87,Tablas!$B$87,V54=Tablas!$A$88,Tablas!$B$88,V54=Tablas!$A$89,Tablas!$B$89,V54=Tablas!$A$90,Tablas!$B$90,V54=Tablas!$A$91,Tablas!$B$91,V54=Tablas!$A$92,Tablas!$B$92,V54=Tablas!$A$93,Tablas!$B$93,V54=Tablas!$A$94,Tablas!$B$94)</f>
        <v>#N/A</v>
      </c>
      <c r="X54" s="84"/>
      <c r="Y54" s="117"/>
      <c r="Z54" s="84"/>
      <c r="AA54" s="84"/>
      <c r="AB54" s="84"/>
      <c r="AC54" s="84"/>
      <c r="AD54" s="84"/>
      <c r="AE54" s="84"/>
      <c r="AF54" s="84"/>
      <c r="AG54" s="84" t="e">
        <f>VLOOKUP(AF54,Tablas!A85:B92,2,FALSE)</f>
        <v>#N/A</v>
      </c>
      <c r="AH54" s="84"/>
      <c r="AI54" s="84" t="e">
        <f>VLOOKUP(AH54,Tablas!A95:B101,2,FALSE)</f>
        <v>#N/A</v>
      </c>
      <c r="AJ54" s="84"/>
      <c r="AK54" s="121" t="e">
        <f>VLOOKUP(AJ54,Tablas!A105:B113,2,FALSE)</f>
        <v>#N/A</v>
      </c>
      <c r="AL54" s="84"/>
      <c r="AM54" s="84" t="e">
        <f>VLOOKUP(AL54,Tablas!A116:B126,2,FALSE)</f>
        <v>#N/A</v>
      </c>
      <c r="AN54" s="84" t="e">
        <f t="shared" si="1"/>
        <v>#N/A</v>
      </c>
      <c r="AO54" s="84" t="e" cm="1">
        <f t="array" ref="AO54">_xlfn.IFS(AN54&lt;=1,Tablas!$A$75,AN54&lt;=5,Tablas!$A$76,AN54&lt;=10,Tablas!$A$77,AN54&lt;=50,Tablas!$A$78,AN54&lt;=100,Tablas!$A$79,AN54&lt;=500,Tablas!$A$80,AN54&lt;=999,Tablas!$A$81,AN54&gt;1000,Tablas!T136)</f>
        <v>#N/A</v>
      </c>
      <c r="AP54" s="84"/>
      <c r="AQ54" s="84"/>
    </row>
    <row r="55" spans="2:43" s="21" customFormat="1" ht="92.25" customHeight="1" x14ac:dyDescent="0.25">
      <c r="B55" s="117"/>
      <c r="C55" s="118"/>
      <c r="D55" s="119"/>
      <c r="E55" s="119"/>
      <c r="F55" s="119"/>
      <c r="G55" s="119"/>
      <c r="H55" s="120"/>
      <c r="I55" s="121"/>
      <c r="J55" s="119"/>
      <c r="K55" s="84"/>
      <c r="L55" s="84"/>
      <c r="M55" s="84"/>
      <c r="N55" s="84" t="e">
        <f>VLOOKUP(M55,Tablas!$A$31:$B$38,2,FALSE)</f>
        <v>#N/A</v>
      </c>
      <c r="O55" s="84"/>
      <c r="P55" s="84" t="e">
        <f>VLOOKUP(O55,Tablas!$A$41:$B$47,2,FALSE)</f>
        <v>#N/A</v>
      </c>
      <c r="Q55" s="84"/>
      <c r="R55" s="121" t="e">
        <f>VLOOKUP(Q55,Tablas!$A$51:$B$59,2,FALSE)</f>
        <v>#N/A</v>
      </c>
      <c r="S55" s="84"/>
      <c r="T55" s="84" t="e">
        <f>VLOOKUP(S55,Tablas!$A$62:$B$72,2,FALSE)</f>
        <v>#N/A</v>
      </c>
      <c r="U55" s="84" t="e">
        <f t="shared" si="0"/>
        <v>#N/A</v>
      </c>
      <c r="V55" s="84" t="e" cm="1">
        <f t="array" ref="V55">_xlfn.IFS(U55&lt;=1,Tablas!$A$75,U55&lt;=5,Tablas!$A$76,U55&lt;=10,Tablas!$A$77,U55&lt;=50,Tablas!$A$78,U55&lt;=100,Tablas!$A$79,U55&lt;=500,Tablas!$A$80,U55&lt;=999,Tablas!$A$81,U55&gt;1000,Tablas!A137)</f>
        <v>#N/A</v>
      </c>
      <c r="W55" s="84" t="e" cm="1">
        <f t="array" ref="W55">_xlfn.IFS(V55=Tablas!$A$87,Tablas!$B$87,V55=Tablas!$A$88,Tablas!$B$88,V55=Tablas!$A$89,Tablas!$B$89,V55=Tablas!$A$90,Tablas!$B$90,V55=Tablas!$A$91,Tablas!$B$91,V55=Tablas!$A$92,Tablas!$B$92,V55=Tablas!$A$93,Tablas!$B$93,V55=Tablas!$A$94,Tablas!$B$94)</f>
        <v>#N/A</v>
      </c>
      <c r="X55" s="84"/>
      <c r="Y55" s="117"/>
      <c r="Z55" s="84"/>
      <c r="AA55" s="84"/>
      <c r="AB55" s="84"/>
      <c r="AC55" s="84"/>
      <c r="AD55" s="84"/>
      <c r="AE55" s="84"/>
      <c r="AF55" s="84"/>
      <c r="AG55" s="84" t="e">
        <f>VLOOKUP(AF55,Tablas!A86:B93,2,FALSE)</f>
        <v>#N/A</v>
      </c>
      <c r="AH55" s="84"/>
      <c r="AI55" s="84" t="e">
        <f>VLOOKUP(AH55,Tablas!A96:B102,2,FALSE)</f>
        <v>#N/A</v>
      </c>
      <c r="AJ55" s="84"/>
      <c r="AK55" s="121" t="e">
        <f>VLOOKUP(AJ55,Tablas!A106:B114,2,FALSE)</f>
        <v>#N/A</v>
      </c>
      <c r="AL55" s="84"/>
      <c r="AM55" s="84" t="e">
        <f>VLOOKUP(AL55,Tablas!A117:B127,2,FALSE)</f>
        <v>#N/A</v>
      </c>
      <c r="AN55" s="84" t="e">
        <f t="shared" si="1"/>
        <v>#N/A</v>
      </c>
      <c r="AO55" s="84" t="e" cm="1">
        <f t="array" ref="AO55">_xlfn.IFS(AN55&lt;=1,Tablas!$A$75,AN55&lt;=5,Tablas!$A$76,AN55&lt;=10,Tablas!$A$77,AN55&lt;=50,Tablas!$A$78,AN55&lt;=100,Tablas!$A$79,AN55&lt;=500,Tablas!$A$80,AN55&lt;=999,Tablas!$A$81,AN55&gt;1000,Tablas!T137)</f>
        <v>#N/A</v>
      </c>
      <c r="AP55" s="84"/>
      <c r="AQ55" s="84"/>
    </row>
    <row r="56" spans="2:43" s="21" customFormat="1" ht="92.25" customHeight="1" x14ac:dyDescent="0.25">
      <c r="B56" s="117"/>
      <c r="C56" s="118"/>
      <c r="D56" s="119"/>
      <c r="E56" s="119"/>
      <c r="F56" s="119"/>
      <c r="G56" s="119"/>
      <c r="H56" s="120"/>
      <c r="I56" s="121"/>
      <c r="J56" s="119"/>
      <c r="K56" s="84"/>
      <c r="L56" s="84"/>
      <c r="M56" s="84"/>
      <c r="N56" s="84" t="e">
        <f>VLOOKUP(M56,Tablas!$A$31:$B$38,2,FALSE)</f>
        <v>#N/A</v>
      </c>
      <c r="O56" s="84"/>
      <c r="P56" s="84" t="e">
        <f>VLOOKUP(O56,Tablas!$A$41:$B$47,2,FALSE)</f>
        <v>#N/A</v>
      </c>
      <c r="Q56" s="84"/>
      <c r="R56" s="121" t="e">
        <f>VLOOKUP(Q56,Tablas!$A$51:$B$59,2,FALSE)</f>
        <v>#N/A</v>
      </c>
      <c r="S56" s="84"/>
      <c r="T56" s="84" t="e">
        <f>VLOOKUP(S56,Tablas!$A$62:$B$72,2,FALSE)</f>
        <v>#N/A</v>
      </c>
      <c r="U56" s="84" t="e">
        <f t="shared" si="0"/>
        <v>#N/A</v>
      </c>
      <c r="V56" s="84" t="e" cm="1">
        <f t="array" ref="V56">_xlfn.IFS(U56&lt;=1,Tablas!$A$75,U56&lt;=5,Tablas!$A$76,U56&lt;=10,Tablas!$A$77,U56&lt;=50,Tablas!$A$78,U56&lt;=100,Tablas!$A$79,U56&lt;=500,Tablas!$A$80,U56&lt;=999,Tablas!$A$81,U56&gt;1000,Tablas!A138)</f>
        <v>#N/A</v>
      </c>
      <c r="W56" s="84" t="e" cm="1">
        <f t="array" ref="W56">_xlfn.IFS(V56=Tablas!$A$87,Tablas!$B$87,V56=Tablas!$A$88,Tablas!$B$88,V56=Tablas!$A$89,Tablas!$B$89,V56=Tablas!$A$90,Tablas!$B$90,V56=Tablas!$A$91,Tablas!$B$91,V56=Tablas!$A$92,Tablas!$B$92,V56=Tablas!$A$93,Tablas!$B$93,V56=Tablas!$A$94,Tablas!$B$94)</f>
        <v>#N/A</v>
      </c>
      <c r="X56" s="84"/>
      <c r="Y56" s="117"/>
      <c r="Z56" s="84"/>
      <c r="AA56" s="84"/>
      <c r="AB56" s="84"/>
      <c r="AC56" s="84"/>
      <c r="AD56" s="84"/>
      <c r="AE56" s="84"/>
      <c r="AF56" s="84"/>
      <c r="AG56" s="84" t="e">
        <f>VLOOKUP(AF56,Tablas!A87:B94,2,FALSE)</f>
        <v>#N/A</v>
      </c>
      <c r="AH56" s="84"/>
      <c r="AI56" s="84" t="e">
        <f>VLOOKUP(AH56,Tablas!A97:B103,2,FALSE)</f>
        <v>#N/A</v>
      </c>
      <c r="AJ56" s="84"/>
      <c r="AK56" s="121" t="e">
        <f>VLOOKUP(AJ56,Tablas!A107:B115,2,FALSE)</f>
        <v>#N/A</v>
      </c>
      <c r="AL56" s="84"/>
      <c r="AM56" s="84" t="e">
        <f>VLOOKUP(AL56,Tablas!A118:B128,2,FALSE)</f>
        <v>#N/A</v>
      </c>
      <c r="AN56" s="84" t="e">
        <f t="shared" si="1"/>
        <v>#N/A</v>
      </c>
      <c r="AO56" s="84" t="e" cm="1">
        <f t="array" ref="AO56">_xlfn.IFS(AN56&lt;=1,Tablas!$A$75,AN56&lt;=5,Tablas!$A$76,AN56&lt;=10,Tablas!$A$77,AN56&lt;=50,Tablas!$A$78,AN56&lt;=100,Tablas!$A$79,AN56&lt;=500,Tablas!$A$80,AN56&lt;=999,Tablas!$A$81,AN56&gt;1000,Tablas!T138)</f>
        <v>#N/A</v>
      </c>
      <c r="AP56" s="84"/>
      <c r="AQ56" s="84"/>
    </row>
    <row r="57" spans="2:43" s="21" customFormat="1" ht="92.25" customHeight="1" x14ac:dyDescent="0.25">
      <c r="B57" s="117"/>
      <c r="C57" s="118"/>
      <c r="D57" s="119"/>
      <c r="E57" s="119"/>
      <c r="F57" s="119"/>
      <c r="G57" s="119"/>
      <c r="H57" s="120"/>
      <c r="I57" s="121"/>
      <c r="J57" s="119"/>
      <c r="K57" s="84"/>
      <c r="L57" s="84"/>
      <c r="M57" s="84"/>
      <c r="N57" s="84" t="e">
        <f>VLOOKUP(M57,Tablas!$A$31:$B$38,2,FALSE)</f>
        <v>#N/A</v>
      </c>
      <c r="O57" s="84"/>
      <c r="P57" s="84" t="e">
        <f>VLOOKUP(O57,Tablas!$A$41:$B$47,2,FALSE)</f>
        <v>#N/A</v>
      </c>
      <c r="Q57" s="84"/>
      <c r="R57" s="121" t="e">
        <f>VLOOKUP(Q57,Tablas!$A$51:$B$59,2,FALSE)</f>
        <v>#N/A</v>
      </c>
      <c r="S57" s="84"/>
      <c r="T57" s="84" t="e">
        <f>VLOOKUP(S57,Tablas!$A$62:$B$72,2,FALSE)</f>
        <v>#N/A</v>
      </c>
      <c r="U57" s="84" t="e">
        <f t="shared" si="0"/>
        <v>#N/A</v>
      </c>
      <c r="V57" s="84" t="e" cm="1">
        <f t="array" ref="V57">_xlfn.IFS(U57&lt;=1,Tablas!$A$75,U57&lt;=5,Tablas!$A$76,U57&lt;=10,Tablas!$A$77,U57&lt;=50,Tablas!$A$78,U57&lt;=100,Tablas!$A$79,U57&lt;=500,Tablas!$A$80,U57&lt;=999,Tablas!$A$81,U57&gt;1000,Tablas!A139)</f>
        <v>#N/A</v>
      </c>
      <c r="W57" s="84" t="e" cm="1">
        <f t="array" ref="W57">_xlfn.IFS(V57=Tablas!$A$87,Tablas!$B$87,V57=Tablas!$A$88,Tablas!$B$88,V57=Tablas!$A$89,Tablas!$B$89,V57=Tablas!$A$90,Tablas!$B$90,V57=Tablas!$A$91,Tablas!$B$91,V57=Tablas!$A$92,Tablas!$B$92,V57=Tablas!$A$93,Tablas!$B$93,V57=Tablas!$A$94,Tablas!$B$94)</f>
        <v>#N/A</v>
      </c>
      <c r="X57" s="84"/>
      <c r="Y57" s="117"/>
      <c r="Z57" s="84"/>
      <c r="AA57" s="84"/>
      <c r="AB57" s="84"/>
      <c r="AC57" s="84"/>
      <c r="AD57" s="84"/>
      <c r="AE57" s="84"/>
      <c r="AF57" s="84"/>
      <c r="AG57" s="84" t="e">
        <f>VLOOKUP(AF57,Tablas!A88:B95,2,FALSE)</f>
        <v>#N/A</v>
      </c>
      <c r="AH57" s="84"/>
      <c r="AI57" s="84" t="e">
        <f>VLOOKUP(AH57,Tablas!A98:B104,2,FALSE)</f>
        <v>#N/A</v>
      </c>
      <c r="AJ57" s="84"/>
      <c r="AK57" s="121" t="e">
        <f>VLOOKUP(AJ57,Tablas!A108:B116,2,FALSE)</f>
        <v>#N/A</v>
      </c>
      <c r="AL57" s="84"/>
      <c r="AM57" s="84" t="e">
        <f>VLOOKUP(AL57,Tablas!A119:B129,2,FALSE)</f>
        <v>#N/A</v>
      </c>
      <c r="AN57" s="84" t="e">
        <f t="shared" si="1"/>
        <v>#N/A</v>
      </c>
      <c r="AO57" s="84" t="e" cm="1">
        <f t="array" ref="AO57">_xlfn.IFS(AN57&lt;=1,Tablas!$A$75,AN57&lt;=5,Tablas!$A$76,AN57&lt;=10,Tablas!$A$77,AN57&lt;=50,Tablas!$A$78,AN57&lt;=100,Tablas!$A$79,AN57&lt;=500,Tablas!$A$80,AN57&lt;=999,Tablas!$A$81,AN57&gt;1000,Tablas!T139)</f>
        <v>#N/A</v>
      </c>
      <c r="AP57" s="84"/>
      <c r="AQ57" s="84"/>
    </row>
    <row r="58" spans="2:43" s="21" customFormat="1" ht="92.25" customHeight="1" x14ac:dyDescent="0.25">
      <c r="B58" s="117"/>
      <c r="C58" s="118"/>
      <c r="D58" s="119"/>
      <c r="E58" s="119"/>
      <c r="F58" s="119"/>
      <c r="G58" s="119"/>
      <c r="H58" s="120"/>
      <c r="I58" s="121"/>
      <c r="J58" s="119"/>
      <c r="K58" s="84"/>
      <c r="L58" s="84"/>
      <c r="M58" s="84"/>
      <c r="N58" s="84" t="e">
        <f>VLOOKUP(M58,Tablas!$A$31:$B$38,2,FALSE)</f>
        <v>#N/A</v>
      </c>
      <c r="O58" s="84"/>
      <c r="P58" s="84" t="e">
        <f>VLOOKUP(O58,Tablas!$A$41:$B$47,2,FALSE)</f>
        <v>#N/A</v>
      </c>
      <c r="Q58" s="84"/>
      <c r="R58" s="121" t="e">
        <f>VLOOKUP(Q58,Tablas!$A$51:$B$59,2,FALSE)</f>
        <v>#N/A</v>
      </c>
      <c r="S58" s="84"/>
      <c r="T58" s="84" t="e">
        <f>VLOOKUP(S58,Tablas!$A$62:$B$72,2,FALSE)</f>
        <v>#N/A</v>
      </c>
      <c r="U58" s="84" t="e">
        <f t="shared" si="0"/>
        <v>#N/A</v>
      </c>
      <c r="V58" s="84" t="e" cm="1">
        <f t="array" ref="V58">_xlfn.IFS(U58&lt;=1,Tablas!$A$75,U58&lt;=5,Tablas!$A$76,U58&lt;=10,Tablas!$A$77,U58&lt;=50,Tablas!$A$78,U58&lt;=100,Tablas!$A$79,U58&lt;=500,Tablas!$A$80,U58&lt;=999,Tablas!$A$81,U58&gt;1000,Tablas!A140)</f>
        <v>#N/A</v>
      </c>
      <c r="W58" s="84" t="e" cm="1">
        <f t="array" ref="W58">_xlfn.IFS(V58=Tablas!$A$87,Tablas!$B$87,V58=Tablas!$A$88,Tablas!$B$88,V58=Tablas!$A$89,Tablas!$B$89,V58=Tablas!$A$90,Tablas!$B$90,V58=Tablas!$A$91,Tablas!$B$91,V58=Tablas!$A$92,Tablas!$B$92,V58=Tablas!$A$93,Tablas!$B$93,V58=Tablas!$A$94,Tablas!$B$94)</f>
        <v>#N/A</v>
      </c>
      <c r="X58" s="84"/>
      <c r="Y58" s="117"/>
      <c r="Z58" s="84"/>
      <c r="AA58" s="84"/>
      <c r="AB58" s="84"/>
      <c r="AC58" s="84"/>
      <c r="AD58" s="84"/>
      <c r="AE58" s="84"/>
      <c r="AF58" s="84"/>
      <c r="AG58" s="84" t="e">
        <f>VLOOKUP(AF58,Tablas!A89:B96,2,FALSE)</f>
        <v>#N/A</v>
      </c>
      <c r="AH58" s="84"/>
      <c r="AI58" s="84" t="e">
        <f>VLOOKUP(AH58,Tablas!A99:B105,2,FALSE)</f>
        <v>#N/A</v>
      </c>
      <c r="AJ58" s="84"/>
      <c r="AK58" s="121" t="e">
        <f>VLOOKUP(AJ58,Tablas!A109:B117,2,FALSE)</f>
        <v>#N/A</v>
      </c>
      <c r="AL58" s="84"/>
      <c r="AM58" s="84" t="e">
        <f>VLOOKUP(AL58,Tablas!A120:B130,2,FALSE)</f>
        <v>#N/A</v>
      </c>
      <c r="AN58" s="84" t="e">
        <f t="shared" si="1"/>
        <v>#N/A</v>
      </c>
      <c r="AO58" s="84" t="e" cm="1">
        <f t="array" ref="AO58">_xlfn.IFS(AN58&lt;=1,Tablas!$A$75,AN58&lt;=5,Tablas!$A$76,AN58&lt;=10,Tablas!$A$77,AN58&lt;=50,Tablas!$A$78,AN58&lt;=100,Tablas!$A$79,AN58&lt;=500,Tablas!$A$80,AN58&lt;=999,Tablas!$A$81,AN58&gt;1000,Tablas!T140)</f>
        <v>#N/A</v>
      </c>
      <c r="AP58" s="84"/>
      <c r="AQ58" s="84"/>
    </row>
    <row r="59" spans="2:43" s="21" customFormat="1" ht="92.25" customHeight="1" x14ac:dyDescent="0.25">
      <c r="B59" s="117"/>
      <c r="C59" s="118"/>
      <c r="D59" s="119"/>
      <c r="E59" s="119"/>
      <c r="F59" s="119"/>
      <c r="G59" s="119"/>
      <c r="H59" s="120"/>
      <c r="I59" s="121"/>
      <c r="J59" s="119"/>
      <c r="K59" s="84"/>
      <c r="L59" s="84"/>
      <c r="M59" s="84"/>
      <c r="N59" s="84" t="e">
        <f>VLOOKUP(M59,Tablas!$A$31:$B$38,2,FALSE)</f>
        <v>#N/A</v>
      </c>
      <c r="O59" s="84"/>
      <c r="P59" s="84" t="e">
        <f>VLOOKUP(O59,Tablas!$A$41:$B$47,2,FALSE)</f>
        <v>#N/A</v>
      </c>
      <c r="Q59" s="84"/>
      <c r="R59" s="121" t="e">
        <f>VLOOKUP(Q59,Tablas!$A$51:$B$59,2,FALSE)</f>
        <v>#N/A</v>
      </c>
      <c r="S59" s="84"/>
      <c r="T59" s="84" t="e">
        <f>VLOOKUP(S59,Tablas!$A$62:$B$72,2,FALSE)</f>
        <v>#N/A</v>
      </c>
      <c r="U59" s="84" t="e">
        <f t="shared" si="0"/>
        <v>#N/A</v>
      </c>
      <c r="V59" s="84" t="e" cm="1">
        <f t="array" ref="V59">_xlfn.IFS(U59&lt;=1,Tablas!$A$75,U59&lt;=5,Tablas!$A$76,U59&lt;=10,Tablas!$A$77,U59&lt;=50,Tablas!$A$78,U59&lt;=100,Tablas!$A$79,U59&lt;=500,Tablas!$A$80,U59&lt;=999,Tablas!$A$81,U59&gt;1000,Tablas!A141)</f>
        <v>#N/A</v>
      </c>
      <c r="W59" s="84" t="e" cm="1">
        <f t="array" ref="W59">_xlfn.IFS(V59=Tablas!$A$87,Tablas!$B$87,V59=Tablas!$A$88,Tablas!$B$88,V59=Tablas!$A$89,Tablas!$B$89,V59=Tablas!$A$90,Tablas!$B$90,V59=Tablas!$A$91,Tablas!$B$91,V59=Tablas!$A$92,Tablas!$B$92,V59=Tablas!$A$93,Tablas!$B$93,V59=Tablas!$A$94,Tablas!$B$94)</f>
        <v>#N/A</v>
      </c>
      <c r="X59" s="84"/>
      <c r="Y59" s="117"/>
      <c r="Z59" s="84"/>
      <c r="AA59" s="84"/>
      <c r="AB59" s="84"/>
      <c r="AC59" s="84"/>
      <c r="AD59" s="84"/>
      <c r="AE59" s="84"/>
      <c r="AF59" s="84"/>
      <c r="AG59" s="84" t="e">
        <f>VLOOKUP(AF59,Tablas!A90:B97,2,FALSE)</f>
        <v>#N/A</v>
      </c>
      <c r="AH59" s="84"/>
      <c r="AI59" s="84" t="e">
        <f>VLOOKUP(AH59,Tablas!A100:B106,2,FALSE)</f>
        <v>#N/A</v>
      </c>
      <c r="AJ59" s="84"/>
      <c r="AK59" s="121" t="e">
        <f>VLOOKUP(AJ59,Tablas!A110:B118,2,FALSE)</f>
        <v>#N/A</v>
      </c>
      <c r="AL59" s="84"/>
      <c r="AM59" s="84" t="e">
        <f>VLOOKUP(AL59,Tablas!A121:B131,2,FALSE)</f>
        <v>#N/A</v>
      </c>
      <c r="AN59" s="84" t="e">
        <f t="shared" si="1"/>
        <v>#N/A</v>
      </c>
      <c r="AO59" s="84" t="e" cm="1">
        <f t="array" ref="AO59">_xlfn.IFS(AN59&lt;=1,Tablas!$A$75,AN59&lt;=5,Tablas!$A$76,AN59&lt;=10,Tablas!$A$77,AN59&lt;=50,Tablas!$A$78,AN59&lt;=100,Tablas!$A$79,AN59&lt;=500,Tablas!$A$80,AN59&lt;=999,Tablas!$A$81,AN59&gt;1000,Tablas!T141)</f>
        <v>#N/A</v>
      </c>
      <c r="AP59" s="84"/>
      <c r="AQ59" s="84"/>
    </row>
    <row r="60" spans="2:43" s="21" customFormat="1" ht="92.25" customHeight="1" x14ac:dyDescent="0.25">
      <c r="B60" s="117"/>
      <c r="C60" s="118"/>
      <c r="D60" s="119"/>
      <c r="E60" s="119"/>
      <c r="F60" s="119"/>
      <c r="G60" s="119"/>
      <c r="H60" s="120"/>
      <c r="I60" s="121"/>
      <c r="J60" s="119"/>
      <c r="K60" s="84"/>
      <c r="L60" s="84"/>
      <c r="M60" s="84"/>
      <c r="N60" s="84" t="e">
        <f>VLOOKUP(M60,Tablas!$A$31:$B$38,2,FALSE)</f>
        <v>#N/A</v>
      </c>
      <c r="O60" s="84"/>
      <c r="P60" s="84" t="e">
        <f>VLOOKUP(O60,Tablas!$A$41:$B$47,2,FALSE)</f>
        <v>#N/A</v>
      </c>
      <c r="Q60" s="84"/>
      <c r="R60" s="121" t="e">
        <f>VLOOKUP(Q60,Tablas!$A$51:$B$59,2,FALSE)</f>
        <v>#N/A</v>
      </c>
      <c r="S60" s="84"/>
      <c r="T60" s="84" t="e">
        <f>VLOOKUP(S60,Tablas!$A$62:$B$72,2,FALSE)</f>
        <v>#N/A</v>
      </c>
      <c r="U60" s="84" t="e">
        <f t="shared" si="0"/>
        <v>#N/A</v>
      </c>
      <c r="V60" s="84" t="e" cm="1">
        <f t="array" ref="V60">_xlfn.IFS(U60&lt;=1,Tablas!$A$75,U60&lt;=5,Tablas!$A$76,U60&lt;=10,Tablas!$A$77,U60&lt;=50,Tablas!$A$78,U60&lt;=100,Tablas!$A$79,U60&lt;=500,Tablas!$A$80,U60&lt;=999,Tablas!$A$81,U60&gt;1000,Tablas!A142)</f>
        <v>#N/A</v>
      </c>
      <c r="W60" s="84" t="e" cm="1">
        <f t="array" ref="W60">_xlfn.IFS(V60=Tablas!$A$87,Tablas!$B$87,V60=Tablas!$A$88,Tablas!$B$88,V60=Tablas!$A$89,Tablas!$B$89,V60=Tablas!$A$90,Tablas!$B$90,V60=Tablas!$A$91,Tablas!$B$91,V60=Tablas!$A$92,Tablas!$B$92,V60=Tablas!$A$93,Tablas!$B$93,V60=Tablas!$A$94,Tablas!$B$94)</f>
        <v>#N/A</v>
      </c>
      <c r="X60" s="84"/>
      <c r="Y60" s="117"/>
      <c r="Z60" s="84"/>
      <c r="AA60" s="84"/>
      <c r="AB60" s="84"/>
      <c r="AC60" s="84"/>
      <c r="AD60" s="84"/>
      <c r="AE60" s="84"/>
      <c r="AF60" s="84"/>
      <c r="AG60" s="84" t="e">
        <f>VLOOKUP(AF60,Tablas!A91:B98,2,FALSE)</f>
        <v>#N/A</v>
      </c>
      <c r="AH60" s="84"/>
      <c r="AI60" s="84" t="e">
        <f>VLOOKUP(AH60,Tablas!A101:B107,2,FALSE)</f>
        <v>#N/A</v>
      </c>
      <c r="AJ60" s="84"/>
      <c r="AK60" s="121" t="e">
        <f>VLOOKUP(AJ60,Tablas!A111:B119,2,FALSE)</f>
        <v>#N/A</v>
      </c>
      <c r="AL60" s="84"/>
      <c r="AM60" s="84" t="e">
        <f>VLOOKUP(AL60,Tablas!A122:B132,2,FALSE)</f>
        <v>#N/A</v>
      </c>
      <c r="AN60" s="84" t="e">
        <f t="shared" si="1"/>
        <v>#N/A</v>
      </c>
      <c r="AO60" s="84" t="e" cm="1">
        <f t="array" ref="AO60">_xlfn.IFS(AN60&lt;=1,Tablas!$A$75,AN60&lt;=5,Tablas!$A$76,AN60&lt;=10,Tablas!$A$77,AN60&lt;=50,Tablas!$A$78,AN60&lt;=100,Tablas!$A$79,AN60&lt;=500,Tablas!$A$80,AN60&lt;=999,Tablas!$A$81,AN60&gt;1000,Tablas!T142)</f>
        <v>#N/A</v>
      </c>
      <c r="AP60" s="84"/>
      <c r="AQ60" s="84"/>
    </row>
    <row r="61" spans="2:43" s="21" customFormat="1" ht="92.25" customHeight="1" x14ac:dyDescent="0.25">
      <c r="B61" s="117"/>
      <c r="C61" s="118"/>
      <c r="D61" s="119"/>
      <c r="E61" s="119"/>
      <c r="F61" s="119"/>
      <c r="G61" s="119"/>
      <c r="H61" s="120"/>
      <c r="I61" s="121"/>
      <c r="J61" s="119"/>
      <c r="K61" s="84"/>
      <c r="L61" s="84"/>
      <c r="M61" s="84"/>
      <c r="N61" s="84" t="e">
        <f>VLOOKUP(M61,Tablas!$A$31:$B$38,2,FALSE)</f>
        <v>#N/A</v>
      </c>
      <c r="O61" s="84"/>
      <c r="P61" s="84" t="e">
        <f>VLOOKUP(O61,Tablas!$A$41:$B$47,2,FALSE)</f>
        <v>#N/A</v>
      </c>
      <c r="Q61" s="84"/>
      <c r="R61" s="121" t="e">
        <f>VLOOKUP(Q61,Tablas!$A$51:$B$59,2,FALSE)</f>
        <v>#N/A</v>
      </c>
      <c r="S61" s="84"/>
      <c r="T61" s="84" t="e">
        <f>VLOOKUP(S61,Tablas!$A$62:$B$72,2,FALSE)</f>
        <v>#N/A</v>
      </c>
      <c r="U61" s="84" t="e">
        <f t="shared" si="0"/>
        <v>#N/A</v>
      </c>
      <c r="V61" s="84" t="e" cm="1">
        <f t="array" ref="V61">_xlfn.IFS(U61&lt;=1,Tablas!$A$75,U61&lt;=5,Tablas!$A$76,U61&lt;=10,Tablas!$A$77,U61&lt;=50,Tablas!$A$78,U61&lt;=100,Tablas!$A$79,U61&lt;=500,Tablas!$A$80,U61&lt;=999,Tablas!$A$81,U61&gt;1000,Tablas!A143)</f>
        <v>#N/A</v>
      </c>
      <c r="W61" s="84" t="e" cm="1">
        <f t="array" ref="W61">_xlfn.IFS(V61=Tablas!$A$87,Tablas!$B$87,V61=Tablas!$A$88,Tablas!$B$88,V61=Tablas!$A$89,Tablas!$B$89,V61=Tablas!$A$90,Tablas!$B$90,V61=Tablas!$A$91,Tablas!$B$91,V61=Tablas!$A$92,Tablas!$B$92,V61=Tablas!$A$93,Tablas!$B$93,V61=Tablas!$A$94,Tablas!$B$94)</f>
        <v>#N/A</v>
      </c>
      <c r="X61" s="84"/>
      <c r="Y61" s="117"/>
      <c r="Z61" s="84"/>
      <c r="AA61" s="84"/>
      <c r="AB61" s="84"/>
      <c r="AC61" s="84"/>
      <c r="AD61" s="84"/>
      <c r="AE61" s="84"/>
      <c r="AF61" s="84"/>
      <c r="AG61" s="84" t="e">
        <f>VLOOKUP(AF61,Tablas!A92:B99,2,FALSE)</f>
        <v>#N/A</v>
      </c>
      <c r="AH61" s="84"/>
      <c r="AI61" s="84" t="e">
        <f>VLOOKUP(AH61,Tablas!A102:B108,2,FALSE)</f>
        <v>#N/A</v>
      </c>
      <c r="AJ61" s="84"/>
      <c r="AK61" s="121" t="e">
        <f>VLOOKUP(AJ61,Tablas!A112:B120,2,FALSE)</f>
        <v>#N/A</v>
      </c>
      <c r="AL61" s="84"/>
      <c r="AM61" s="84" t="e">
        <f>VLOOKUP(AL61,Tablas!A123:B133,2,FALSE)</f>
        <v>#N/A</v>
      </c>
      <c r="AN61" s="84" t="e">
        <f t="shared" si="1"/>
        <v>#N/A</v>
      </c>
      <c r="AO61" s="84" t="e" cm="1">
        <f t="array" ref="AO61">_xlfn.IFS(AN61&lt;=1,Tablas!$A$75,AN61&lt;=5,Tablas!$A$76,AN61&lt;=10,Tablas!$A$77,AN61&lt;=50,Tablas!$A$78,AN61&lt;=100,Tablas!$A$79,AN61&lt;=500,Tablas!$A$80,AN61&lt;=999,Tablas!$A$81,AN61&gt;1000,Tablas!T143)</f>
        <v>#N/A</v>
      </c>
      <c r="AP61" s="84"/>
      <c r="AQ61" s="84"/>
    </row>
    <row r="62" spans="2:43" s="21" customFormat="1" ht="92.25" customHeight="1" x14ac:dyDescent="0.25">
      <c r="B62" s="117"/>
      <c r="C62" s="118"/>
      <c r="D62" s="119"/>
      <c r="E62" s="119"/>
      <c r="F62" s="119"/>
      <c r="G62" s="119"/>
      <c r="H62" s="120"/>
      <c r="I62" s="121"/>
      <c r="J62" s="119"/>
      <c r="K62" s="84"/>
      <c r="L62" s="84"/>
      <c r="M62" s="84"/>
      <c r="N62" s="84" t="e">
        <f>VLOOKUP(M62,Tablas!$A$31:$B$38,2,FALSE)</f>
        <v>#N/A</v>
      </c>
      <c r="O62" s="84"/>
      <c r="P62" s="84" t="e">
        <f>VLOOKUP(O62,Tablas!$A$41:$B$47,2,FALSE)</f>
        <v>#N/A</v>
      </c>
      <c r="Q62" s="84"/>
      <c r="R62" s="121" t="e">
        <f>VLOOKUP(Q62,Tablas!$A$51:$B$59,2,FALSE)</f>
        <v>#N/A</v>
      </c>
      <c r="S62" s="84"/>
      <c r="T62" s="84" t="e">
        <f>VLOOKUP(S62,Tablas!$A$62:$B$72,2,FALSE)</f>
        <v>#N/A</v>
      </c>
      <c r="U62" s="84" t="e">
        <f t="shared" si="0"/>
        <v>#N/A</v>
      </c>
      <c r="V62" s="84" t="e" cm="1">
        <f t="array" ref="V62">_xlfn.IFS(U62&lt;=1,Tablas!$A$75,U62&lt;=5,Tablas!$A$76,U62&lt;=10,Tablas!$A$77,U62&lt;=50,Tablas!$A$78,U62&lt;=100,Tablas!$A$79,U62&lt;=500,Tablas!$A$80,U62&lt;=999,Tablas!$A$81,U62&gt;1000,Tablas!A144)</f>
        <v>#N/A</v>
      </c>
      <c r="W62" s="84" t="e" cm="1">
        <f t="array" ref="W62">_xlfn.IFS(V62=Tablas!$A$87,Tablas!$B$87,V62=Tablas!$A$88,Tablas!$B$88,V62=Tablas!$A$89,Tablas!$B$89,V62=Tablas!$A$90,Tablas!$B$90,V62=Tablas!$A$91,Tablas!$B$91,V62=Tablas!$A$92,Tablas!$B$92,V62=Tablas!$A$93,Tablas!$B$93,V62=Tablas!$A$94,Tablas!$B$94)</f>
        <v>#N/A</v>
      </c>
      <c r="X62" s="84"/>
      <c r="Y62" s="117"/>
      <c r="Z62" s="84"/>
      <c r="AA62" s="84"/>
      <c r="AB62" s="84"/>
      <c r="AC62" s="84"/>
      <c r="AD62" s="84"/>
      <c r="AE62" s="84"/>
      <c r="AF62" s="84"/>
      <c r="AG62" s="84" t="e">
        <f>VLOOKUP(AF62,Tablas!A93:B100,2,FALSE)</f>
        <v>#N/A</v>
      </c>
      <c r="AH62" s="84"/>
      <c r="AI62" s="84" t="e">
        <f>VLOOKUP(AH62,Tablas!A103:B109,2,FALSE)</f>
        <v>#N/A</v>
      </c>
      <c r="AJ62" s="84"/>
      <c r="AK62" s="121" t="e">
        <f>VLOOKUP(AJ62,Tablas!A113:B121,2,FALSE)</f>
        <v>#N/A</v>
      </c>
      <c r="AL62" s="84"/>
      <c r="AM62" s="84" t="e">
        <f>VLOOKUP(AL62,Tablas!A124:B134,2,FALSE)</f>
        <v>#N/A</v>
      </c>
      <c r="AN62" s="84" t="e">
        <f t="shared" si="1"/>
        <v>#N/A</v>
      </c>
      <c r="AO62" s="84" t="e" cm="1">
        <f t="array" ref="AO62">_xlfn.IFS(AN62&lt;=1,Tablas!$A$75,AN62&lt;=5,Tablas!$A$76,AN62&lt;=10,Tablas!$A$77,AN62&lt;=50,Tablas!$A$78,AN62&lt;=100,Tablas!$A$79,AN62&lt;=500,Tablas!$A$80,AN62&lt;=999,Tablas!$A$81,AN62&gt;1000,Tablas!T144)</f>
        <v>#N/A</v>
      </c>
      <c r="AP62" s="84"/>
      <c r="AQ62" s="84"/>
    </row>
    <row r="63" spans="2:43" s="21" customFormat="1" ht="92.25" customHeight="1" x14ac:dyDescent="0.25">
      <c r="B63" s="117"/>
      <c r="C63" s="118"/>
      <c r="D63" s="119"/>
      <c r="E63" s="119"/>
      <c r="F63" s="119"/>
      <c r="G63" s="119"/>
      <c r="H63" s="120"/>
      <c r="I63" s="121"/>
      <c r="J63" s="119"/>
      <c r="K63" s="84"/>
      <c r="L63" s="84"/>
      <c r="M63" s="84"/>
      <c r="N63" s="84" t="e">
        <f>VLOOKUP(M63,Tablas!$A$31:$B$38,2,FALSE)</f>
        <v>#N/A</v>
      </c>
      <c r="O63" s="84"/>
      <c r="P63" s="84" t="e">
        <f>VLOOKUP(O63,Tablas!$A$41:$B$47,2,FALSE)</f>
        <v>#N/A</v>
      </c>
      <c r="Q63" s="84"/>
      <c r="R63" s="121" t="e">
        <f>VLOOKUP(Q63,Tablas!$A$51:$B$59,2,FALSE)</f>
        <v>#N/A</v>
      </c>
      <c r="S63" s="84"/>
      <c r="T63" s="84" t="e">
        <f>VLOOKUP(S63,Tablas!$A$62:$B$72,2,FALSE)</f>
        <v>#N/A</v>
      </c>
      <c r="U63" s="84" t="e">
        <f t="shared" si="0"/>
        <v>#N/A</v>
      </c>
      <c r="V63" s="84" t="e" cm="1">
        <f t="array" ref="V63">_xlfn.IFS(U63&lt;=1,Tablas!$A$75,U63&lt;=5,Tablas!$A$76,U63&lt;=10,Tablas!$A$77,U63&lt;=50,Tablas!$A$78,U63&lt;=100,Tablas!$A$79,U63&lt;=500,Tablas!$A$80,U63&lt;=999,Tablas!$A$81,U63&gt;1000,Tablas!A145)</f>
        <v>#N/A</v>
      </c>
      <c r="W63" s="84" t="e" cm="1">
        <f t="array" ref="W63">_xlfn.IFS(V63=Tablas!$A$87,Tablas!$B$87,V63=Tablas!$A$88,Tablas!$B$88,V63=Tablas!$A$89,Tablas!$B$89,V63=Tablas!$A$90,Tablas!$B$90,V63=Tablas!$A$91,Tablas!$B$91,V63=Tablas!$A$92,Tablas!$B$92,V63=Tablas!$A$93,Tablas!$B$93,V63=Tablas!$A$94,Tablas!$B$94)</f>
        <v>#N/A</v>
      </c>
      <c r="X63" s="84"/>
      <c r="Y63" s="117"/>
      <c r="Z63" s="84"/>
      <c r="AA63" s="84"/>
      <c r="AB63" s="84"/>
      <c r="AC63" s="84"/>
      <c r="AD63" s="84"/>
      <c r="AE63" s="84"/>
      <c r="AF63" s="84"/>
      <c r="AG63" s="84" t="e">
        <f>VLOOKUP(AF63,Tablas!A94:B101,2,FALSE)</f>
        <v>#N/A</v>
      </c>
      <c r="AH63" s="84"/>
      <c r="AI63" s="84" t="e">
        <f>VLOOKUP(AH63,Tablas!A104:B110,2,FALSE)</f>
        <v>#N/A</v>
      </c>
      <c r="AJ63" s="84"/>
      <c r="AK63" s="121" t="e">
        <f>VLOOKUP(AJ63,Tablas!A114:B122,2,FALSE)</f>
        <v>#N/A</v>
      </c>
      <c r="AL63" s="84"/>
      <c r="AM63" s="84" t="e">
        <f>VLOOKUP(AL63,Tablas!A125:B135,2,FALSE)</f>
        <v>#N/A</v>
      </c>
      <c r="AN63" s="84" t="e">
        <f t="shared" si="1"/>
        <v>#N/A</v>
      </c>
      <c r="AO63" s="84" t="e" cm="1">
        <f t="array" ref="AO63">_xlfn.IFS(AN63&lt;=1,Tablas!$A$75,AN63&lt;=5,Tablas!$A$76,AN63&lt;=10,Tablas!$A$77,AN63&lt;=50,Tablas!$A$78,AN63&lt;=100,Tablas!$A$79,AN63&lt;=500,Tablas!$A$80,AN63&lt;=999,Tablas!$A$81,AN63&gt;1000,Tablas!T145)</f>
        <v>#N/A</v>
      </c>
      <c r="AP63" s="84"/>
      <c r="AQ63" s="84"/>
    </row>
    <row r="64" spans="2:43" s="21" customFormat="1" ht="92.25" customHeight="1" x14ac:dyDescent="0.25">
      <c r="B64" s="117"/>
      <c r="C64" s="118"/>
      <c r="D64" s="119"/>
      <c r="E64" s="119"/>
      <c r="F64" s="119"/>
      <c r="G64" s="119"/>
      <c r="H64" s="120"/>
      <c r="I64" s="121"/>
      <c r="J64" s="119"/>
      <c r="K64" s="84"/>
      <c r="L64" s="84"/>
      <c r="M64" s="84"/>
      <c r="N64" s="84" t="e">
        <f>VLOOKUP(M64,Tablas!$A$31:$B$38,2,FALSE)</f>
        <v>#N/A</v>
      </c>
      <c r="O64" s="84"/>
      <c r="P64" s="84" t="e">
        <f>VLOOKUP(O64,Tablas!$A$41:$B$47,2,FALSE)</f>
        <v>#N/A</v>
      </c>
      <c r="Q64" s="84"/>
      <c r="R64" s="121" t="e">
        <f>VLOOKUP(Q64,Tablas!$A$51:$B$59,2,FALSE)</f>
        <v>#N/A</v>
      </c>
      <c r="S64" s="84"/>
      <c r="T64" s="84" t="e">
        <f>VLOOKUP(S64,Tablas!$A$62:$B$72,2,FALSE)</f>
        <v>#N/A</v>
      </c>
      <c r="U64" s="84" t="e">
        <f t="shared" si="0"/>
        <v>#N/A</v>
      </c>
      <c r="V64" s="84" t="e" cm="1">
        <f t="array" ref="V64">_xlfn.IFS(U64&lt;=1,Tablas!$A$75,U64&lt;=5,Tablas!$A$76,U64&lt;=10,Tablas!$A$77,U64&lt;=50,Tablas!$A$78,U64&lt;=100,Tablas!$A$79,U64&lt;=500,Tablas!$A$80,U64&lt;=999,Tablas!$A$81,U64&gt;1000,Tablas!A146)</f>
        <v>#N/A</v>
      </c>
      <c r="W64" s="84" t="e" cm="1">
        <f t="array" ref="W64">_xlfn.IFS(V64=Tablas!$A$87,Tablas!$B$87,V64=Tablas!$A$88,Tablas!$B$88,V64=Tablas!$A$89,Tablas!$B$89,V64=Tablas!$A$90,Tablas!$B$90,V64=Tablas!$A$91,Tablas!$B$91,V64=Tablas!$A$92,Tablas!$B$92,V64=Tablas!$A$93,Tablas!$B$93,V64=Tablas!$A$94,Tablas!$B$94)</f>
        <v>#N/A</v>
      </c>
      <c r="X64" s="84"/>
      <c r="Y64" s="117"/>
      <c r="Z64" s="84"/>
      <c r="AA64" s="84"/>
      <c r="AB64" s="84"/>
      <c r="AC64" s="84"/>
      <c r="AD64" s="84"/>
      <c r="AE64" s="84"/>
      <c r="AF64" s="84"/>
      <c r="AG64" s="84" t="e">
        <f>VLOOKUP(AF64,Tablas!A95:B102,2,FALSE)</f>
        <v>#N/A</v>
      </c>
      <c r="AH64" s="84"/>
      <c r="AI64" s="84" t="e">
        <f>VLOOKUP(AH64,Tablas!A105:B111,2,FALSE)</f>
        <v>#N/A</v>
      </c>
      <c r="AJ64" s="84"/>
      <c r="AK64" s="121" t="e">
        <f>VLOOKUP(AJ64,Tablas!A115:B123,2,FALSE)</f>
        <v>#N/A</v>
      </c>
      <c r="AL64" s="84"/>
      <c r="AM64" s="84" t="e">
        <f>VLOOKUP(AL64,Tablas!A126:B136,2,FALSE)</f>
        <v>#N/A</v>
      </c>
      <c r="AN64" s="84" t="e">
        <f t="shared" si="1"/>
        <v>#N/A</v>
      </c>
      <c r="AO64" s="84" t="e" cm="1">
        <f t="array" ref="AO64">_xlfn.IFS(AN64&lt;=1,Tablas!$A$75,AN64&lt;=5,Tablas!$A$76,AN64&lt;=10,Tablas!$A$77,AN64&lt;=50,Tablas!$A$78,AN64&lt;=100,Tablas!$A$79,AN64&lt;=500,Tablas!$A$80,AN64&lt;=999,Tablas!$A$81,AN64&gt;1000,Tablas!T146)</f>
        <v>#N/A</v>
      </c>
      <c r="AP64" s="84"/>
      <c r="AQ64" s="84"/>
    </row>
    <row r="65" spans="2:43" s="21" customFormat="1" ht="92.25" customHeight="1" x14ac:dyDescent="0.25">
      <c r="B65" s="117"/>
      <c r="C65" s="118"/>
      <c r="D65" s="119"/>
      <c r="E65" s="119"/>
      <c r="F65" s="119"/>
      <c r="G65" s="119"/>
      <c r="H65" s="120"/>
      <c r="I65" s="121"/>
      <c r="J65" s="119"/>
      <c r="K65" s="84"/>
      <c r="L65" s="84"/>
      <c r="M65" s="84"/>
      <c r="N65" s="84" t="e">
        <f>VLOOKUP(M65,Tablas!$A$31:$B$38,2,FALSE)</f>
        <v>#N/A</v>
      </c>
      <c r="O65" s="84"/>
      <c r="P65" s="84" t="e">
        <f>VLOOKUP(O65,Tablas!$A$41:$B$47,2,FALSE)</f>
        <v>#N/A</v>
      </c>
      <c r="Q65" s="84"/>
      <c r="R65" s="121" t="e">
        <f>VLOOKUP(Q65,Tablas!$A$51:$B$59,2,FALSE)</f>
        <v>#N/A</v>
      </c>
      <c r="S65" s="84"/>
      <c r="T65" s="84" t="e">
        <f>VLOOKUP(S65,Tablas!$A$62:$B$72,2,FALSE)</f>
        <v>#N/A</v>
      </c>
      <c r="U65" s="84" t="e">
        <f t="shared" si="0"/>
        <v>#N/A</v>
      </c>
      <c r="V65" s="84" t="e" cm="1">
        <f t="array" ref="V65">_xlfn.IFS(U65&lt;=1,Tablas!$A$75,U65&lt;=5,Tablas!$A$76,U65&lt;=10,Tablas!$A$77,U65&lt;=50,Tablas!$A$78,U65&lt;=100,Tablas!$A$79,U65&lt;=500,Tablas!$A$80,U65&lt;=999,Tablas!$A$81,U65&gt;1000,Tablas!A147)</f>
        <v>#N/A</v>
      </c>
      <c r="W65" s="84" t="e" cm="1">
        <f t="array" ref="W65">_xlfn.IFS(V65=Tablas!$A$87,Tablas!$B$87,V65=Tablas!$A$88,Tablas!$B$88,V65=Tablas!$A$89,Tablas!$B$89,V65=Tablas!$A$90,Tablas!$B$90,V65=Tablas!$A$91,Tablas!$B$91,V65=Tablas!$A$92,Tablas!$B$92,V65=Tablas!$A$93,Tablas!$B$93,V65=Tablas!$A$94,Tablas!$B$94)</f>
        <v>#N/A</v>
      </c>
      <c r="X65" s="84"/>
      <c r="Y65" s="117"/>
      <c r="Z65" s="84"/>
      <c r="AA65" s="84"/>
      <c r="AB65" s="84"/>
      <c r="AC65" s="84"/>
      <c r="AD65" s="84"/>
      <c r="AE65" s="84"/>
      <c r="AF65" s="84"/>
      <c r="AG65" s="84" t="e">
        <f>VLOOKUP(AF65,Tablas!A96:B103,2,FALSE)</f>
        <v>#N/A</v>
      </c>
      <c r="AH65" s="84"/>
      <c r="AI65" s="84" t="e">
        <f>VLOOKUP(AH65,Tablas!A106:B112,2,FALSE)</f>
        <v>#N/A</v>
      </c>
      <c r="AJ65" s="84"/>
      <c r="AK65" s="121" t="e">
        <f>VLOOKUP(AJ65,Tablas!A116:B124,2,FALSE)</f>
        <v>#N/A</v>
      </c>
      <c r="AL65" s="84"/>
      <c r="AM65" s="84" t="e">
        <f>VLOOKUP(AL65,Tablas!A127:B137,2,FALSE)</f>
        <v>#N/A</v>
      </c>
      <c r="AN65" s="84" t="e">
        <f t="shared" si="1"/>
        <v>#N/A</v>
      </c>
      <c r="AO65" s="84" t="e" cm="1">
        <f t="array" ref="AO65">_xlfn.IFS(AN65&lt;=1,Tablas!$A$75,AN65&lt;=5,Tablas!$A$76,AN65&lt;=10,Tablas!$A$77,AN65&lt;=50,Tablas!$A$78,AN65&lt;=100,Tablas!$A$79,AN65&lt;=500,Tablas!$A$80,AN65&lt;=999,Tablas!$A$81,AN65&gt;1000,Tablas!T147)</f>
        <v>#N/A</v>
      </c>
      <c r="AP65" s="84"/>
      <c r="AQ65" s="84"/>
    </row>
    <row r="66" spans="2:43" s="21" customFormat="1" ht="92.25" customHeight="1" x14ac:dyDescent="0.25">
      <c r="B66" s="117"/>
      <c r="C66" s="118"/>
      <c r="D66" s="119"/>
      <c r="E66" s="119"/>
      <c r="F66" s="119"/>
      <c r="G66" s="119"/>
      <c r="H66" s="120"/>
      <c r="I66" s="121"/>
      <c r="J66" s="119"/>
      <c r="K66" s="84"/>
      <c r="L66" s="84"/>
      <c r="M66" s="84"/>
      <c r="N66" s="84" t="e">
        <f>VLOOKUP(M66,Tablas!$A$31:$B$38,2,FALSE)</f>
        <v>#N/A</v>
      </c>
      <c r="O66" s="84"/>
      <c r="P66" s="84" t="e">
        <f>VLOOKUP(O66,Tablas!$A$41:$B$47,2,FALSE)</f>
        <v>#N/A</v>
      </c>
      <c r="Q66" s="84"/>
      <c r="R66" s="121" t="e">
        <f>VLOOKUP(Q66,Tablas!$A$51:$B$59,2,FALSE)</f>
        <v>#N/A</v>
      </c>
      <c r="S66" s="84"/>
      <c r="T66" s="84" t="e">
        <f>VLOOKUP(S66,Tablas!$A$62:$B$72,2,FALSE)</f>
        <v>#N/A</v>
      </c>
      <c r="U66" s="84" t="e">
        <f t="shared" ref="U66:U102" si="2">N66*P66*R66*T66</f>
        <v>#N/A</v>
      </c>
      <c r="V66" s="84" t="e" cm="1">
        <f t="array" ref="V66">_xlfn.IFS(U66&lt;=1,Tablas!$A$75,U66&lt;=5,Tablas!$A$76,U66&lt;=10,Tablas!$A$77,U66&lt;=50,Tablas!$A$78,U66&lt;=100,Tablas!$A$79,U66&lt;=500,Tablas!$A$80,U66&lt;=999,Tablas!$A$81,U66&gt;1000,Tablas!A148)</f>
        <v>#N/A</v>
      </c>
      <c r="W66" s="84" t="e" cm="1">
        <f t="array" ref="W66">_xlfn.IFS(V66=Tablas!$A$87,Tablas!$B$87,V66=Tablas!$A$88,Tablas!$B$88,V66=Tablas!$A$89,Tablas!$B$89,V66=Tablas!$A$90,Tablas!$B$90,V66=Tablas!$A$91,Tablas!$B$91,V66=Tablas!$A$92,Tablas!$B$92,V66=Tablas!$A$93,Tablas!$B$93,V66=Tablas!$A$94,Tablas!$B$94)</f>
        <v>#N/A</v>
      </c>
      <c r="X66" s="84"/>
      <c r="Y66" s="117"/>
      <c r="Z66" s="84"/>
      <c r="AA66" s="84"/>
      <c r="AB66" s="84"/>
      <c r="AC66" s="84"/>
      <c r="AD66" s="84"/>
      <c r="AE66" s="84"/>
      <c r="AF66" s="84"/>
      <c r="AG66" s="84" t="e">
        <f>VLOOKUP(AF66,Tablas!A97:B104,2,FALSE)</f>
        <v>#N/A</v>
      </c>
      <c r="AH66" s="84"/>
      <c r="AI66" s="84" t="e">
        <f>VLOOKUP(AH66,Tablas!A107:B113,2,FALSE)</f>
        <v>#N/A</v>
      </c>
      <c r="AJ66" s="84"/>
      <c r="AK66" s="121" t="e">
        <f>VLOOKUP(AJ66,Tablas!A117:B125,2,FALSE)</f>
        <v>#N/A</v>
      </c>
      <c r="AL66" s="84"/>
      <c r="AM66" s="84" t="e">
        <f>VLOOKUP(AL66,Tablas!A128:B138,2,FALSE)</f>
        <v>#N/A</v>
      </c>
      <c r="AN66" s="84" t="e">
        <f t="shared" ref="AN66:AN102" si="3">AG66*AI66*AK66*AM66</f>
        <v>#N/A</v>
      </c>
      <c r="AO66" s="84" t="e" cm="1">
        <f t="array" ref="AO66">_xlfn.IFS(AN66&lt;=1,Tablas!$A$75,AN66&lt;=5,Tablas!$A$76,AN66&lt;=10,Tablas!$A$77,AN66&lt;=50,Tablas!$A$78,AN66&lt;=100,Tablas!$A$79,AN66&lt;=500,Tablas!$A$80,AN66&lt;=999,Tablas!$A$81,AN66&gt;1000,Tablas!T148)</f>
        <v>#N/A</v>
      </c>
      <c r="AP66" s="84"/>
      <c r="AQ66" s="84"/>
    </row>
    <row r="67" spans="2:43" s="21" customFormat="1" ht="92.25" customHeight="1" x14ac:dyDescent="0.25">
      <c r="B67" s="117"/>
      <c r="C67" s="118"/>
      <c r="D67" s="119"/>
      <c r="E67" s="119"/>
      <c r="F67" s="119"/>
      <c r="G67" s="119"/>
      <c r="H67" s="120"/>
      <c r="I67" s="121"/>
      <c r="J67" s="119"/>
      <c r="K67" s="84"/>
      <c r="L67" s="84"/>
      <c r="M67" s="84"/>
      <c r="N67" s="84" t="e">
        <f>VLOOKUP(M67,Tablas!$A$31:$B$38,2,FALSE)</f>
        <v>#N/A</v>
      </c>
      <c r="O67" s="84"/>
      <c r="P67" s="84" t="e">
        <f>VLOOKUP(O67,Tablas!$A$41:$B$47,2,FALSE)</f>
        <v>#N/A</v>
      </c>
      <c r="Q67" s="84"/>
      <c r="R67" s="121" t="e">
        <f>VLOOKUP(Q67,Tablas!$A$51:$B$59,2,FALSE)</f>
        <v>#N/A</v>
      </c>
      <c r="S67" s="84"/>
      <c r="T67" s="84" t="e">
        <f>VLOOKUP(S67,Tablas!$A$62:$B$72,2,FALSE)</f>
        <v>#N/A</v>
      </c>
      <c r="U67" s="84" t="e">
        <f t="shared" si="2"/>
        <v>#N/A</v>
      </c>
      <c r="V67" s="84" t="e" cm="1">
        <f t="array" ref="V67">_xlfn.IFS(U67&lt;=1,Tablas!$A$75,U67&lt;=5,Tablas!$A$76,U67&lt;=10,Tablas!$A$77,U67&lt;=50,Tablas!$A$78,U67&lt;=100,Tablas!$A$79,U67&lt;=500,Tablas!$A$80,U67&lt;=999,Tablas!$A$81,U67&gt;1000,Tablas!A149)</f>
        <v>#N/A</v>
      </c>
      <c r="W67" s="84" t="e" cm="1">
        <f t="array" ref="W67">_xlfn.IFS(V67=Tablas!$A$87,Tablas!$B$87,V67=Tablas!$A$88,Tablas!$B$88,V67=Tablas!$A$89,Tablas!$B$89,V67=Tablas!$A$90,Tablas!$B$90,V67=Tablas!$A$91,Tablas!$B$91,V67=Tablas!$A$92,Tablas!$B$92,V67=Tablas!$A$93,Tablas!$B$93,V67=Tablas!$A$94,Tablas!$B$94)</f>
        <v>#N/A</v>
      </c>
      <c r="X67" s="84"/>
      <c r="Y67" s="117"/>
      <c r="Z67" s="84"/>
      <c r="AA67" s="84"/>
      <c r="AB67" s="84"/>
      <c r="AC67" s="84"/>
      <c r="AD67" s="84"/>
      <c r="AE67" s="84"/>
      <c r="AF67" s="84"/>
      <c r="AG67" s="84" t="e">
        <f>VLOOKUP(AF67,Tablas!A98:B105,2,FALSE)</f>
        <v>#N/A</v>
      </c>
      <c r="AH67" s="84"/>
      <c r="AI67" s="84" t="e">
        <f>VLOOKUP(AH67,Tablas!A108:B114,2,FALSE)</f>
        <v>#N/A</v>
      </c>
      <c r="AJ67" s="84"/>
      <c r="AK67" s="121" t="e">
        <f>VLOOKUP(AJ67,Tablas!A118:B126,2,FALSE)</f>
        <v>#N/A</v>
      </c>
      <c r="AL67" s="84"/>
      <c r="AM67" s="84" t="e">
        <f>VLOOKUP(AL67,Tablas!A129:B139,2,FALSE)</f>
        <v>#N/A</v>
      </c>
      <c r="AN67" s="84" t="e">
        <f t="shared" si="3"/>
        <v>#N/A</v>
      </c>
      <c r="AO67" s="84" t="e" cm="1">
        <f t="array" ref="AO67">_xlfn.IFS(AN67&lt;=1,Tablas!$A$75,AN67&lt;=5,Tablas!$A$76,AN67&lt;=10,Tablas!$A$77,AN67&lt;=50,Tablas!$A$78,AN67&lt;=100,Tablas!$A$79,AN67&lt;=500,Tablas!$A$80,AN67&lt;=999,Tablas!$A$81,AN67&gt;1000,Tablas!T149)</f>
        <v>#N/A</v>
      </c>
      <c r="AP67" s="84"/>
      <c r="AQ67" s="84"/>
    </row>
    <row r="68" spans="2:43" s="21" customFormat="1" ht="92.25" customHeight="1" x14ac:dyDescent="0.25">
      <c r="B68" s="117"/>
      <c r="C68" s="118"/>
      <c r="D68" s="119"/>
      <c r="E68" s="119"/>
      <c r="F68" s="119"/>
      <c r="G68" s="119"/>
      <c r="H68" s="120"/>
      <c r="I68" s="121"/>
      <c r="J68" s="119"/>
      <c r="K68" s="84"/>
      <c r="L68" s="84"/>
      <c r="M68" s="84"/>
      <c r="N68" s="84" t="e">
        <f>VLOOKUP(M68,Tablas!$A$31:$B$38,2,FALSE)</f>
        <v>#N/A</v>
      </c>
      <c r="O68" s="84"/>
      <c r="P68" s="84" t="e">
        <f>VLOOKUP(O68,Tablas!$A$41:$B$47,2,FALSE)</f>
        <v>#N/A</v>
      </c>
      <c r="Q68" s="84"/>
      <c r="R68" s="121" t="e">
        <f>VLOOKUP(Q68,Tablas!$A$51:$B$59,2,FALSE)</f>
        <v>#N/A</v>
      </c>
      <c r="S68" s="84"/>
      <c r="T68" s="84" t="e">
        <f>VLOOKUP(S68,Tablas!$A$62:$B$72,2,FALSE)</f>
        <v>#N/A</v>
      </c>
      <c r="U68" s="84" t="e">
        <f t="shared" si="2"/>
        <v>#N/A</v>
      </c>
      <c r="V68" s="84" t="e" cm="1">
        <f t="array" ref="V68">_xlfn.IFS(U68&lt;=1,Tablas!$A$75,U68&lt;=5,Tablas!$A$76,U68&lt;=10,Tablas!$A$77,U68&lt;=50,Tablas!$A$78,U68&lt;=100,Tablas!$A$79,U68&lt;=500,Tablas!$A$80,U68&lt;=999,Tablas!$A$81,U68&gt;1000,Tablas!A150)</f>
        <v>#N/A</v>
      </c>
      <c r="W68" s="84" t="e" cm="1">
        <f t="array" ref="W68">_xlfn.IFS(V68=Tablas!$A$87,Tablas!$B$87,V68=Tablas!$A$88,Tablas!$B$88,V68=Tablas!$A$89,Tablas!$B$89,V68=Tablas!$A$90,Tablas!$B$90,V68=Tablas!$A$91,Tablas!$B$91,V68=Tablas!$A$92,Tablas!$B$92,V68=Tablas!$A$93,Tablas!$B$93,V68=Tablas!$A$94,Tablas!$B$94)</f>
        <v>#N/A</v>
      </c>
      <c r="X68" s="84"/>
      <c r="Y68" s="117"/>
      <c r="Z68" s="84"/>
      <c r="AA68" s="84"/>
      <c r="AB68" s="84"/>
      <c r="AC68" s="84"/>
      <c r="AD68" s="84"/>
      <c r="AE68" s="84"/>
      <c r="AF68" s="84"/>
      <c r="AG68" s="84" t="e">
        <f>VLOOKUP(AF68,Tablas!A99:B106,2,FALSE)</f>
        <v>#N/A</v>
      </c>
      <c r="AH68" s="84"/>
      <c r="AI68" s="84" t="e">
        <f>VLOOKUP(AH68,Tablas!A109:B115,2,FALSE)</f>
        <v>#N/A</v>
      </c>
      <c r="AJ68" s="84"/>
      <c r="AK68" s="121" t="e">
        <f>VLOOKUP(AJ68,Tablas!A119:B127,2,FALSE)</f>
        <v>#N/A</v>
      </c>
      <c r="AL68" s="84"/>
      <c r="AM68" s="84" t="e">
        <f>VLOOKUP(AL68,Tablas!A130:B140,2,FALSE)</f>
        <v>#N/A</v>
      </c>
      <c r="AN68" s="84" t="e">
        <f t="shared" si="3"/>
        <v>#N/A</v>
      </c>
      <c r="AO68" s="84" t="e" cm="1">
        <f t="array" ref="AO68">_xlfn.IFS(AN68&lt;=1,Tablas!$A$75,AN68&lt;=5,Tablas!$A$76,AN68&lt;=10,Tablas!$A$77,AN68&lt;=50,Tablas!$A$78,AN68&lt;=100,Tablas!$A$79,AN68&lt;=500,Tablas!$A$80,AN68&lt;=999,Tablas!$A$81,AN68&gt;1000,Tablas!T150)</f>
        <v>#N/A</v>
      </c>
      <c r="AP68" s="84"/>
      <c r="AQ68" s="84"/>
    </row>
    <row r="69" spans="2:43" s="21" customFormat="1" ht="92.25" customHeight="1" x14ac:dyDescent="0.25">
      <c r="B69" s="117"/>
      <c r="C69" s="118"/>
      <c r="D69" s="119"/>
      <c r="E69" s="119"/>
      <c r="F69" s="119"/>
      <c r="G69" s="119"/>
      <c r="H69" s="120"/>
      <c r="I69" s="121"/>
      <c r="J69" s="119"/>
      <c r="K69" s="84"/>
      <c r="L69" s="84"/>
      <c r="M69" s="84"/>
      <c r="N69" s="84" t="e">
        <f>VLOOKUP(M69,Tablas!$A$31:$B$38,2,FALSE)</f>
        <v>#N/A</v>
      </c>
      <c r="O69" s="84"/>
      <c r="P69" s="84" t="e">
        <f>VLOOKUP(O69,Tablas!$A$41:$B$47,2,FALSE)</f>
        <v>#N/A</v>
      </c>
      <c r="Q69" s="84"/>
      <c r="R69" s="121" t="e">
        <f>VLOOKUP(Q69,Tablas!$A$51:$B$59,2,FALSE)</f>
        <v>#N/A</v>
      </c>
      <c r="S69" s="84"/>
      <c r="T69" s="84" t="e">
        <f>VLOOKUP(S69,Tablas!$A$62:$B$72,2,FALSE)</f>
        <v>#N/A</v>
      </c>
      <c r="U69" s="84" t="e">
        <f t="shared" si="2"/>
        <v>#N/A</v>
      </c>
      <c r="V69" s="84" t="e" cm="1">
        <f t="array" ref="V69">_xlfn.IFS(U69&lt;=1,Tablas!$A$75,U69&lt;=5,Tablas!$A$76,U69&lt;=10,Tablas!$A$77,U69&lt;=50,Tablas!$A$78,U69&lt;=100,Tablas!$A$79,U69&lt;=500,Tablas!$A$80,U69&lt;=999,Tablas!$A$81,U69&gt;1000,Tablas!A151)</f>
        <v>#N/A</v>
      </c>
      <c r="W69" s="84" t="e" cm="1">
        <f t="array" ref="W69">_xlfn.IFS(V69=Tablas!$A$87,Tablas!$B$87,V69=Tablas!$A$88,Tablas!$B$88,V69=Tablas!$A$89,Tablas!$B$89,V69=Tablas!$A$90,Tablas!$B$90,V69=Tablas!$A$91,Tablas!$B$91,V69=Tablas!$A$92,Tablas!$B$92,V69=Tablas!$A$93,Tablas!$B$93,V69=Tablas!$A$94,Tablas!$B$94)</f>
        <v>#N/A</v>
      </c>
      <c r="X69" s="84"/>
      <c r="Y69" s="117"/>
      <c r="Z69" s="84"/>
      <c r="AA69" s="84"/>
      <c r="AB69" s="84"/>
      <c r="AC69" s="84"/>
      <c r="AD69" s="84"/>
      <c r="AE69" s="84"/>
      <c r="AF69" s="84"/>
      <c r="AG69" s="84" t="e">
        <f>VLOOKUP(AF69,Tablas!A100:B107,2,FALSE)</f>
        <v>#N/A</v>
      </c>
      <c r="AH69" s="84"/>
      <c r="AI69" s="84" t="e">
        <f>VLOOKUP(AH69,Tablas!A110:B116,2,FALSE)</f>
        <v>#N/A</v>
      </c>
      <c r="AJ69" s="84"/>
      <c r="AK69" s="121" t="e">
        <f>VLOOKUP(AJ69,Tablas!A120:B128,2,FALSE)</f>
        <v>#N/A</v>
      </c>
      <c r="AL69" s="84"/>
      <c r="AM69" s="84" t="e">
        <f>VLOOKUP(AL69,Tablas!A131:B141,2,FALSE)</f>
        <v>#N/A</v>
      </c>
      <c r="AN69" s="84" t="e">
        <f t="shared" si="3"/>
        <v>#N/A</v>
      </c>
      <c r="AO69" s="84" t="e" cm="1">
        <f t="array" ref="AO69">_xlfn.IFS(AN69&lt;=1,Tablas!$A$75,AN69&lt;=5,Tablas!$A$76,AN69&lt;=10,Tablas!$A$77,AN69&lt;=50,Tablas!$A$78,AN69&lt;=100,Tablas!$A$79,AN69&lt;=500,Tablas!$A$80,AN69&lt;=999,Tablas!$A$81,AN69&gt;1000,Tablas!T151)</f>
        <v>#N/A</v>
      </c>
      <c r="AP69" s="84"/>
      <c r="AQ69" s="84"/>
    </row>
    <row r="70" spans="2:43" s="21" customFormat="1" ht="92.25" customHeight="1" x14ac:dyDescent="0.25">
      <c r="B70" s="117"/>
      <c r="C70" s="118"/>
      <c r="D70" s="119"/>
      <c r="E70" s="119"/>
      <c r="F70" s="119"/>
      <c r="G70" s="119"/>
      <c r="H70" s="120"/>
      <c r="I70" s="121"/>
      <c r="J70" s="119"/>
      <c r="K70" s="84"/>
      <c r="L70" s="84"/>
      <c r="M70" s="84"/>
      <c r="N70" s="84" t="e">
        <f>VLOOKUP(M70,Tablas!$A$31:$B$38,2,FALSE)</f>
        <v>#N/A</v>
      </c>
      <c r="O70" s="84"/>
      <c r="P70" s="84" t="e">
        <f>VLOOKUP(O70,Tablas!$A$41:$B$47,2,FALSE)</f>
        <v>#N/A</v>
      </c>
      <c r="Q70" s="84"/>
      <c r="R70" s="121" t="e">
        <f>VLOOKUP(Q70,Tablas!$A$51:$B$59,2,FALSE)</f>
        <v>#N/A</v>
      </c>
      <c r="S70" s="84"/>
      <c r="T70" s="84" t="e">
        <f>VLOOKUP(S70,Tablas!$A$62:$B$72,2,FALSE)</f>
        <v>#N/A</v>
      </c>
      <c r="U70" s="84" t="e">
        <f t="shared" si="2"/>
        <v>#N/A</v>
      </c>
      <c r="V70" s="84" t="e" cm="1">
        <f t="array" ref="V70">_xlfn.IFS(U70&lt;=1,Tablas!$A$75,U70&lt;=5,Tablas!$A$76,U70&lt;=10,Tablas!$A$77,U70&lt;=50,Tablas!$A$78,U70&lt;=100,Tablas!$A$79,U70&lt;=500,Tablas!$A$80,U70&lt;=999,Tablas!$A$81,U70&gt;1000,Tablas!A152)</f>
        <v>#N/A</v>
      </c>
      <c r="W70" s="84" t="e" cm="1">
        <f t="array" ref="W70">_xlfn.IFS(V70=Tablas!$A$87,Tablas!$B$87,V70=Tablas!$A$88,Tablas!$B$88,V70=Tablas!$A$89,Tablas!$B$89,V70=Tablas!$A$90,Tablas!$B$90,V70=Tablas!$A$91,Tablas!$B$91,V70=Tablas!$A$92,Tablas!$B$92,V70=Tablas!$A$93,Tablas!$B$93,V70=Tablas!$A$94,Tablas!$B$94)</f>
        <v>#N/A</v>
      </c>
      <c r="X70" s="84"/>
      <c r="Y70" s="117"/>
      <c r="Z70" s="84"/>
      <c r="AA70" s="84"/>
      <c r="AB70" s="84"/>
      <c r="AC70" s="84"/>
      <c r="AD70" s="84"/>
      <c r="AE70" s="84"/>
      <c r="AF70" s="84"/>
      <c r="AG70" s="84" t="e">
        <f>VLOOKUP(AF70,Tablas!A101:B108,2,FALSE)</f>
        <v>#N/A</v>
      </c>
      <c r="AH70" s="84"/>
      <c r="AI70" s="84" t="e">
        <f>VLOOKUP(AH70,Tablas!A111:B117,2,FALSE)</f>
        <v>#N/A</v>
      </c>
      <c r="AJ70" s="84"/>
      <c r="AK70" s="121" t="e">
        <f>VLOOKUP(AJ70,Tablas!A121:B129,2,FALSE)</f>
        <v>#N/A</v>
      </c>
      <c r="AL70" s="84"/>
      <c r="AM70" s="84" t="e">
        <f>VLOOKUP(AL70,Tablas!A132:B142,2,FALSE)</f>
        <v>#N/A</v>
      </c>
      <c r="AN70" s="84" t="e">
        <f t="shared" si="3"/>
        <v>#N/A</v>
      </c>
      <c r="AO70" s="84" t="e" cm="1">
        <f t="array" ref="AO70">_xlfn.IFS(AN70&lt;=1,Tablas!$A$75,AN70&lt;=5,Tablas!$A$76,AN70&lt;=10,Tablas!$A$77,AN70&lt;=50,Tablas!$A$78,AN70&lt;=100,Tablas!$A$79,AN70&lt;=500,Tablas!$A$80,AN70&lt;=999,Tablas!$A$81,AN70&gt;1000,Tablas!T152)</f>
        <v>#N/A</v>
      </c>
      <c r="AP70" s="84"/>
      <c r="AQ70" s="84"/>
    </row>
    <row r="71" spans="2:43" s="21" customFormat="1" ht="92.25" customHeight="1" x14ac:dyDescent="0.25">
      <c r="B71" s="117"/>
      <c r="C71" s="118"/>
      <c r="D71" s="119"/>
      <c r="E71" s="119"/>
      <c r="F71" s="119"/>
      <c r="G71" s="119"/>
      <c r="H71" s="120"/>
      <c r="I71" s="121"/>
      <c r="J71" s="119"/>
      <c r="K71" s="84"/>
      <c r="L71" s="84"/>
      <c r="M71" s="84"/>
      <c r="N71" s="84" t="e">
        <f>VLOOKUP(M71,Tablas!$A$31:$B$38,2,FALSE)</f>
        <v>#N/A</v>
      </c>
      <c r="O71" s="84"/>
      <c r="P71" s="84" t="e">
        <f>VLOOKUP(O71,Tablas!$A$41:$B$47,2,FALSE)</f>
        <v>#N/A</v>
      </c>
      <c r="Q71" s="84"/>
      <c r="R71" s="121" t="e">
        <f>VLOOKUP(Q71,Tablas!$A$51:$B$59,2,FALSE)</f>
        <v>#N/A</v>
      </c>
      <c r="S71" s="84"/>
      <c r="T71" s="84" t="e">
        <f>VLOOKUP(S71,Tablas!$A$62:$B$72,2,FALSE)</f>
        <v>#N/A</v>
      </c>
      <c r="U71" s="84" t="e">
        <f t="shared" si="2"/>
        <v>#N/A</v>
      </c>
      <c r="V71" s="84" t="e" cm="1">
        <f t="array" ref="V71">_xlfn.IFS(U71&lt;=1,Tablas!$A$75,U71&lt;=5,Tablas!$A$76,U71&lt;=10,Tablas!$A$77,U71&lt;=50,Tablas!$A$78,U71&lt;=100,Tablas!$A$79,U71&lt;=500,Tablas!$A$80,U71&lt;=999,Tablas!$A$81,U71&gt;1000,Tablas!A153)</f>
        <v>#N/A</v>
      </c>
      <c r="W71" s="84" t="e" cm="1">
        <f t="array" ref="W71">_xlfn.IFS(V71=Tablas!$A$87,Tablas!$B$87,V71=Tablas!$A$88,Tablas!$B$88,V71=Tablas!$A$89,Tablas!$B$89,V71=Tablas!$A$90,Tablas!$B$90,V71=Tablas!$A$91,Tablas!$B$91,V71=Tablas!$A$92,Tablas!$B$92,V71=Tablas!$A$93,Tablas!$B$93,V71=Tablas!$A$94,Tablas!$B$94)</f>
        <v>#N/A</v>
      </c>
      <c r="X71" s="84"/>
      <c r="Y71" s="117"/>
      <c r="Z71" s="84"/>
      <c r="AA71" s="84"/>
      <c r="AB71" s="84"/>
      <c r="AC71" s="84"/>
      <c r="AD71" s="84"/>
      <c r="AE71" s="84"/>
      <c r="AF71" s="84"/>
      <c r="AG71" s="84" t="e">
        <f>VLOOKUP(AF71,Tablas!A102:B109,2,FALSE)</f>
        <v>#N/A</v>
      </c>
      <c r="AH71" s="84"/>
      <c r="AI71" s="84" t="e">
        <f>VLOOKUP(AH71,Tablas!A112:B118,2,FALSE)</f>
        <v>#N/A</v>
      </c>
      <c r="AJ71" s="84"/>
      <c r="AK71" s="121" t="e">
        <f>VLOOKUP(AJ71,Tablas!A122:B130,2,FALSE)</f>
        <v>#N/A</v>
      </c>
      <c r="AL71" s="84"/>
      <c r="AM71" s="84" t="e">
        <f>VLOOKUP(AL71,Tablas!A133:B143,2,FALSE)</f>
        <v>#N/A</v>
      </c>
      <c r="AN71" s="84" t="e">
        <f t="shared" si="3"/>
        <v>#N/A</v>
      </c>
      <c r="AO71" s="84" t="e" cm="1">
        <f t="array" ref="AO71">_xlfn.IFS(AN71&lt;=1,Tablas!$A$75,AN71&lt;=5,Tablas!$A$76,AN71&lt;=10,Tablas!$A$77,AN71&lt;=50,Tablas!$A$78,AN71&lt;=100,Tablas!$A$79,AN71&lt;=500,Tablas!$A$80,AN71&lt;=999,Tablas!$A$81,AN71&gt;1000,Tablas!T153)</f>
        <v>#N/A</v>
      </c>
      <c r="AP71" s="84"/>
      <c r="AQ71" s="84"/>
    </row>
    <row r="72" spans="2:43" s="21" customFormat="1" ht="92.25" customHeight="1" x14ac:dyDescent="0.25">
      <c r="B72" s="117"/>
      <c r="C72" s="118"/>
      <c r="D72" s="119"/>
      <c r="E72" s="119"/>
      <c r="F72" s="119"/>
      <c r="G72" s="119"/>
      <c r="H72" s="120"/>
      <c r="I72" s="121"/>
      <c r="J72" s="119"/>
      <c r="K72" s="84"/>
      <c r="L72" s="84"/>
      <c r="M72" s="84"/>
      <c r="N72" s="84" t="e">
        <f>VLOOKUP(M72,Tablas!$A$31:$B$38,2,FALSE)</f>
        <v>#N/A</v>
      </c>
      <c r="O72" s="84"/>
      <c r="P72" s="84" t="e">
        <f>VLOOKUP(O72,Tablas!$A$41:$B$47,2,FALSE)</f>
        <v>#N/A</v>
      </c>
      <c r="Q72" s="84"/>
      <c r="R72" s="121" t="e">
        <f>VLOOKUP(Q72,Tablas!$A$51:$B$59,2,FALSE)</f>
        <v>#N/A</v>
      </c>
      <c r="S72" s="84"/>
      <c r="T72" s="84" t="e">
        <f>VLOOKUP(S72,Tablas!$A$62:$B$72,2,FALSE)</f>
        <v>#N/A</v>
      </c>
      <c r="U72" s="84" t="e">
        <f t="shared" si="2"/>
        <v>#N/A</v>
      </c>
      <c r="V72" s="84" t="e" cm="1">
        <f t="array" ref="V72">_xlfn.IFS(U72&lt;=1,Tablas!$A$75,U72&lt;=5,Tablas!$A$76,U72&lt;=10,Tablas!$A$77,U72&lt;=50,Tablas!$A$78,U72&lt;=100,Tablas!$A$79,U72&lt;=500,Tablas!$A$80,U72&lt;=999,Tablas!$A$81,U72&gt;1000,Tablas!A154)</f>
        <v>#N/A</v>
      </c>
      <c r="W72" s="84" t="e" cm="1">
        <f t="array" ref="W72">_xlfn.IFS(V72=Tablas!$A$87,Tablas!$B$87,V72=Tablas!$A$88,Tablas!$B$88,V72=Tablas!$A$89,Tablas!$B$89,V72=Tablas!$A$90,Tablas!$B$90,V72=Tablas!$A$91,Tablas!$B$91,V72=Tablas!$A$92,Tablas!$B$92,V72=Tablas!$A$93,Tablas!$B$93,V72=Tablas!$A$94,Tablas!$B$94)</f>
        <v>#N/A</v>
      </c>
      <c r="X72" s="84"/>
      <c r="Y72" s="117"/>
      <c r="Z72" s="84"/>
      <c r="AA72" s="84"/>
      <c r="AB72" s="84"/>
      <c r="AC72" s="84"/>
      <c r="AD72" s="84"/>
      <c r="AE72" s="84"/>
      <c r="AF72" s="84"/>
      <c r="AG72" s="84" t="e">
        <f>VLOOKUP(AF72,Tablas!A103:B110,2,FALSE)</f>
        <v>#N/A</v>
      </c>
      <c r="AH72" s="84"/>
      <c r="AI72" s="84" t="e">
        <f>VLOOKUP(AH72,Tablas!A113:B119,2,FALSE)</f>
        <v>#N/A</v>
      </c>
      <c r="AJ72" s="84"/>
      <c r="AK72" s="121" t="e">
        <f>VLOOKUP(AJ72,Tablas!A123:B131,2,FALSE)</f>
        <v>#N/A</v>
      </c>
      <c r="AL72" s="84"/>
      <c r="AM72" s="84" t="e">
        <f>VLOOKUP(AL72,Tablas!A134:B144,2,FALSE)</f>
        <v>#N/A</v>
      </c>
      <c r="AN72" s="84" t="e">
        <f t="shared" si="3"/>
        <v>#N/A</v>
      </c>
      <c r="AO72" s="84" t="e" cm="1">
        <f t="array" ref="AO72">_xlfn.IFS(AN72&lt;=1,Tablas!$A$75,AN72&lt;=5,Tablas!$A$76,AN72&lt;=10,Tablas!$A$77,AN72&lt;=50,Tablas!$A$78,AN72&lt;=100,Tablas!$A$79,AN72&lt;=500,Tablas!$A$80,AN72&lt;=999,Tablas!$A$81,AN72&gt;1000,Tablas!T154)</f>
        <v>#N/A</v>
      </c>
      <c r="AP72" s="84"/>
      <c r="AQ72" s="84"/>
    </row>
    <row r="73" spans="2:43" s="21" customFormat="1" ht="92.25" customHeight="1" x14ac:dyDescent="0.25">
      <c r="B73" s="117"/>
      <c r="C73" s="118"/>
      <c r="D73" s="119"/>
      <c r="E73" s="119"/>
      <c r="F73" s="119"/>
      <c r="G73" s="119"/>
      <c r="H73" s="120"/>
      <c r="I73" s="121"/>
      <c r="J73" s="119"/>
      <c r="K73" s="84"/>
      <c r="L73" s="84"/>
      <c r="M73" s="84"/>
      <c r="N73" s="84" t="e">
        <f>VLOOKUP(M73,Tablas!$A$31:$B$38,2,FALSE)</f>
        <v>#N/A</v>
      </c>
      <c r="O73" s="84"/>
      <c r="P73" s="84" t="e">
        <f>VLOOKUP(O73,Tablas!$A$41:$B$47,2,FALSE)</f>
        <v>#N/A</v>
      </c>
      <c r="Q73" s="84"/>
      <c r="R73" s="121" t="e">
        <f>VLOOKUP(Q73,Tablas!$A$51:$B$59,2,FALSE)</f>
        <v>#N/A</v>
      </c>
      <c r="S73" s="84"/>
      <c r="T73" s="84" t="e">
        <f>VLOOKUP(S73,Tablas!$A$62:$B$72,2,FALSE)</f>
        <v>#N/A</v>
      </c>
      <c r="U73" s="84" t="e">
        <f t="shared" si="2"/>
        <v>#N/A</v>
      </c>
      <c r="V73" s="84" t="e" cm="1">
        <f t="array" ref="V73">_xlfn.IFS(U73&lt;=1,Tablas!$A$75,U73&lt;=5,Tablas!$A$76,U73&lt;=10,Tablas!$A$77,U73&lt;=50,Tablas!$A$78,U73&lt;=100,Tablas!$A$79,U73&lt;=500,Tablas!$A$80,U73&lt;=999,Tablas!$A$81,U73&gt;1000,Tablas!A155)</f>
        <v>#N/A</v>
      </c>
      <c r="W73" s="84" t="e" cm="1">
        <f t="array" ref="W73">_xlfn.IFS(V73=Tablas!$A$87,Tablas!$B$87,V73=Tablas!$A$88,Tablas!$B$88,V73=Tablas!$A$89,Tablas!$B$89,V73=Tablas!$A$90,Tablas!$B$90,V73=Tablas!$A$91,Tablas!$B$91,V73=Tablas!$A$92,Tablas!$B$92,V73=Tablas!$A$93,Tablas!$B$93,V73=Tablas!$A$94,Tablas!$B$94)</f>
        <v>#N/A</v>
      </c>
      <c r="X73" s="84"/>
      <c r="Y73" s="117"/>
      <c r="Z73" s="84"/>
      <c r="AA73" s="84"/>
      <c r="AB73" s="84"/>
      <c r="AC73" s="84"/>
      <c r="AD73" s="84"/>
      <c r="AE73" s="84"/>
      <c r="AF73" s="84"/>
      <c r="AG73" s="84" t="e">
        <f>VLOOKUP(AF73,Tablas!A104:B111,2,FALSE)</f>
        <v>#N/A</v>
      </c>
      <c r="AH73" s="84"/>
      <c r="AI73" s="84" t="e">
        <f>VLOOKUP(AH73,Tablas!A114:B120,2,FALSE)</f>
        <v>#N/A</v>
      </c>
      <c r="AJ73" s="84"/>
      <c r="AK73" s="121" t="e">
        <f>VLOOKUP(AJ73,Tablas!A124:B132,2,FALSE)</f>
        <v>#N/A</v>
      </c>
      <c r="AL73" s="84"/>
      <c r="AM73" s="84" t="e">
        <f>VLOOKUP(AL73,Tablas!A135:B145,2,FALSE)</f>
        <v>#N/A</v>
      </c>
      <c r="AN73" s="84" t="e">
        <f t="shared" si="3"/>
        <v>#N/A</v>
      </c>
      <c r="AO73" s="84" t="e" cm="1">
        <f t="array" ref="AO73">_xlfn.IFS(AN73&lt;=1,Tablas!$A$75,AN73&lt;=5,Tablas!$A$76,AN73&lt;=10,Tablas!$A$77,AN73&lt;=50,Tablas!$A$78,AN73&lt;=100,Tablas!$A$79,AN73&lt;=500,Tablas!$A$80,AN73&lt;=999,Tablas!$A$81,AN73&gt;1000,Tablas!T155)</f>
        <v>#N/A</v>
      </c>
      <c r="AP73" s="84"/>
      <c r="AQ73" s="84"/>
    </row>
    <row r="74" spans="2:43" s="21" customFormat="1" ht="92.25" customHeight="1" x14ac:dyDescent="0.25">
      <c r="B74" s="117"/>
      <c r="C74" s="118"/>
      <c r="D74" s="119"/>
      <c r="E74" s="119"/>
      <c r="F74" s="119"/>
      <c r="G74" s="119"/>
      <c r="H74" s="120"/>
      <c r="I74" s="121"/>
      <c r="J74" s="119"/>
      <c r="K74" s="84"/>
      <c r="L74" s="84"/>
      <c r="M74" s="84"/>
      <c r="N74" s="84" t="e">
        <f>VLOOKUP(M74,Tablas!$A$31:$B$38,2,FALSE)</f>
        <v>#N/A</v>
      </c>
      <c r="O74" s="84"/>
      <c r="P74" s="84" t="e">
        <f>VLOOKUP(O74,Tablas!$A$41:$B$47,2,FALSE)</f>
        <v>#N/A</v>
      </c>
      <c r="Q74" s="84"/>
      <c r="R74" s="121" t="e">
        <f>VLOOKUP(Q74,Tablas!$A$51:$B$59,2,FALSE)</f>
        <v>#N/A</v>
      </c>
      <c r="S74" s="84"/>
      <c r="T74" s="84" t="e">
        <f>VLOOKUP(S74,Tablas!$A$62:$B$72,2,FALSE)</f>
        <v>#N/A</v>
      </c>
      <c r="U74" s="84" t="e">
        <f t="shared" si="2"/>
        <v>#N/A</v>
      </c>
      <c r="V74" s="84" t="e" cm="1">
        <f t="array" ref="V74">_xlfn.IFS(U74&lt;=1,Tablas!$A$75,U74&lt;=5,Tablas!$A$76,U74&lt;=10,Tablas!$A$77,U74&lt;=50,Tablas!$A$78,U74&lt;=100,Tablas!$A$79,U74&lt;=500,Tablas!$A$80,U74&lt;=999,Tablas!$A$81,U74&gt;1000,Tablas!A156)</f>
        <v>#N/A</v>
      </c>
      <c r="W74" s="84" t="e" cm="1">
        <f t="array" ref="W74">_xlfn.IFS(V74=Tablas!$A$87,Tablas!$B$87,V74=Tablas!$A$88,Tablas!$B$88,V74=Tablas!$A$89,Tablas!$B$89,V74=Tablas!$A$90,Tablas!$B$90,V74=Tablas!$A$91,Tablas!$B$91,V74=Tablas!$A$92,Tablas!$B$92,V74=Tablas!$A$93,Tablas!$B$93,V74=Tablas!$A$94,Tablas!$B$94)</f>
        <v>#N/A</v>
      </c>
      <c r="X74" s="84"/>
      <c r="Y74" s="117"/>
      <c r="Z74" s="84"/>
      <c r="AA74" s="84"/>
      <c r="AB74" s="84"/>
      <c r="AC74" s="84"/>
      <c r="AD74" s="84"/>
      <c r="AE74" s="84"/>
      <c r="AF74" s="84"/>
      <c r="AG74" s="84" t="e">
        <f>VLOOKUP(AF74,Tablas!A105:B112,2,FALSE)</f>
        <v>#N/A</v>
      </c>
      <c r="AH74" s="84"/>
      <c r="AI74" s="84" t="e">
        <f>VLOOKUP(AH74,Tablas!A115:B121,2,FALSE)</f>
        <v>#N/A</v>
      </c>
      <c r="AJ74" s="84"/>
      <c r="AK74" s="121" t="e">
        <f>VLOOKUP(AJ74,Tablas!A125:B133,2,FALSE)</f>
        <v>#N/A</v>
      </c>
      <c r="AL74" s="84"/>
      <c r="AM74" s="84" t="e">
        <f>VLOOKUP(AL74,Tablas!A136:B146,2,FALSE)</f>
        <v>#N/A</v>
      </c>
      <c r="AN74" s="84" t="e">
        <f t="shared" si="3"/>
        <v>#N/A</v>
      </c>
      <c r="AO74" s="84" t="e" cm="1">
        <f t="array" ref="AO74">_xlfn.IFS(AN74&lt;=1,Tablas!$A$75,AN74&lt;=5,Tablas!$A$76,AN74&lt;=10,Tablas!$A$77,AN74&lt;=50,Tablas!$A$78,AN74&lt;=100,Tablas!$A$79,AN74&lt;=500,Tablas!$A$80,AN74&lt;=999,Tablas!$A$81,AN74&gt;1000,Tablas!T156)</f>
        <v>#N/A</v>
      </c>
      <c r="AP74" s="84"/>
      <c r="AQ74" s="84"/>
    </row>
    <row r="75" spans="2:43" s="21" customFormat="1" ht="92.25" customHeight="1" x14ac:dyDescent="0.25">
      <c r="B75" s="117"/>
      <c r="C75" s="118"/>
      <c r="D75" s="119"/>
      <c r="E75" s="119"/>
      <c r="F75" s="119"/>
      <c r="G75" s="119"/>
      <c r="H75" s="120"/>
      <c r="I75" s="121"/>
      <c r="J75" s="119"/>
      <c r="K75" s="84"/>
      <c r="L75" s="84"/>
      <c r="M75" s="84"/>
      <c r="N75" s="84" t="e">
        <f>VLOOKUP(M75,Tablas!$A$31:$B$38,2,FALSE)</f>
        <v>#N/A</v>
      </c>
      <c r="O75" s="84"/>
      <c r="P75" s="84" t="e">
        <f>VLOOKUP(O75,Tablas!$A$41:$B$47,2,FALSE)</f>
        <v>#N/A</v>
      </c>
      <c r="Q75" s="84"/>
      <c r="R75" s="121" t="e">
        <f>VLOOKUP(Q75,Tablas!$A$51:$B$59,2,FALSE)</f>
        <v>#N/A</v>
      </c>
      <c r="S75" s="84"/>
      <c r="T75" s="84" t="e">
        <f>VLOOKUP(S75,Tablas!$A$62:$B$72,2,FALSE)</f>
        <v>#N/A</v>
      </c>
      <c r="U75" s="84" t="e">
        <f t="shared" si="2"/>
        <v>#N/A</v>
      </c>
      <c r="V75" s="84" t="e" cm="1">
        <f t="array" ref="V75">_xlfn.IFS(U75&lt;=1,Tablas!$A$75,U75&lt;=5,Tablas!$A$76,U75&lt;=10,Tablas!$A$77,U75&lt;=50,Tablas!$A$78,U75&lt;=100,Tablas!$A$79,U75&lt;=500,Tablas!$A$80,U75&lt;=999,Tablas!$A$81,U75&gt;1000,Tablas!A157)</f>
        <v>#N/A</v>
      </c>
      <c r="W75" s="84" t="e" cm="1">
        <f t="array" ref="W75">_xlfn.IFS(V75=Tablas!$A$87,Tablas!$B$87,V75=Tablas!$A$88,Tablas!$B$88,V75=Tablas!$A$89,Tablas!$B$89,V75=Tablas!$A$90,Tablas!$B$90,V75=Tablas!$A$91,Tablas!$B$91,V75=Tablas!$A$92,Tablas!$B$92,V75=Tablas!$A$93,Tablas!$B$93,V75=Tablas!$A$94,Tablas!$B$94)</f>
        <v>#N/A</v>
      </c>
      <c r="X75" s="84"/>
      <c r="Y75" s="117"/>
      <c r="Z75" s="84"/>
      <c r="AA75" s="84"/>
      <c r="AB75" s="84"/>
      <c r="AC75" s="84"/>
      <c r="AD75" s="84"/>
      <c r="AE75" s="84"/>
      <c r="AF75" s="84"/>
      <c r="AG75" s="84" t="e">
        <f>VLOOKUP(AF75,Tablas!A106:B113,2,FALSE)</f>
        <v>#N/A</v>
      </c>
      <c r="AH75" s="84"/>
      <c r="AI75" s="84" t="e">
        <f>VLOOKUP(AH75,Tablas!A116:B122,2,FALSE)</f>
        <v>#N/A</v>
      </c>
      <c r="AJ75" s="84"/>
      <c r="AK75" s="121" t="e">
        <f>VLOOKUP(AJ75,Tablas!A126:B134,2,FALSE)</f>
        <v>#N/A</v>
      </c>
      <c r="AL75" s="84"/>
      <c r="AM75" s="84" t="e">
        <f>VLOOKUP(AL75,Tablas!A137:B147,2,FALSE)</f>
        <v>#N/A</v>
      </c>
      <c r="AN75" s="84" t="e">
        <f t="shared" si="3"/>
        <v>#N/A</v>
      </c>
      <c r="AO75" s="84" t="e" cm="1">
        <f t="array" ref="AO75">_xlfn.IFS(AN75&lt;=1,Tablas!$A$75,AN75&lt;=5,Tablas!$A$76,AN75&lt;=10,Tablas!$A$77,AN75&lt;=50,Tablas!$A$78,AN75&lt;=100,Tablas!$A$79,AN75&lt;=500,Tablas!$A$80,AN75&lt;=999,Tablas!$A$81,AN75&gt;1000,Tablas!T157)</f>
        <v>#N/A</v>
      </c>
      <c r="AP75" s="84"/>
      <c r="AQ75" s="84"/>
    </row>
    <row r="76" spans="2:43" s="21" customFormat="1" ht="92.25" customHeight="1" x14ac:dyDescent="0.25">
      <c r="B76" s="117"/>
      <c r="C76" s="118"/>
      <c r="D76" s="119"/>
      <c r="E76" s="119"/>
      <c r="F76" s="119"/>
      <c r="G76" s="119"/>
      <c r="H76" s="120"/>
      <c r="I76" s="121"/>
      <c r="J76" s="119"/>
      <c r="K76" s="84"/>
      <c r="L76" s="84"/>
      <c r="M76" s="84"/>
      <c r="N76" s="84" t="e">
        <f>VLOOKUP(M76,Tablas!$A$31:$B$38,2,FALSE)</f>
        <v>#N/A</v>
      </c>
      <c r="O76" s="84"/>
      <c r="P76" s="84" t="e">
        <f>VLOOKUP(O76,Tablas!$A$41:$B$47,2,FALSE)</f>
        <v>#N/A</v>
      </c>
      <c r="Q76" s="84"/>
      <c r="R76" s="121" t="e">
        <f>VLOOKUP(Q76,Tablas!$A$51:$B$59,2,FALSE)</f>
        <v>#N/A</v>
      </c>
      <c r="S76" s="84"/>
      <c r="T76" s="84" t="e">
        <f>VLOOKUP(S76,Tablas!$A$62:$B$72,2,FALSE)</f>
        <v>#N/A</v>
      </c>
      <c r="U76" s="84" t="e">
        <f t="shared" si="2"/>
        <v>#N/A</v>
      </c>
      <c r="V76" s="84" t="e" cm="1">
        <f t="array" ref="V76">_xlfn.IFS(U76&lt;=1,Tablas!$A$75,U76&lt;=5,Tablas!$A$76,U76&lt;=10,Tablas!$A$77,U76&lt;=50,Tablas!$A$78,U76&lt;=100,Tablas!$A$79,U76&lt;=500,Tablas!$A$80,U76&lt;=999,Tablas!$A$81,U76&gt;1000,Tablas!A158)</f>
        <v>#N/A</v>
      </c>
      <c r="W76" s="84" t="e" cm="1">
        <f t="array" ref="W76">_xlfn.IFS(V76=Tablas!$A$87,Tablas!$B$87,V76=Tablas!$A$88,Tablas!$B$88,V76=Tablas!$A$89,Tablas!$B$89,V76=Tablas!$A$90,Tablas!$B$90,V76=Tablas!$A$91,Tablas!$B$91,V76=Tablas!$A$92,Tablas!$B$92,V76=Tablas!$A$93,Tablas!$B$93,V76=Tablas!$A$94,Tablas!$B$94)</f>
        <v>#N/A</v>
      </c>
      <c r="X76" s="84"/>
      <c r="Y76" s="117"/>
      <c r="Z76" s="84"/>
      <c r="AA76" s="84"/>
      <c r="AB76" s="84"/>
      <c r="AC76" s="84"/>
      <c r="AD76" s="84"/>
      <c r="AE76" s="84"/>
      <c r="AF76" s="84"/>
      <c r="AG76" s="84" t="e">
        <f>VLOOKUP(AF76,Tablas!A107:B114,2,FALSE)</f>
        <v>#N/A</v>
      </c>
      <c r="AH76" s="84"/>
      <c r="AI76" s="84" t="e">
        <f>VLOOKUP(AH76,Tablas!A117:B123,2,FALSE)</f>
        <v>#N/A</v>
      </c>
      <c r="AJ76" s="84"/>
      <c r="AK76" s="121" t="e">
        <f>VLOOKUP(AJ76,Tablas!A127:B135,2,FALSE)</f>
        <v>#N/A</v>
      </c>
      <c r="AL76" s="84"/>
      <c r="AM76" s="84" t="e">
        <f>VLOOKUP(AL76,Tablas!A138:B148,2,FALSE)</f>
        <v>#N/A</v>
      </c>
      <c r="AN76" s="84" t="e">
        <f t="shared" si="3"/>
        <v>#N/A</v>
      </c>
      <c r="AO76" s="84" t="e" cm="1">
        <f t="array" ref="AO76">_xlfn.IFS(AN76&lt;=1,Tablas!$A$75,AN76&lt;=5,Tablas!$A$76,AN76&lt;=10,Tablas!$A$77,AN76&lt;=50,Tablas!$A$78,AN76&lt;=100,Tablas!$A$79,AN76&lt;=500,Tablas!$A$80,AN76&lt;=999,Tablas!$A$81,AN76&gt;1000,Tablas!T158)</f>
        <v>#N/A</v>
      </c>
      <c r="AP76" s="84"/>
      <c r="AQ76" s="84"/>
    </row>
    <row r="77" spans="2:43" s="21" customFormat="1" ht="92.25" customHeight="1" x14ac:dyDescent="0.25">
      <c r="B77" s="117"/>
      <c r="C77" s="118"/>
      <c r="D77" s="119"/>
      <c r="E77" s="119"/>
      <c r="F77" s="119"/>
      <c r="G77" s="119"/>
      <c r="H77" s="120"/>
      <c r="I77" s="121"/>
      <c r="J77" s="119"/>
      <c r="K77" s="84"/>
      <c r="L77" s="84"/>
      <c r="M77" s="84"/>
      <c r="N77" s="84" t="e">
        <f>VLOOKUP(M77,Tablas!$A$31:$B$38,2,FALSE)</f>
        <v>#N/A</v>
      </c>
      <c r="O77" s="84"/>
      <c r="P77" s="84" t="e">
        <f>VLOOKUP(O77,Tablas!$A$41:$B$47,2,FALSE)</f>
        <v>#N/A</v>
      </c>
      <c r="Q77" s="84"/>
      <c r="R77" s="121" t="e">
        <f>VLOOKUP(Q77,Tablas!$A$51:$B$59,2,FALSE)</f>
        <v>#N/A</v>
      </c>
      <c r="S77" s="84"/>
      <c r="T77" s="84" t="e">
        <f>VLOOKUP(S77,Tablas!$A$62:$B$72,2,FALSE)</f>
        <v>#N/A</v>
      </c>
      <c r="U77" s="84" t="e">
        <f t="shared" si="2"/>
        <v>#N/A</v>
      </c>
      <c r="V77" s="84" t="e" cm="1">
        <f t="array" ref="V77">_xlfn.IFS(U77&lt;=1,Tablas!$A$75,U77&lt;=5,Tablas!$A$76,U77&lt;=10,Tablas!$A$77,U77&lt;=50,Tablas!$A$78,U77&lt;=100,Tablas!$A$79,U77&lt;=500,Tablas!$A$80,U77&lt;=999,Tablas!$A$81,U77&gt;1000,Tablas!A159)</f>
        <v>#N/A</v>
      </c>
      <c r="W77" s="84" t="e" cm="1">
        <f t="array" ref="W77">_xlfn.IFS(V77=Tablas!$A$87,Tablas!$B$87,V77=Tablas!$A$88,Tablas!$B$88,V77=Tablas!$A$89,Tablas!$B$89,V77=Tablas!$A$90,Tablas!$B$90,V77=Tablas!$A$91,Tablas!$B$91,V77=Tablas!$A$92,Tablas!$B$92,V77=Tablas!$A$93,Tablas!$B$93,V77=Tablas!$A$94,Tablas!$B$94)</f>
        <v>#N/A</v>
      </c>
      <c r="X77" s="84"/>
      <c r="Y77" s="117"/>
      <c r="Z77" s="84"/>
      <c r="AA77" s="84"/>
      <c r="AB77" s="84"/>
      <c r="AC77" s="84"/>
      <c r="AD77" s="84"/>
      <c r="AE77" s="84"/>
      <c r="AF77" s="84"/>
      <c r="AG77" s="84" t="e">
        <f>VLOOKUP(AF77,Tablas!A108:B115,2,FALSE)</f>
        <v>#N/A</v>
      </c>
      <c r="AH77" s="84"/>
      <c r="AI77" s="84" t="e">
        <f>VLOOKUP(AH77,Tablas!A118:B124,2,FALSE)</f>
        <v>#N/A</v>
      </c>
      <c r="AJ77" s="84"/>
      <c r="AK77" s="121" t="e">
        <f>VLOOKUP(AJ77,Tablas!A128:B136,2,FALSE)</f>
        <v>#N/A</v>
      </c>
      <c r="AL77" s="84"/>
      <c r="AM77" s="84" t="e">
        <f>VLOOKUP(AL77,Tablas!A139:B149,2,FALSE)</f>
        <v>#N/A</v>
      </c>
      <c r="AN77" s="84" t="e">
        <f t="shared" si="3"/>
        <v>#N/A</v>
      </c>
      <c r="AO77" s="84" t="e" cm="1">
        <f t="array" ref="AO77">_xlfn.IFS(AN77&lt;=1,Tablas!$A$75,AN77&lt;=5,Tablas!$A$76,AN77&lt;=10,Tablas!$A$77,AN77&lt;=50,Tablas!$A$78,AN77&lt;=100,Tablas!$A$79,AN77&lt;=500,Tablas!$A$80,AN77&lt;=999,Tablas!$A$81,AN77&gt;1000,Tablas!T159)</f>
        <v>#N/A</v>
      </c>
      <c r="AP77" s="84"/>
      <c r="AQ77" s="84"/>
    </row>
    <row r="78" spans="2:43" s="21" customFormat="1" ht="92.25" customHeight="1" x14ac:dyDescent="0.25">
      <c r="B78" s="117"/>
      <c r="C78" s="118"/>
      <c r="D78" s="119"/>
      <c r="E78" s="119"/>
      <c r="F78" s="119"/>
      <c r="G78" s="119"/>
      <c r="H78" s="120"/>
      <c r="I78" s="121"/>
      <c r="J78" s="119"/>
      <c r="K78" s="84"/>
      <c r="L78" s="84"/>
      <c r="M78" s="84"/>
      <c r="N78" s="84" t="e">
        <f>VLOOKUP(M78,Tablas!$A$31:$B$38,2,FALSE)</f>
        <v>#N/A</v>
      </c>
      <c r="O78" s="84"/>
      <c r="P78" s="84" t="e">
        <f>VLOOKUP(O78,Tablas!$A$41:$B$47,2,FALSE)</f>
        <v>#N/A</v>
      </c>
      <c r="Q78" s="84"/>
      <c r="R78" s="121" t="e">
        <f>VLOOKUP(Q78,Tablas!$A$51:$B$59,2,FALSE)</f>
        <v>#N/A</v>
      </c>
      <c r="S78" s="84"/>
      <c r="T78" s="84" t="e">
        <f>VLOOKUP(S78,Tablas!$A$62:$B$72,2,FALSE)</f>
        <v>#N/A</v>
      </c>
      <c r="U78" s="84" t="e">
        <f t="shared" si="2"/>
        <v>#N/A</v>
      </c>
      <c r="V78" s="84" t="e" cm="1">
        <f t="array" ref="V78">_xlfn.IFS(U78&lt;=1,Tablas!$A$75,U78&lt;=5,Tablas!$A$76,U78&lt;=10,Tablas!$A$77,U78&lt;=50,Tablas!$A$78,U78&lt;=100,Tablas!$A$79,U78&lt;=500,Tablas!$A$80,U78&lt;=999,Tablas!$A$81,U78&gt;1000,Tablas!A160)</f>
        <v>#N/A</v>
      </c>
      <c r="W78" s="84" t="e" cm="1">
        <f t="array" ref="W78">_xlfn.IFS(V78=Tablas!$A$87,Tablas!$B$87,V78=Tablas!$A$88,Tablas!$B$88,V78=Tablas!$A$89,Tablas!$B$89,V78=Tablas!$A$90,Tablas!$B$90,V78=Tablas!$A$91,Tablas!$B$91,V78=Tablas!$A$92,Tablas!$B$92,V78=Tablas!$A$93,Tablas!$B$93,V78=Tablas!$A$94,Tablas!$B$94)</f>
        <v>#N/A</v>
      </c>
      <c r="X78" s="84"/>
      <c r="Y78" s="117"/>
      <c r="Z78" s="84"/>
      <c r="AA78" s="84"/>
      <c r="AB78" s="84"/>
      <c r="AC78" s="84"/>
      <c r="AD78" s="84"/>
      <c r="AE78" s="84"/>
      <c r="AF78" s="84"/>
      <c r="AG78" s="84" t="e">
        <f>VLOOKUP(AF78,Tablas!A109:B116,2,FALSE)</f>
        <v>#N/A</v>
      </c>
      <c r="AH78" s="84"/>
      <c r="AI78" s="84" t="e">
        <f>VLOOKUP(AH78,Tablas!A119:B125,2,FALSE)</f>
        <v>#N/A</v>
      </c>
      <c r="AJ78" s="84"/>
      <c r="AK78" s="121" t="e">
        <f>VLOOKUP(AJ78,Tablas!A129:B137,2,FALSE)</f>
        <v>#N/A</v>
      </c>
      <c r="AL78" s="84"/>
      <c r="AM78" s="84" t="e">
        <f>VLOOKUP(AL78,Tablas!A140:B150,2,FALSE)</f>
        <v>#N/A</v>
      </c>
      <c r="AN78" s="84" t="e">
        <f t="shared" si="3"/>
        <v>#N/A</v>
      </c>
      <c r="AO78" s="84" t="e" cm="1">
        <f t="array" ref="AO78">_xlfn.IFS(AN78&lt;=1,Tablas!$A$75,AN78&lt;=5,Tablas!$A$76,AN78&lt;=10,Tablas!$A$77,AN78&lt;=50,Tablas!$A$78,AN78&lt;=100,Tablas!$A$79,AN78&lt;=500,Tablas!$A$80,AN78&lt;=999,Tablas!$A$81,AN78&gt;1000,Tablas!T160)</f>
        <v>#N/A</v>
      </c>
      <c r="AP78" s="84"/>
      <c r="AQ78" s="84"/>
    </row>
    <row r="79" spans="2:43" s="21" customFormat="1" ht="92.25" customHeight="1" x14ac:dyDescent="0.25">
      <c r="B79" s="117"/>
      <c r="C79" s="118"/>
      <c r="D79" s="119"/>
      <c r="E79" s="119"/>
      <c r="F79" s="119"/>
      <c r="G79" s="119"/>
      <c r="H79" s="120"/>
      <c r="I79" s="121"/>
      <c r="J79" s="119"/>
      <c r="K79" s="84"/>
      <c r="L79" s="84"/>
      <c r="M79" s="84"/>
      <c r="N79" s="84" t="e">
        <f>VLOOKUP(M79,Tablas!$A$31:$B$38,2,FALSE)</f>
        <v>#N/A</v>
      </c>
      <c r="O79" s="84"/>
      <c r="P79" s="84" t="e">
        <f>VLOOKUP(O79,Tablas!$A$41:$B$47,2,FALSE)</f>
        <v>#N/A</v>
      </c>
      <c r="Q79" s="84"/>
      <c r="R79" s="121" t="e">
        <f>VLOOKUP(Q79,Tablas!$A$51:$B$59,2,FALSE)</f>
        <v>#N/A</v>
      </c>
      <c r="S79" s="84"/>
      <c r="T79" s="84" t="e">
        <f>VLOOKUP(S79,Tablas!$A$62:$B$72,2,FALSE)</f>
        <v>#N/A</v>
      </c>
      <c r="U79" s="84" t="e">
        <f t="shared" si="2"/>
        <v>#N/A</v>
      </c>
      <c r="V79" s="84" t="e" cm="1">
        <f t="array" ref="V79">_xlfn.IFS(U79&lt;=1,Tablas!$A$75,U79&lt;=5,Tablas!$A$76,U79&lt;=10,Tablas!$A$77,U79&lt;=50,Tablas!$A$78,U79&lt;=100,Tablas!$A$79,U79&lt;=500,Tablas!$A$80,U79&lt;=999,Tablas!$A$81,U79&gt;1000,Tablas!A161)</f>
        <v>#N/A</v>
      </c>
      <c r="W79" s="84" t="e" cm="1">
        <f t="array" ref="W79">_xlfn.IFS(V79=Tablas!$A$87,Tablas!$B$87,V79=Tablas!$A$88,Tablas!$B$88,V79=Tablas!$A$89,Tablas!$B$89,V79=Tablas!$A$90,Tablas!$B$90,V79=Tablas!$A$91,Tablas!$B$91,V79=Tablas!$A$92,Tablas!$B$92,V79=Tablas!$A$93,Tablas!$B$93,V79=Tablas!$A$94,Tablas!$B$94)</f>
        <v>#N/A</v>
      </c>
      <c r="X79" s="84"/>
      <c r="Y79" s="117"/>
      <c r="Z79" s="84"/>
      <c r="AA79" s="84"/>
      <c r="AB79" s="84"/>
      <c r="AC79" s="84"/>
      <c r="AD79" s="84"/>
      <c r="AE79" s="84"/>
      <c r="AF79" s="84"/>
      <c r="AG79" s="84" t="e">
        <f>VLOOKUP(AF79,Tablas!A110:B117,2,FALSE)</f>
        <v>#N/A</v>
      </c>
      <c r="AH79" s="84"/>
      <c r="AI79" s="84" t="e">
        <f>VLOOKUP(AH79,Tablas!A120:B126,2,FALSE)</f>
        <v>#N/A</v>
      </c>
      <c r="AJ79" s="84"/>
      <c r="AK79" s="121" t="e">
        <f>VLOOKUP(AJ79,Tablas!A130:B138,2,FALSE)</f>
        <v>#N/A</v>
      </c>
      <c r="AL79" s="84"/>
      <c r="AM79" s="84" t="e">
        <f>VLOOKUP(AL79,Tablas!A141:B151,2,FALSE)</f>
        <v>#N/A</v>
      </c>
      <c r="AN79" s="84" t="e">
        <f t="shared" si="3"/>
        <v>#N/A</v>
      </c>
      <c r="AO79" s="84" t="e" cm="1">
        <f t="array" ref="AO79">_xlfn.IFS(AN79&lt;=1,Tablas!$A$75,AN79&lt;=5,Tablas!$A$76,AN79&lt;=10,Tablas!$A$77,AN79&lt;=50,Tablas!$A$78,AN79&lt;=100,Tablas!$A$79,AN79&lt;=500,Tablas!$A$80,AN79&lt;=999,Tablas!$A$81,AN79&gt;1000,Tablas!T161)</f>
        <v>#N/A</v>
      </c>
      <c r="AP79" s="84"/>
      <c r="AQ79" s="84"/>
    </row>
    <row r="80" spans="2:43" s="21" customFormat="1" ht="92.25" customHeight="1" x14ac:dyDescent="0.25">
      <c r="B80" s="117"/>
      <c r="C80" s="118"/>
      <c r="D80" s="119"/>
      <c r="E80" s="119"/>
      <c r="F80" s="119"/>
      <c r="G80" s="119"/>
      <c r="H80" s="120"/>
      <c r="I80" s="121"/>
      <c r="J80" s="119"/>
      <c r="K80" s="84"/>
      <c r="L80" s="84"/>
      <c r="M80" s="84"/>
      <c r="N80" s="84" t="e">
        <f>VLOOKUP(M80,Tablas!$A$31:$B$38,2,FALSE)</f>
        <v>#N/A</v>
      </c>
      <c r="O80" s="84"/>
      <c r="P80" s="84" t="e">
        <f>VLOOKUP(O80,Tablas!$A$41:$B$47,2,FALSE)</f>
        <v>#N/A</v>
      </c>
      <c r="Q80" s="84"/>
      <c r="R80" s="121" t="e">
        <f>VLOOKUP(Q80,Tablas!$A$51:$B$59,2,FALSE)</f>
        <v>#N/A</v>
      </c>
      <c r="S80" s="84"/>
      <c r="T80" s="84" t="e">
        <f>VLOOKUP(S80,Tablas!$A$62:$B$72,2,FALSE)</f>
        <v>#N/A</v>
      </c>
      <c r="U80" s="84" t="e">
        <f t="shared" si="2"/>
        <v>#N/A</v>
      </c>
      <c r="V80" s="84" t="e" cm="1">
        <f t="array" ref="V80">_xlfn.IFS(U80&lt;=1,Tablas!$A$75,U80&lt;=5,Tablas!$A$76,U80&lt;=10,Tablas!$A$77,U80&lt;=50,Tablas!$A$78,U80&lt;=100,Tablas!$A$79,U80&lt;=500,Tablas!$A$80,U80&lt;=999,Tablas!$A$81,U80&gt;1000,Tablas!A162)</f>
        <v>#N/A</v>
      </c>
      <c r="W80" s="84" t="e" cm="1">
        <f t="array" ref="W80">_xlfn.IFS(V80=Tablas!$A$87,Tablas!$B$87,V80=Tablas!$A$88,Tablas!$B$88,V80=Tablas!$A$89,Tablas!$B$89,V80=Tablas!$A$90,Tablas!$B$90,V80=Tablas!$A$91,Tablas!$B$91,V80=Tablas!$A$92,Tablas!$B$92,V80=Tablas!$A$93,Tablas!$B$93,V80=Tablas!$A$94,Tablas!$B$94)</f>
        <v>#N/A</v>
      </c>
      <c r="X80" s="84"/>
      <c r="Y80" s="117"/>
      <c r="Z80" s="84"/>
      <c r="AA80" s="84"/>
      <c r="AB80" s="84"/>
      <c r="AC80" s="84"/>
      <c r="AD80" s="84"/>
      <c r="AE80" s="84"/>
      <c r="AF80" s="84"/>
      <c r="AG80" s="84" t="e">
        <f>VLOOKUP(AF80,Tablas!A111:B118,2,FALSE)</f>
        <v>#N/A</v>
      </c>
      <c r="AH80" s="84"/>
      <c r="AI80" s="84" t="e">
        <f>VLOOKUP(AH80,Tablas!A121:B127,2,FALSE)</f>
        <v>#N/A</v>
      </c>
      <c r="AJ80" s="84"/>
      <c r="AK80" s="121" t="e">
        <f>VLOOKUP(AJ80,Tablas!A131:B139,2,FALSE)</f>
        <v>#N/A</v>
      </c>
      <c r="AL80" s="84"/>
      <c r="AM80" s="84" t="e">
        <f>VLOOKUP(AL80,Tablas!A142:B152,2,FALSE)</f>
        <v>#N/A</v>
      </c>
      <c r="AN80" s="84" t="e">
        <f t="shared" si="3"/>
        <v>#N/A</v>
      </c>
      <c r="AO80" s="84" t="e" cm="1">
        <f t="array" ref="AO80">_xlfn.IFS(AN80&lt;=1,Tablas!$A$75,AN80&lt;=5,Tablas!$A$76,AN80&lt;=10,Tablas!$A$77,AN80&lt;=50,Tablas!$A$78,AN80&lt;=100,Tablas!$A$79,AN80&lt;=500,Tablas!$A$80,AN80&lt;=999,Tablas!$A$81,AN80&gt;1000,Tablas!T162)</f>
        <v>#N/A</v>
      </c>
      <c r="AP80" s="84"/>
      <c r="AQ80" s="84"/>
    </row>
    <row r="81" spans="2:43" s="21" customFormat="1" ht="92.25" customHeight="1" x14ac:dyDescent="0.25">
      <c r="B81" s="117"/>
      <c r="C81" s="118"/>
      <c r="D81" s="119"/>
      <c r="E81" s="119"/>
      <c r="F81" s="119"/>
      <c r="G81" s="119"/>
      <c r="H81" s="120"/>
      <c r="I81" s="121"/>
      <c r="J81" s="119"/>
      <c r="K81" s="84"/>
      <c r="L81" s="84"/>
      <c r="M81" s="84"/>
      <c r="N81" s="84" t="e">
        <f>VLOOKUP(M81,Tablas!$A$31:$B$38,2,FALSE)</f>
        <v>#N/A</v>
      </c>
      <c r="O81" s="84"/>
      <c r="P81" s="84" t="e">
        <f>VLOOKUP(O81,Tablas!$A$41:$B$47,2,FALSE)</f>
        <v>#N/A</v>
      </c>
      <c r="Q81" s="84"/>
      <c r="R81" s="121" t="e">
        <f>VLOOKUP(Q81,Tablas!$A$51:$B$59,2,FALSE)</f>
        <v>#N/A</v>
      </c>
      <c r="S81" s="84"/>
      <c r="T81" s="84" t="e">
        <f>VLOOKUP(S81,Tablas!$A$62:$B$72,2,FALSE)</f>
        <v>#N/A</v>
      </c>
      <c r="U81" s="84" t="e">
        <f t="shared" si="2"/>
        <v>#N/A</v>
      </c>
      <c r="V81" s="84" t="e" cm="1">
        <f t="array" ref="V81">_xlfn.IFS(U81&lt;=1,Tablas!$A$75,U81&lt;=5,Tablas!$A$76,U81&lt;=10,Tablas!$A$77,U81&lt;=50,Tablas!$A$78,U81&lt;=100,Tablas!$A$79,U81&lt;=500,Tablas!$A$80,U81&lt;=999,Tablas!$A$81,U81&gt;1000,Tablas!A163)</f>
        <v>#N/A</v>
      </c>
      <c r="W81" s="84" t="e" cm="1">
        <f t="array" ref="W81">_xlfn.IFS(V81=Tablas!$A$87,Tablas!$B$87,V81=Tablas!$A$88,Tablas!$B$88,V81=Tablas!$A$89,Tablas!$B$89,V81=Tablas!$A$90,Tablas!$B$90,V81=Tablas!$A$91,Tablas!$B$91,V81=Tablas!$A$92,Tablas!$B$92,V81=Tablas!$A$93,Tablas!$B$93,V81=Tablas!$A$94,Tablas!$B$94)</f>
        <v>#N/A</v>
      </c>
      <c r="X81" s="84"/>
      <c r="Y81" s="117"/>
      <c r="Z81" s="84"/>
      <c r="AA81" s="84"/>
      <c r="AB81" s="84"/>
      <c r="AC81" s="84"/>
      <c r="AD81" s="84"/>
      <c r="AE81" s="84"/>
      <c r="AF81" s="84"/>
      <c r="AG81" s="84" t="e">
        <f>VLOOKUP(AF81,Tablas!A112:B119,2,FALSE)</f>
        <v>#N/A</v>
      </c>
      <c r="AH81" s="84"/>
      <c r="AI81" s="84" t="e">
        <f>VLOOKUP(AH81,Tablas!A122:B128,2,FALSE)</f>
        <v>#N/A</v>
      </c>
      <c r="AJ81" s="84"/>
      <c r="AK81" s="121" t="e">
        <f>VLOOKUP(AJ81,Tablas!A132:B140,2,FALSE)</f>
        <v>#N/A</v>
      </c>
      <c r="AL81" s="84"/>
      <c r="AM81" s="84" t="e">
        <f>VLOOKUP(AL81,Tablas!A143:B153,2,FALSE)</f>
        <v>#N/A</v>
      </c>
      <c r="AN81" s="84" t="e">
        <f t="shared" si="3"/>
        <v>#N/A</v>
      </c>
      <c r="AO81" s="84" t="e" cm="1">
        <f t="array" ref="AO81">_xlfn.IFS(AN81&lt;=1,Tablas!$A$75,AN81&lt;=5,Tablas!$A$76,AN81&lt;=10,Tablas!$A$77,AN81&lt;=50,Tablas!$A$78,AN81&lt;=100,Tablas!$A$79,AN81&lt;=500,Tablas!$A$80,AN81&lt;=999,Tablas!$A$81,AN81&gt;1000,Tablas!T163)</f>
        <v>#N/A</v>
      </c>
      <c r="AP81" s="84"/>
      <c r="AQ81" s="84"/>
    </row>
    <row r="82" spans="2:43" s="21" customFormat="1" ht="92.25" customHeight="1" x14ac:dyDescent="0.25">
      <c r="B82" s="117"/>
      <c r="C82" s="118"/>
      <c r="D82" s="119"/>
      <c r="E82" s="119"/>
      <c r="F82" s="119"/>
      <c r="G82" s="119"/>
      <c r="H82" s="120"/>
      <c r="I82" s="121"/>
      <c r="J82" s="119"/>
      <c r="K82" s="84"/>
      <c r="L82" s="84"/>
      <c r="M82" s="84"/>
      <c r="N82" s="84" t="e">
        <f>VLOOKUP(M82,Tablas!$A$31:$B$38,2,FALSE)</f>
        <v>#N/A</v>
      </c>
      <c r="O82" s="84"/>
      <c r="P82" s="84" t="e">
        <f>VLOOKUP(O82,Tablas!$A$41:$B$47,2,FALSE)</f>
        <v>#N/A</v>
      </c>
      <c r="Q82" s="84"/>
      <c r="R82" s="121" t="e">
        <f>VLOOKUP(Q82,Tablas!$A$51:$B$59,2,FALSE)</f>
        <v>#N/A</v>
      </c>
      <c r="S82" s="84"/>
      <c r="T82" s="84" t="e">
        <f>VLOOKUP(S82,Tablas!$A$62:$B$72,2,FALSE)</f>
        <v>#N/A</v>
      </c>
      <c r="U82" s="84" t="e">
        <f t="shared" si="2"/>
        <v>#N/A</v>
      </c>
      <c r="V82" s="84" t="e" cm="1">
        <f t="array" ref="V82">_xlfn.IFS(U82&lt;=1,Tablas!$A$75,U82&lt;=5,Tablas!$A$76,U82&lt;=10,Tablas!$A$77,U82&lt;=50,Tablas!$A$78,U82&lt;=100,Tablas!$A$79,U82&lt;=500,Tablas!$A$80,U82&lt;=999,Tablas!$A$81,U82&gt;1000,Tablas!A164)</f>
        <v>#N/A</v>
      </c>
      <c r="W82" s="84" t="e" cm="1">
        <f t="array" ref="W82">_xlfn.IFS(V82=Tablas!$A$87,Tablas!$B$87,V82=Tablas!$A$88,Tablas!$B$88,V82=Tablas!$A$89,Tablas!$B$89,V82=Tablas!$A$90,Tablas!$B$90,V82=Tablas!$A$91,Tablas!$B$91,V82=Tablas!$A$92,Tablas!$B$92,V82=Tablas!$A$93,Tablas!$B$93,V82=Tablas!$A$94,Tablas!$B$94)</f>
        <v>#N/A</v>
      </c>
      <c r="X82" s="84"/>
      <c r="Y82" s="117"/>
      <c r="Z82" s="84"/>
      <c r="AA82" s="84"/>
      <c r="AB82" s="84"/>
      <c r="AC82" s="84"/>
      <c r="AD82" s="84"/>
      <c r="AE82" s="84"/>
      <c r="AF82" s="84"/>
      <c r="AG82" s="84" t="e">
        <f>VLOOKUP(AF82,Tablas!A113:B120,2,FALSE)</f>
        <v>#N/A</v>
      </c>
      <c r="AH82" s="84"/>
      <c r="AI82" s="84" t="e">
        <f>VLOOKUP(AH82,Tablas!A123:B129,2,FALSE)</f>
        <v>#N/A</v>
      </c>
      <c r="AJ82" s="84"/>
      <c r="AK82" s="121" t="e">
        <f>VLOOKUP(AJ82,Tablas!A133:B141,2,FALSE)</f>
        <v>#N/A</v>
      </c>
      <c r="AL82" s="84"/>
      <c r="AM82" s="84" t="e">
        <f>VLOOKUP(AL82,Tablas!A144:B154,2,FALSE)</f>
        <v>#N/A</v>
      </c>
      <c r="AN82" s="84" t="e">
        <f t="shared" si="3"/>
        <v>#N/A</v>
      </c>
      <c r="AO82" s="84" t="e" cm="1">
        <f t="array" ref="AO82">_xlfn.IFS(AN82&lt;=1,Tablas!$A$75,AN82&lt;=5,Tablas!$A$76,AN82&lt;=10,Tablas!$A$77,AN82&lt;=50,Tablas!$A$78,AN82&lt;=100,Tablas!$A$79,AN82&lt;=500,Tablas!$A$80,AN82&lt;=999,Tablas!$A$81,AN82&gt;1000,Tablas!T164)</f>
        <v>#N/A</v>
      </c>
      <c r="AP82" s="84"/>
      <c r="AQ82" s="84"/>
    </row>
    <row r="83" spans="2:43" s="21" customFormat="1" ht="92.25" customHeight="1" x14ac:dyDescent="0.25">
      <c r="B83" s="117"/>
      <c r="C83" s="118"/>
      <c r="D83" s="119"/>
      <c r="E83" s="119"/>
      <c r="F83" s="119"/>
      <c r="G83" s="119"/>
      <c r="H83" s="120"/>
      <c r="I83" s="121"/>
      <c r="J83" s="119"/>
      <c r="K83" s="84"/>
      <c r="L83" s="84"/>
      <c r="M83" s="84"/>
      <c r="N83" s="84" t="e">
        <f>VLOOKUP(M83,Tablas!$A$31:$B$38,2,FALSE)</f>
        <v>#N/A</v>
      </c>
      <c r="O83" s="84"/>
      <c r="P83" s="84" t="e">
        <f>VLOOKUP(O83,Tablas!$A$41:$B$47,2,FALSE)</f>
        <v>#N/A</v>
      </c>
      <c r="Q83" s="84"/>
      <c r="R83" s="121" t="e">
        <f>VLOOKUP(Q83,Tablas!$A$51:$B$59,2,FALSE)</f>
        <v>#N/A</v>
      </c>
      <c r="S83" s="84"/>
      <c r="T83" s="84" t="e">
        <f>VLOOKUP(S83,Tablas!$A$62:$B$72,2,FALSE)</f>
        <v>#N/A</v>
      </c>
      <c r="U83" s="84" t="e">
        <f t="shared" si="2"/>
        <v>#N/A</v>
      </c>
      <c r="V83" s="84" t="e" cm="1">
        <f t="array" ref="V83">_xlfn.IFS(U83&lt;=1,Tablas!$A$75,U83&lt;=5,Tablas!$A$76,U83&lt;=10,Tablas!$A$77,U83&lt;=50,Tablas!$A$78,U83&lt;=100,Tablas!$A$79,U83&lt;=500,Tablas!$A$80,U83&lt;=999,Tablas!$A$81,U83&gt;1000,Tablas!A165)</f>
        <v>#N/A</v>
      </c>
      <c r="W83" s="84" t="e" cm="1">
        <f t="array" ref="W83">_xlfn.IFS(V83=Tablas!$A$87,Tablas!$B$87,V83=Tablas!$A$88,Tablas!$B$88,V83=Tablas!$A$89,Tablas!$B$89,V83=Tablas!$A$90,Tablas!$B$90,V83=Tablas!$A$91,Tablas!$B$91,V83=Tablas!$A$92,Tablas!$B$92,V83=Tablas!$A$93,Tablas!$B$93,V83=Tablas!$A$94,Tablas!$B$94)</f>
        <v>#N/A</v>
      </c>
      <c r="X83" s="84"/>
      <c r="Y83" s="117"/>
      <c r="Z83" s="84"/>
      <c r="AA83" s="84"/>
      <c r="AB83" s="84"/>
      <c r="AC83" s="84"/>
      <c r="AD83" s="84"/>
      <c r="AE83" s="84"/>
      <c r="AF83" s="84"/>
      <c r="AG83" s="84" t="e">
        <f>VLOOKUP(AF83,Tablas!A114:B121,2,FALSE)</f>
        <v>#N/A</v>
      </c>
      <c r="AH83" s="84"/>
      <c r="AI83" s="84" t="e">
        <f>VLOOKUP(AH83,Tablas!A124:B130,2,FALSE)</f>
        <v>#N/A</v>
      </c>
      <c r="AJ83" s="84"/>
      <c r="AK83" s="121" t="e">
        <f>VLOOKUP(AJ83,Tablas!A134:B142,2,FALSE)</f>
        <v>#N/A</v>
      </c>
      <c r="AL83" s="84"/>
      <c r="AM83" s="84" t="e">
        <f>VLOOKUP(AL83,Tablas!A145:B155,2,FALSE)</f>
        <v>#N/A</v>
      </c>
      <c r="AN83" s="84" t="e">
        <f t="shared" si="3"/>
        <v>#N/A</v>
      </c>
      <c r="AO83" s="84" t="e" cm="1">
        <f t="array" ref="AO83">_xlfn.IFS(AN83&lt;=1,Tablas!$A$75,AN83&lt;=5,Tablas!$A$76,AN83&lt;=10,Tablas!$A$77,AN83&lt;=50,Tablas!$A$78,AN83&lt;=100,Tablas!$A$79,AN83&lt;=500,Tablas!$A$80,AN83&lt;=999,Tablas!$A$81,AN83&gt;1000,Tablas!T165)</f>
        <v>#N/A</v>
      </c>
      <c r="AP83" s="84"/>
      <c r="AQ83" s="84"/>
    </row>
    <row r="84" spans="2:43" s="21" customFormat="1" ht="92.25" customHeight="1" x14ac:dyDescent="0.25">
      <c r="B84" s="117"/>
      <c r="C84" s="118"/>
      <c r="D84" s="119"/>
      <c r="E84" s="119"/>
      <c r="F84" s="119"/>
      <c r="G84" s="119"/>
      <c r="H84" s="120"/>
      <c r="I84" s="121"/>
      <c r="J84" s="119"/>
      <c r="K84" s="84"/>
      <c r="L84" s="84"/>
      <c r="M84" s="84"/>
      <c r="N84" s="84" t="e">
        <f>VLOOKUP(M84,Tablas!$A$31:$B$38,2,FALSE)</f>
        <v>#N/A</v>
      </c>
      <c r="O84" s="84"/>
      <c r="P84" s="84" t="e">
        <f>VLOOKUP(O84,Tablas!$A$41:$B$47,2,FALSE)</f>
        <v>#N/A</v>
      </c>
      <c r="Q84" s="84"/>
      <c r="R84" s="121" t="e">
        <f>VLOOKUP(Q84,Tablas!$A$51:$B$59,2,FALSE)</f>
        <v>#N/A</v>
      </c>
      <c r="S84" s="84"/>
      <c r="T84" s="84" t="e">
        <f>VLOOKUP(S84,Tablas!$A$62:$B$72,2,FALSE)</f>
        <v>#N/A</v>
      </c>
      <c r="U84" s="84" t="e">
        <f t="shared" si="2"/>
        <v>#N/A</v>
      </c>
      <c r="V84" s="84" t="e" cm="1">
        <f t="array" ref="V84">_xlfn.IFS(U84&lt;=1,Tablas!$A$75,U84&lt;=5,Tablas!$A$76,U84&lt;=10,Tablas!$A$77,U84&lt;=50,Tablas!$A$78,U84&lt;=100,Tablas!$A$79,U84&lt;=500,Tablas!$A$80,U84&lt;=999,Tablas!$A$81,U84&gt;1000,Tablas!A166)</f>
        <v>#N/A</v>
      </c>
      <c r="W84" s="84" t="e" cm="1">
        <f t="array" ref="W84">_xlfn.IFS(V84=Tablas!$A$87,Tablas!$B$87,V84=Tablas!$A$88,Tablas!$B$88,V84=Tablas!$A$89,Tablas!$B$89,V84=Tablas!$A$90,Tablas!$B$90,V84=Tablas!$A$91,Tablas!$B$91,V84=Tablas!$A$92,Tablas!$B$92,V84=Tablas!$A$93,Tablas!$B$93,V84=Tablas!$A$94,Tablas!$B$94)</f>
        <v>#N/A</v>
      </c>
      <c r="X84" s="84"/>
      <c r="Y84" s="117"/>
      <c r="Z84" s="84"/>
      <c r="AA84" s="84"/>
      <c r="AB84" s="84"/>
      <c r="AC84" s="84"/>
      <c r="AD84" s="84"/>
      <c r="AE84" s="84"/>
      <c r="AF84" s="84"/>
      <c r="AG84" s="84" t="e">
        <f>VLOOKUP(AF84,Tablas!A115:B122,2,FALSE)</f>
        <v>#N/A</v>
      </c>
      <c r="AH84" s="84"/>
      <c r="AI84" s="84" t="e">
        <f>VLOOKUP(AH84,Tablas!A125:B131,2,FALSE)</f>
        <v>#N/A</v>
      </c>
      <c r="AJ84" s="84"/>
      <c r="AK84" s="121" t="e">
        <f>VLOOKUP(AJ84,Tablas!A135:B143,2,FALSE)</f>
        <v>#N/A</v>
      </c>
      <c r="AL84" s="84"/>
      <c r="AM84" s="84" t="e">
        <f>VLOOKUP(AL84,Tablas!A146:B156,2,FALSE)</f>
        <v>#N/A</v>
      </c>
      <c r="AN84" s="84" t="e">
        <f t="shared" si="3"/>
        <v>#N/A</v>
      </c>
      <c r="AO84" s="84" t="e" cm="1">
        <f t="array" ref="AO84">_xlfn.IFS(AN84&lt;=1,Tablas!$A$75,AN84&lt;=5,Tablas!$A$76,AN84&lt;=10,Tablas!$A$77,AN84&lt;=50,Tablas!$A$78,AN84&lt;=100,Tablas!$A$79,AN84&lt;=500,Tablas!$A$80,AN84&lt;=999,Tablas!$A$81,AN84&gt;1000,Tablas!T166)</f>
        <v>#N/A</v>
      </c>
      <c r="AP84" s="84"/>
      <c r="AQ84" s="84"/>
    </row>
    <row r="85" spans="2:43" s="21" customFormat="1" ht="92.25" customHeight="1" x14ac:dyDescent="0.25">
      <c r="B85" s="117"/>
      <c r="C85" s="118"/>
      <c r="D85" s="119"/>
      <c r="E85" s="119"/>
      <c r="F85" s="119"/>
      <c r="G85" s="119"/>
      <c r="H85" s="120"/>
      <c r="I85" s="121"/>
      <c r="J85" s="119"/>
      <c r="K85" s="84"/>
      <c r="L85" s="84"/>
      <c r="M85" s="84"/>
      <c r="N85" s="84" t="e">
        <f>VLOOKUP(M85,Tablas!$A$31:$B$38,2,FALSE)</f>
        <v>#N/A</v>
      </c>
      <c r="O85" s="84"/>
      <c r="P85" s="84" t="e">
        <f>VLOOKUP(O85,Tablas!$A$41:$B$47,2,FALSE)</f>
        <v>#N/A</v>
      </c>
      <c r="Q85" s="84"/>
      <c r="R85" s="121" t="e">
        <f>VLOOKUP(Q85,Tablas!$A$51:$B$59,2,FALSE)</f>
        <v>#N/A</v>
      </c>
      <c r="S85" s="84"/>
      <c r="T85" s="84" t="e">
        <f>VLOOKUP(S85,Tablas!$A$62:$B$72,2,FALSE)</f>
        <v>#N/A</v>
      </c>
      <c r="U85" s="84" t="e">
        <f t="shared" si="2"/>
        <v>#N/A</v>
      </c>
      <c r="V85" s="84" t="e" cm="1">
        <f t="array" ref="V85">_xlfn.IFS(U85&lt;=1,Tablas!$A$75,U85&lt;=5,Tablas!$A$76,U85&lt;=10,Tablas!$A$77,U85&lt;=50,Tablas!$A$78,U85&lt;=100,Tablas!$A$79,U85&lt;=500,Tablas!$A$80,U85&lt;=999,Tablas!$A$81,U85&gt;1000,Tablas!A167)</f>
        <v>#N/A</v>
      </c>
      <c r="W85" s="84" t="e" cm="1">
        <f t="array" ref="W85">_xlfn.IFS(V85=Tablas!$A$87,Tablas!$B$87,V85=Tablas!$A$88,Tablas!$B$88,V85=Tablas!$A$89,Tablas!$B$89,V85=Tablas!$A$90,Tablas!$B$90,V85=Tablas!$A$91,Tablas!$B$91,V85=Tablas!$A$92,Tablas!$B$92,V85=Tablas!$A$93,Tablas!$B$93,V85=Tablas!$A$94,Tablas!$B$94)</f>
        <v>#N/A</v>
      </c>
      <c r="X85" s="84"/>
      <c r="Y85" s="117"/>
      <c r="Z85" s="84"/>
      <c r="AA85" s="84"/>
      <c r="AB85" s="84"/>
      <c r="AC85" s="84"/>
      <c r="AD85" s="84"/>
      <c r="AE85" s="84"/>
      <c r="AF85" s="84"/>
      <c r="AG85" s="84" t="e">
        <f>VLOOKUP(AF85,Tablas!A116:B123,2,FALSE)</f>
        <v>#N/A</v>
      </c>
      <c r="AH85" s="84"/>
      <c r="AI85" s="84" t="e">
        <f>VLOOKUP(AH85,Tablas!A126:B132,2,FALSE)</f>
        <v>#N/A</v>
      </c>
      <c r="AJ85" s="84"/>
      <c r="AK85" s="121" t="e">
        <f>VLOOKUP(AJ85,Tablas!A136:B144,2,FALSE)</f>
        <v>#N/A</v>
      </c>
      <c r="AL85" s="84"/>
      <c r="AM85" s="84" t="e">
        <f>VLOOKUP(AL85,Tablas!A147:B157,2,FALSE)</f>
        <v>#N/A</v>
      </c>
      <c r="AN85" s="84" t="e">
        <f t="shared" si="3"/>
        <v>#N/A</v>
      </c>
      <c r="AO85" s="84" t="e" cm="1">
        <f t="array" ref="AO85">_xlfn.IFS(AN85&lt;=1,Tablas!$A$75,AN85&lt;=5,Tablas!$A$76,AN85&lt;=10,Tablas!$A$77,AN85&lt;=50,Tablas!$A$78,AN85&lt;=100,Tablas!$A$79,AN85&lt;=500,Tablas!$A$80,AN85&lt;=999,Tablas!$A$81,AN85&gt;1000,Tablas!T167)</f>
        <v>#N/A</v>
      </c>
      <c r="AP85" s="84"/>
      <c r="AQ85" s="84"/>
    </row>
    <row r="86" spans="2:43" s="21" customFormat="1" ht="92.25" customHeight="1" x14ac:dyDescent="0.25">
      <c r="B86" s="117"/>
      <c r="C86" s="118"/>
      <c r="D86" s="119"/>
      <c r="E86" s="119"/>
      <c r="F86" s="119"/>
      <c r="G86" s="119"/>
      <c r="H86" s="120"/>
      <c r="I86" s="121"/>
      <c r="J86" s="119"/>
      <c r="K86" s="84"/>
      <c r="L86" s="84"/>
      <c r="M86" s="84"/>
      <c r="N86" s="84" t="e">
        <f>VLOOKUP(M86,Tablas!$A$31:$B$38,2,FALSE)</f>
        <v>#N/A</v>
      </c>
      <c r="O86" s="84"/>
      <c r="P86" s="84" t="e">
        <f>VLOOKUP(O86,Tablas!$A$41:$B$47,2,FALSE)</f>
        <v>#N/A</v>
      </c>
      <c r="Q86" s="84"/>
      <c r="R86" s="121" t="e">
        <f>VLOOKUP(Q86,Tablas!$A$51:$B$59,2,FALSE)</f>
        <v>#N/A</v>
      </c>
      <c r="S86" s="84"/>
      <c r="T86" s="84" t="e">
        <f>VLOOKUP(S86,Tablas!$A$62:$B$72,2,FALSE)</f>
        <v>#N/A</v>
      </c>
      <c r="U86" s="84" t="e">
        <f t="shared" si="2"/>
        <v>#N/A</v>
      </c>
      <c r="V86" s="84" t="e" cm="1">
        <f t="array" ref="V86">_xlfn.IFS(U86&lt;=1,Tablas!$A$75,U86&lt;=5,Tablas!$A$76,U86&lt;=10,Tablas!$A$77,U86&lt;=50,Tablas!$A$78,U86&lt;=100,Tablas!$A$79,U86&lt;=500,Tablas!$A$80,U86&lt;=999,Tablas!$A$81,U86&gt;1000,Tablas!A168)</f>
        <v>#N/A</v>
      </c>
      <c r="W86" s="84" t="e" cm="1">
        <f t="array" ref="W86">_xlfn.IFS(V86=Tablas!$A$87,Tablas!$B$87,V86=Tablas!$A$88,Tablas!$B$88,V86=Tablas!$A$89,Tablas!$B$89,V86=Tablas!$A$90,Tablas!$B$90,V86=Tablas!$A$91,Tablas!$B$91,V86=Tablas!$A$92,Tablas!$B$92,V86=Tablas!$A$93,Tablas!$B$93,V86=Tablas!$A$94,Tablas!$B$94)</f>
        <v>#N/A</v>
      </c>
      <c r="X86" s="84"/>
      <c r="Y86" s="117"/>
      <c r="Z86" s="84"/>
      <c r="AA86" s="84"/>
      <c r="AB86" s="84"/>
      <c r="AC86" s="84"/>
      <c r="AD86" s="84"/>
      <c r="AE86" s="84"/>
      <c r="AF86" s="84"/>
      <c r="AG86" s="84" t="e">
        <f>VLOOKUP(AF86,Tablas!A117:B124,2,FALSE)</f>
        <v>#N/A</v>
      </c>
      <c r="AH86" s="84"/>
      <c r="AI86" s="84" t="e">
        <f>VLOOKUP(AH86,Tablas!A127:B133,2,FALSE)</f>
        <v>#N/A</v>
      </c>
      <c r="AJ86" s="84"/>
      <c r="AK86" s="121" t="e">
        <f>VLOOKUP(AJ86,Tablas!A137:B145,2,FALSE)</f>
        <v>#N/A</v>
      </c>
      <c r="AL86" s="84"/>
      <c r="AM86" s="84" t="e">
        <f>VLOOKUP(AL86,Tablas!A148:B158,2,FALSE)</f>
        <v>#N/A</v>
      </c>
      <c r="AN86" s="84" t="e">
        <f t="shared" si="3"/>
        <v>#N/A</v>
      </c>
      <c r="AO86" s="84" t="e" cm="1">
        <f t="array" ref="AO86">_xlfn.IFS(AN86&lt;=1,Tablas!$A$75,AN86&lt;=5,Tablas!$A$76,AN86&lt;=10,Tablas!$A$77,AN86&lt;=50,Tablas!$A$78,AN86&lt;=100,Tablas!$A$79,AN86&lt;=500,Tablas!$A$80,AN86&lt;=999,Tablas!$A$81,AN86&gt;1000,Tablas!T168)</f>
        <v>#N/A</v>
      </c>
      <c r="AP86" s="84"/>
      <c r="AQ86" s="84"/>
    </row>
    <row r="87" spans="2:43" s="21" customFormat="1" ht="92.25" customHeight="1" x14ac:dyDescent="0.25">
      <c r="B87" s="117"/>
      <c r="C87" s="118"/>
      <c r="D87" s="119"/>
      <c r="E87" s="119"/>
      <c r="F87" s="119"/>
      <c r="G87" s="119"/>
      <c r="H87" s="120"/>
      <c r="I87" s="121"/>
      <c r="J87" s="119"/>
      <c r="K87" s="84"/>
      <c r="L87" s="84"/>
      <c r="M87" s="84"/>
      <c r="N87" s="84" t="e">
        <f>VLOOKUP(M87,Tablas!$A$31:$B$38,2,FALSE)</f>
        <v>#N/A</v>
      </c>
      <c r="O87" s="84"/>
      <c r="P87" s="84" t="e">
        <f>VLOOKUP(O87,Tablas!$A$41:$B$47,2,FALSE)</f>
        <v>#N/A</v>
      </c>
      <c r="Q87" s="84"/>
      <c r="R87" s="121" t="e">
        <f>VLOOKUP(Q87,Tablas!$A$51:$B$59,2,FALSE)</f>
        <v>#N/A</v>
      </c>
      <c r="S87" s="84"/>
      <c r="T87" s="84" t="e">
        <f>VLOOKUP(S87,Tablas!$A$62:$B$72,2,FALSE)</f>
        <v>#N/A</v>
      </c>
      <c r="U87" s="84" t="e">
        <f t="shared" si="2"/>
        <v>#N/A</v>
      </c>
      <c r="V87" s="84" t="e" cm="1">
        <f t="array" ref="V87">_xlfn.IFS(U87&lt;=1,Tablas!$A$75,U87&lt;=5,Tablas!$A$76,U87&lt;=10,Tablas!$A$77,U87&lt;=50,Tablas!$A$78,U87&lt;=100,Tablas!$A$79,U87&lt;=500,Tablas!$A$80,U87&lt;=999,Tablas!$A$81,U87&gt;1000,Tablas!A169)</f>
        <v>#N/A</v>
      </c>
      <c r="W87" s="84" t="e" cm="1">
        <f t="array" ref="W87">_xlfn.IFS(V87=Tablas!$A$87,Tablas!$B$87,V87=Tablas!$A$88,Tablas!$B$88,V87=Tablas!$A$89,Tablas!$B$89,V87=Tablas!$A$90,Tablas!$B$90,V87=Tablas!$A$91,Tablas!$B$91,V87=Tablas!$A$92,Tablas!$B$92,V87=Tablas!$A$93,Tablas!$B$93,V87=Tablas!$A$94,Tablas!$B$94)</f>
        <v>#N/A</v>
      </c>
      <c r="X87" s="84"/>
      <c r="Y87" s="117"/>
      <c r="Z87" s="84"/>
      <c r="AA87" s="84"/>
      <c r="AB87" s="84"/>
      <c r="AC87" s="84"/>
      <c r="AD87" s="84"/>
      <c r="AE87" s="84"/>
      <c r="AF87" s="84"/>
      <c r="AG87" s="84" t="e">
        <f>VLOOKUP(AF87,Tablas!A118:B125,2,FALSE)</f>
        <v>#N/A</v>
      </c>
      <c r="AH87" s="84"/>
      <c r="AI87" s="84" t="e">
        <f>VLOOKUP(AH87,Tablas!A128:B134,2,FALSE)</f>
        <v>#N/A</v>
      </c>
      <c r="AJ87" s="84"/>
      <c r="AK87" s="121" t="e">
        <f>VLOOKUP(AJ87,Tablas!A138:B146,2,FALSE)</f>
        <v>#N/A</v>
      </c>
      <c r="AL87" s="84"/>
      <c r="AM87" s="84" t="e">
        <f>VLOOKUP(AL87,Tablas!A149:B159,2,FALSE)</f>
        <v>#N/A</v>
      </c>
      <c r="AN87" s="84" t="e">
        <f t="shared" si="3"/>
        <v>#N/A</v>
      </c>
      <c r="AO87" s="84" t="e" cm="1">
        <f t="array" ref="AO87">_xlfn.IFS(AN87&lt;=1,Tablas!$A$75,AN87&lt;=5,Tablas!$A$76,AN87&lt;=10,Tablas!$A$77,AN87&lt;=50,Tablas!$A$78,AN87&lt;=100,Tablas!$A$79,AN87&lt;=500,Tablas!$A$80,AN87&lt;=999,Tablas!$A$81,AN87&gt;1000,Tablas!T169)</f>
        <v>#N/A</v>
      </c>
      <c r="AP87" s="84"/>
      <c r="AQ87" s="84"/>
    </row>
    <row r="88" spans="2:43" s="21" customFormat="1" ht="92.25" customHeight="1" x14ac:dyDescent="0.25">
      <c r="B88" s="117"/>
      <c r="C88" s="118"/>
      <c r="D88" s="119"/>
      <c r="E88" s="119"/>
      <c r="F88" s="119"/>
      <c r="G88" s="119"/>
      <c r="H88" s="120"/>
      <c r="I88" s="121"/>
      <c r="J88" s="119"/>
      <c r="K88" s="84"/>
      <c r="L88" s="84"/>
      <c r="M88" s="84"/>
      <c r="N88" s="84" t="e">
        <f>VLOOKUP(M88,Tablas!$A$31:$B$38,2,FALSE)</f>
        <v>#N/A</v>
      </c>
      <c r="O88" s="84"/>
      <c r="P88" s="84" t="e">
        <f>VLOOKUP(O88,Tablas!$A$41:$B$47,2,FALSE)</f>
        <v>#N/A</v>
      </c>
      <c r="Q88" s="84"/>
      <c r="R88" s="121" t="e">
        <f>VLOOKUP(Q88,Tablas!$A$51:$B$59,2,FALSE)</f>
        <v>#N/A</v>
      </c>
      <c r="S88" s="84"/>
      <c r="T88" s="84" t="e">
        <f>VLOOKUP(S88,Tablas!$A$62:$B$72,2,FALSE)</f>
        <v>#N/A</v>
      </c>
      <c r="U88" s="84" t="e">
        <f t="shared" si="2"/>
        <v>#N/A</v>
      </c>
      <c r="V88" s="84" t="e" cm="1">
        <f t="array" ref="V88">_xlfn.IFS(U88&lt;=1,Tablas!$A$75,U88&lt;=5,Tablas!$A$76,U88&lt;=10,Tablas!$A$77,U88&lt;=50,Tablas!$A$78,U88&lt;=100,Tablas!$A$79,U88&lt;=500,Tablas!$A$80,U88&lt;=999,Tablas!$A$81,U88&gt;1000,Tablas!A170)</f>
        <v>#N/A</v>
      </c>
      <c r="W88" s="84" t="e" cm="1">
        <f t="array" ref="W88">_xlfn.IFS(V88=Tablas!$A$87,Tablas!$B$87,V88=Tablas!$A$88,Tablas!$B$88,V88=Tablas!$A$89,Tablas!$B$89,V88=Tablas!$A$90,Tablas!$B$90,V88=Tablas!$A$91,Tablas!$B$91,V88=Tablas!$A$92,Tablas!$B$92,V88=Tablas!$A$93,Tablas!$B$93,V88=Tablas!$A$94,Tablas!$B$94)</f>
        <v>#N/A</v>
      </c>
      <c r="X88" s="84"/>
      <c r="Y88" s="117"/>
      <c r="Z88" s="84"/>
      <c r="AA88" s="84"/>
      <c r="AB88" s="84"/>
      <c r="AC88" s="84"/>
      <c r="AD88" s="84"/>
      <c r="AE88" s="84"/>
      <c r="AF88" s="84"/>
      <c r="AG88" s="84" t="e">
        <f>VLOOKUP(AF88,Tablas!A119:B126,2,FALSE)</f>
        <v>#N/A</v>
      </c>
      <c r="AH88" s="84"/>
      <c r="AI88" s="84" t="e">
        <f>VLOOKUP(AH88,Tablas!A129:B135,2,FALSE)</f>
        <v>#N/A</v>
      </c>
      <c r="AJ88" s="84"/>
      <c r="AK88" s="121" t="e">
        <f>VLOOKUP(AJ88,Tablas!A139:B147,2,FALSE)</f>
        <v>#N/A</v>
      </c>
      <c r="AL88" s="84"/>
      <c r="AM88" s="84" t="e">
        <f>VLOOKUP(AL88,Tablas!A150:B160,2,FALSE)</f>
        <v>#N/A</v>
      </c>
      <c r="AN88" s="84" t="e">
        <f t="shared" si="3"/>
        <v>#N/A</v>
      </c>
      <c r="AO88" s="84" t="e" cm="1">
        <f t="array" ref="AO88">_xlfn.IFS(AN88&lt;=1,Tablas!$A$75,AN88&lt;=5,Tablas!$A$76,AN88&lt;=10,Tablas!$A$77,AN88&lt;=50,Tablas!$A$78,AN88&lt;=100,Tablas!$A$79,AN88&lt;=500,Tablas!$A$80,AN88&lt;=999,Tablas!$A$81,AN88&gt;1000,Tablas!T170)</f>
        <v>#N/A</v>
      </c>
      <c r="AP88" s="84"/>
      <c r="AQ88" s="84"/>
    </row>
    <row r="89" spans="2:43" s="21" customFormat="1" ht="92.25" customHeight="1" x14ac:dyDescent="0.25">
      <c r="B89" s="117"/>
      <c r="C89" s="118"/>
      <c r="D89" s="119"/>
      <c r="E89" s="119"/>
      <c r="F89" s="119"/>
      <c r="G89" s="119"/>
      <c r="H89" s="120"/>
      <c r="I89" s="121"/>
      <c r="J89" s="119"/>
      <c r="K89" s="84"/>
      <c r="L89" s="84"/>
      <c r="M89" s="84"/>
      <c r="N89" s="84" t="e">
        <f>VLOOKUP(M89,Tablas!$A$31:$B$38,2,FALSE)</f>
        <v>#N/A</v>
      </c>
      <c r="O89" s="84"/>
      <c r="P89" s="84" t="e">
        <f>VLOOKUP(O89,Tablas!$A$41:$B$47,2,FALSE)</f>
        <v>#N/A</v>
      </c>
      <c r="Q89" s="84"/>
      <c r="R89" s="121" t="e">
        <f>VLOOKUP(Q89,Tablas!$A$51:$B$59,2,FALSE)</f>
        <v>#N/A</v>
      </c>
      <c r="S89" s="84"/>
      <c r="T89" s="84" t="e">
        <f>VLOOKUP(S89,Tablas!$A$62:$B$72,2,FALSE)</f>
        <v>#N/A</v>
      </c>
      <c r="U89" s="84" t="e">
        <f t="shared" si="2"/>
        <v>#N/A</v>
      </c>
      <c r="V89" s="84" t="e" cm="1">
        <f t="array" ref="V89">_xlfn.IFS(U89&lt;=1,Tablas!$A$75,U89&lt;=5,Tablas!$A$76,U89&lt;=10,Tablas!$A$77,U89&lt;=50,Tablas!$A$78,U89&lt;=100,Tablas!$A$79,U89&lt;=500,Tablas!$A$80,U89&lt;=999,Tablas!$A$81,U89&gt;1000,Tablas!A171)</f>
        <v>#N/A</v>
      </c>
      <c r="W89" s="84" t="e" cm="1">
        <f t="array" ref="W89">_xlfn.IFS(V89=Tablas!$A$87,Tablas!$B$87,V89=Tablas!$A$88,Tablas!$B$88,V89=Tablas!$A$89,Tablas!$B$89,V89=Tablas!$A$90,Tablas!$B$90,V89=Tablas!$A$91,Tablas!$B$91,V89=Tablas!$A$92,Tablas!$B$92,V89=Tablas!$A$93,Tablas!$B$93,V89=Tablas!$A$94,Tablas!$B$94)</f>
        <v>#N/A</v>
      </c>
      <c r="X89" s="84"/>
      <c r="Y89" s="117"/>
      <c r="Z89" s="84"/>
      <c r="AA89" s="84"/>
      <c r="AB89" s="84"/>
      <c r="AC89" s="84"/>
      <c r="AD89" s="84"/>
      <c r="AE89" s="84"/>
      <c r="AF89" s="84"/>
      <c r="AG89" s="84" t="e">
        <f>VLOOKUP(AF89,Tablas!A120:B127,2,FALSE)</f>
        <v>#N/A</v>
      </c>
      <c r="AH89" s="84"/>
      <c r="AI89" s="84" t="e">
        <f>VLOOKUP(AH89,Tablas!A130:B136,2,FALSE)</f>
        <v>#N/A</v>
      </c>
      <c r="AJ89" s="84"/>
      <c r="AK89" s="121" t="e">
        <f>VLOOKUP(AJ89,Tablas!A140:B148,2,FALSE)</f>
        <v>#N/A</v>
      </c>
      <c r="AL89" s="84"/>
      <c r="AM89" s="84" t="e">
        <f>VLOOKUP(AL89,Tablas!A151:B161,2,FALSE)</f>
        <v>#N/A</v>
      </c>
      <c r="AN89" s="84" t="e">
        <f t="shared" si="3"/>
        <v>#N/A</v>
      </c>
      <c r="AO89" s="84" t="e" cm="1">
        <f t="array" ref="AO89">_xlfn.IFS(AN89&lt;=1,Tablas!$A$75,AN89&lt;=5,Tablas!$A$76,AN89&lt;=10,Tablas!$A$77,AN89&lt;=50,Tablas!$A$78,AN89&lt;=100,Tablas!$A$79,AN89&lt;=500,Tablas!$A$80,AN89&lt;=999,Tablas!$A$81,AN89&gt;1000,Tablas!T171)</f>
        <v>#N/A</v>
      </c>
      <c r="AP89" s="84"/>
      <c r="AQ89" s="84"/>
    </row>
    <row r="90" spans="2:43" s="21" customFormat="1" ht="92.25" customHeight="1" x14ac:dyDescent="0.25">
      <c r="B90" s="117"/>
      <c r="C90" s="118"/>
      <c r="D90" s="119"/>
      <c r="E90" s="119"/>
      <c r="F90" s="119"/>
      <c r="G90" s="119"/>
      <c r="H90" s="120"/>
      <c r="I90" s="121"/>
      <c r="J90" s="119"/>
      <c r="K90" s="84"/>
      <c r="L90" s="84"/>
      <c r="M90" s="84"/>
      <c r="N90" s="84" t="e">
        <f>VLOOKUP(M90,Tablas!$A$31:$B$38,2,FALSE)</f>
        <v>#N/A</v>
      </c>
      <c r="O90" s="84"/>
      <c r="P90" s="84" t="e">
        <f>VLOOKUP(O90,Tablas!$A$41:$B$47,2,FALSE)</f>
        <v>#N/A</v>
      </c>
      <c r="Q90" s="84"/>
      <c r="R90" s="121" t="e">
        <f>VLOOKUP(Q90,Tablas!$A$51:$B$59,2,FALSE)</f>
        <v>#N/A</v>
      </c>
      <c r="S90" s="84"/>
      <c r="T90" s="84" t="e">
        <f>VLOOKUP(S90,Tablas!$A$62:$B$72,2,FALSE)</f>
        <v>#N/A</v>
      </c>
      <c r="U90" s="84" t="e">
        <f t="shared" si="2"/>
        <v>#N/A</v>
      </c>
      <c r="V90" s="84" t="e" cm="1">
        <f t="array" ref="V90">_xlfn.IFS(U90&lt;=1,Tablas!$A$75,U90&lt;=5,Tablas!$A$76,U90&lt;=10,Tablas!$A$77,U90&lt;=50,Tablas!$A$78,U90&lt;=100,Tablas!$A$79,U90&lt;=500,Tablas!$A$80,U90&lt;=999,Tablas!$A$81,U90&gt;1000,Tablas!A172)</f>
        <v>#N/A</v>
      </c>
      <c r="W90" s="84" t="e" cm="1">
        <f t="array" ref="W90">_xlfn.IFS(V90=Tablas!$A$87,Tablas!$B$87,V90=Tablas!$A$88,Tablas!$B$88,V90=Tablas!$A$89,Tablas!$B$89,V90=Tablas!$A$90,Tablas!$B$90,V90=Tablas!$A$91,Tablas!$B$91,V90=Tablas!$A$92,Tablas!$B$92,V90=Tablas!$A$93,Tablas!$B$93,V90=Tablas!$A$94,Tablas!$B$94)</f>
        <v>#N/A</v>
      </c>
      <c r="X90" s="84"/>
      <c r="Y90" s="117"/>
      <c r="Z90" s="84"/>
      <c r="AA90" s="84"/>
      <c r="AB90" s="84"/>
      <c r="AC90" s="84"/>
      <c r="AD90" s="84"/>
      <c r="AE90" s="84"/>
      <c r="AF90" s="84"/>
      <c r="AG90" s="84" t="e">
        <f>VLOOKUP(AF90,Tablas!A121:B128,2,FALSE)</f>
        <v>#N/A</v>
      </c>
      <c r="AH90" s="84"/>
      <c r="AI90" s="84" t="e">
        <f>VLOOKUP(AH90,Tablas!A131:B137,2,FALSE)</f>
        <v>#N/A</v>
      </c>
      <c r="AJ90" s="84"/>
      <c r="AK90" s="121" t="e">
        <f>VLOOKUP(AJ90,Tablas!A141:B149,2,FALSE)</f>
        <v>#N/A</v>
      </c>
      <c r="AL90" s="84"/>
      <c r="AM90" s="84" t="e">
        <f>VLOOKUP(AL90,Tablas!A152:B162,2,FALSE)</f>
        <v>#N/A</v>
      </c>
      <c r="AN90" s="84" t="e">
        <f t="shared" si="3"/>
        <v>#N/A</v>
      </c>
      <c r="AO90" s="84" t="e" cm="1">
        <f t="array" ref="AO90">_xlfn.IFS(AN90&lt;=1,Tablas!$A$75,AN90&lt;=5,Tablas!$A$76,AN90&lt;=10,Tablas!$A$77,AN90&lt;=50,Tablas!$A$78,AN90&lt;=100,Tablas!$A$79,AN90&lt;=500,Tablas!$A$80,AN90&lt;=999,Tablas!$A$81,AN90&gt;1000,Tablas!T172)</f>
        <v>#N/A</v>
      </c>
      <c r="AP90" s="84"/>
      <c r="AQ90" s="84"/>
    </row>
    <row r="91" spans="2:43" s="21" customFormat="1" ht="92.25" customHeight="1" x14ac:dyDescent="0.25">
      <c r="B91" s="117"/>
      <c r="C91" s="118"/>
      <c r="D91" s="119"/>
      <c r="E91" s="119"/>
      <c r="F91" s="119"/>
      <c r="G91" s="119"/>
      <c r="H91" s="120"/>
      <c r="I91" s="121"/>
      <c r="J91" s="119"/>
      <c r="K91" s="84"/>
      <c r="L91" s="84"/>
      <c r="M91" s="84"/>
      <c r="N91" s="84" t="e">
        <f>VLOOKUP(M91,Tablas!$A$31:$B$38,2,FALSE)</f>
        <v>#N/A</v>
      </c>
      <c r="O91" s="84"/>
      <c r="P91" s="84" t="e">
        <f>VLOOKUP(O91,Tablas!$A$41:$B$47,2,FALSE)</f>
        <v>#N/A</v>
      </c>
      <c r="Q91" s="84"/>
      <c r="R91" s="121" t="e">
        <f>VLOOKUP(Q91,Tablas!$A$51:$B$59,2,FALSE)</f>
        <v>#N/A</v>
      </c>
      <c r="S91" s="84"/>
      <c r="T91" s="84" t="e">
        <f>VLOOKUP(S91,Tablas!$A$62:$B$72,2,FALSE)</f>
        <v>#N/A</v>
      </c>
      <c r="U91" s="84" t="e">
        <f t="shared" si="2"/>
        <v>#N/A</v>
      </c>
      <c r="V91" s="84" t="e" cm="1">
        <f t="array" ref="V91">_xlfn.IFS(U91&lt;=1,Tablas!$A$75,U91&lt;=5,Tablas!$A$76,U91&lt;=10,Tablas!$A$77,U91&lt;=50,Tablas!$A$78,U91&lt;=100,Tablas!$A$79,U91&lt;=500,Tablas!$A$80,U91&lt;=999,Tablas!$A$81,U91&gt;1000,Tablas!A173)</f>
        <v>#N/A</v>
      </c>
      <c r="W91" s="84" t="e" cm="1">
        <f t="array" ref="W91">_xlfn.IFS(V91=Tablas!$A$87,Tablas!$B$87,V91=Tablas!$A$88,Tablas!$B$88,V91=Tablas!$A$89,Tablas!$B$89,V91=Tablas!$A$90,Tablas!$B$90,V91=Tablas!$A$91,Tablas!$B$91,V91=Tablas!$A$92,Tablas!$B$92,V91=Tablas!$A$93,Tablas!$B$93,V91=Tablas!$A$94,Tablas!$B$94)</f>
        <v>#N/A</v>
      </c>
      <c r="X91" s="84"/>
      <c r="Y91" s="117"/>
      <c r="Z91" s="84"/>
      <c r="AA91" s="84"/>
      <c r="AB91" s="84"/>
      <c r="AC91" s="84"/>
      <c r="AD91" s="84"/>
      <c r="AE91" s="84"/>
      <c r="AF91" s="84"/>
      <c r="AG91" s="84" t="e">
        <f>VLOOKUP(AF91,Tablas!A122:B129,2,FALSE)</f>
        <v>#N/A</v>
      </c>
      <c r="AH91" s="84"/>
      <c r="AI91" s="84" t="e">
        <f>VLOOKUP(AH91,Tablas!A132:B138,2,FALSE)</f>
        <v>#N/A</v>
      </c>
      <c r="AJ91" s="84"/>
      <c r="AK91" s="121" t="e">
        <f>VLOOKUP(AJ91,Tablas!A142:B150,2,FALSE)</f>
        <v>#N/A</v>
      </c>
      <c r="AL91" s="84"/>
      <c r="AM91" s="84" t="e">
        <f>VLOOKUP(AL91,Tablas!A153:B163,2,FALSE)</f>
        <v>#N/A</v>
      </c>
      <c r="AN91" s="84" t="e">
        <f t="shared" si="3"/>
        <v>#N/A</v>
      </c>
      <c r="AO91" s="84" t="e" cm="1">
        <f t="array" ref="AO91">_xlfn.IFS(AN91&lt;=1,Tablas!$A$75,AN91&lt;=5,Tablas!$A$76,AN91&lt;=10,Tablas!$A$77,AN91&lt;=50,Tablas!$A$78,AN91&lt;=100,Tablas!$A$79,AN91&lt;=500,Tablas!$A$80,AN91&lt;=999,Tablas!$A$81,AN91&gt;1000,Tablas!T173)</f>
        <v>#N/A</v>
      </c>
      <c r="AP91" s="84"/>
      <c r="AQ91" s="84"/>
    </row>
    <row r="92" spans="2:43" s="21" customFormat="1" ht="92.25" customHeight="1" x14ac:dyDescent="0.25">
      <c r="B92" s="117"/>
      <c r="C92" s="118"/>
      <c r="D92" s="119"/>
      <c r="E92" s="119"/>
      <c r="F92" s="119"/>
      <c r="G92" s="119"/>
      <c r="H92" s="120"/>
      <c r="I92" s="121"/>
      <c r="J92" s="119"/>
      <c r="K92" s="84"/>
      <c r="L92" s="84"/>
      <c r="M92" s="84"/>
      <c r="N92" s="84" t="e">
        <f>VLOOKUP(M92,Tablas!$A$31:$B$38,2,FALSE)</f>
        <v>#N/A</v>
      </c>
      <c r="O92" s="84"/>
      <c r="P92" s="84" t="e">
        <f>VLOOKUP(O92,Tablas!$A$41:$B$47,2,FALSE)</f>
        <v>#N/A</v>
      </c>
      <c r="Q92" s="84"/>
      <c r="R92" s="121" t="e">
        <f>VLOOKUP(Q92,Tablas!$A$51:$B$59,2,FALSE)</f>
        <v>#N/A</v>
      </c>
      <c r="S92" s="84"/>
      <c r="T92" s="84" t="e">
        <f>VLOOKUP(S92,Tablas!$A$62:$B$72,2,FALSE)</f>
        <v>#N/A</v>
      </c>
      <c r="U92" s="84" t="e">
        <f t="shared" si="2"/>
        <v>#N/A</v>
      </c>
      <c r="V92" s="84" t="e" cm="1">
        <f t="array" ref="V92">_xlfn.IFS(U92&lt;=1,Tablas!$A$75,U92&lt;=5,Tablas!$A$76,U92&lt;=10,Tablas!$A$77,U92&lt;=50,Tablas!$A$78,U92&lt;=100,Tablas!$A$79,U92&lt;=500,Tablas!$A$80,U92&lt;=999,Tablas!$A$81,U92&gt;1000,Tablas!A174)</f>
        <v>#N/A</v>
      </c>
      <c r="W92" s="84" t="e" cm="1">
        <f t="array" ref="W92">_xlfn.IFS(V92=Tablas!$A$87,Tablas!$B$87,V92=Tablas!$A$88,Tablas!$B$88,V92=Tablas!$A$89,Tablas!$B$89,V92=Tablas!$A$90,Tablas!$B$90,V92=Tablas!$A$91,Tablas!$B$91,V92=Tablas!$A$92,Tablas!$B$92,V92=Tablas!$A$93,Tablas!$B$93,V92=Tablas!$A$94,Tablas!$B$94)</f>
        <v>#N/A</v>
      </c>
      <c r="X92" s="84"/>
      <c r="Y92" s="117"/>
      <c r="Z92" s="84"/>
      <c r="AA92" s="84"/>
      <c r="AB92" s="84"/>
      <c r="AC92" s="84"/>
      <c r="AD92" s="84"/>
      <c r="AE92" s="84"/>
      <c r="AF92" s="84"/>
      <c r="AG92" s="84" t="e">
        <f>VLOOKUP(AF92,Tablas!A123:B130,2,FALSE)</f>
        <v>#N/A</v>
      </c>
      <c r="AH92" s="84"/>
      <c r="AI92" s="84" t="e">
        <f>VLOOKUP(AH92,Tablas!A133:B139,2,FALSE)</f>
        <v>#N/A</v>
      </c>
      <c r="AJ92" s="84"/>
      <c r="AK92" s="121" t="e">
        <f>VLOOKUP(AJ92,Tablas!A143:B151,2,FALSE)</f>
        <v>#N/A</v>
      </c>
      <c r="AL92" s="84"/>
      <c r="AM92" s="84" t="e">
        <f>VLOOKUP(AL92,Tablas!A154:B164,2,FALSE)</f>
        <v>#N/A</v>
      </c>
      <c r="AN92" s="84" t="e">
        <f t="shared" si="3"/>
        <v>#N/A</v>
      </c>
      <c r="AO92" s="84" t="e" cm="1">
        <f t="array" ref="AO92">_xlfn.IFS(AN92&lt;=1,Tablas!$A$75,AN92&lt;=5,Tablas!$A$76,AN92&lt;=10,Tablas!$A$77,AN92&lt;=50,Tablas!$A$78,AN92&lt;=100,Tablas!$A$79,AN92&lt;=500,Tablas!$A$80,AN92&lt;=999,Tablas!$A$81,AN92&gt;1000,Tablas!T174)</f>
        <v>#N/A</v>
      </c>
      <c r="AP92" s="84"/>
      <c r="AQ92" s="84"/>
    </row>
    <row r="93" spans="2:43" s="21" customFormat="1" ht="92.25" customHeight="1" x14ac:dyDescent="0.25">
      <c r="B93" s="117"/>
      <c r="C93" s="118"/>
      <c r="D93" s="119"/>
      <c r="E93" s="119"/>
      <c r="F93" s="119"/>
      <c r="G93" s="119"/>
      <c r="H93" s="120"/>
      <c r="I93" s="121"/>
      <c r="J93" s="119"/>
      <c r="K93" s="84"/>
      <c r="L93" s="84"/>
      <c r="M93" s="84"/>
      <c r="N93" s="84" t="e">
        <f>VLOOKUP(M93,Tablas!$A$31:$B$38,2,FALSE)</f>
        <v>#N/A</v>
      </c>
      <c r="O93" s="84"/>
      <c r="P93" s="84" t="e">
        <f>VLOOKUP(O93,Tablas!$A$41:$B$47,2,FALSE)</f>
        <v>#N/A</v>
      </c>
      <c r="Q93" s="84"/>
      <c r="R93" s="121" t="e">
        <f>VLOOKUP(Q93,Tablas!$A$51:$B$59,2,FALSE)</f>
        <v>#N/A</v>
      </c>
      <c r="S93" s="84"/>
      <c r="T93" s="84" t="e">
        <f>VLOOKUP(S93,Tablas!$A$62:$B$72,2,FALSE)</f>
        <v>#N/A</v>
      </c>
      <c r="U93" s="84" t="e">
        <f t="shared" si="2"/>
        <v>#N/A</v>
      </c>
      <c r="V93" s="84" t="e" cm="1">
        <f t="array" ref="V93">_xlfn.IFS(U93&lt;=1,Tablas!$A$75,U93&lt;=5,Tablas!$A$76,U93&lt;=10,Tablas!$A$77,U93&lt;=50,Tablas!$A$78,U93&lt;=100,Tablas!$A$79,U93&lt;=500,Tablas!$A$80,U93&lt;=999,Tablas!$A$81,U93&gt;1000,Tablas!A175)</f>
        <v>#N/A</v>
      </c>
      <c r="W93" s="84" t="e" cm="1">
        <f t="array" ref="W93">_xlfn.IFS(V93=Tablas!$A$87,Tablas!$B$87,V93=Tablas!$A$88,Tablas!$B$88,V93=Tablas!$A$89,Tablas!$B$89,V93=Tablas!$A$90,Tablas!$B$90,V93=Tablas!$A$91,Tablas!$B$91,V93=Tablas!$A$92,Tablas!$B$92,V93=Tablas!$A$93,Tablas!$B$93,V93=Tablas!$A$94,Tablas!$B$94)</f>
        <v>#N/A</v>
      </c>
      <c r="X93" s="84"/>
      <c r="Y93" s="117"/>
      <c r="Z93" s="84"/>
      <c r="AA93" s="84"/>
      <c r="AB93" s="84"/>
      <c r="AC93" s="84"/>
      <c r="AD93" s="84"/>
      <c r="AE93" s="84"/>
      <c r="AF93" s="84"/>
      <c r="AG93" s="84" t="e">
        <f>VLOOKUP(AF93,Tablas!A124:B131,2,FALSE)</f>
        <v>#N/A</v>
      </c>
      <c r="AH93" s="84"/>
      <c r="AI93" s="84" t="e">
        <f>VLOOKUP(AH93,Tablas!A134:B140,2,FALSE)</f>
        <v>#N/A</v>
      </c>
      <c r="AJ93" s="84"/>
      <c r="AK93" s="121" t="e">
        <f>VLOOKUP(AJ93,Tablas!A144:B152,2,FALSE)</f>
        <v>#N/A</v>
      </c>
      <c r="AL93" s="84"/>
      <c r="AM93" s="84" t="e">
        <f>VLOOKUP(AL93,Tablas!A155:B165,2,FALSE)</f>
        <v>#N/A</v>
      </c>
      <c r="AN93" s="84" t="e">
        <f t="shared" si="3"/>
        <v>#N/A</v>
      </c>
      <c r="AO93" s="84" t="e" cm="1">
        <f t="array" ref="AO93">_xlfn.IFS(AN93&lt;=1,Tablas!$A$75,AN93&lt;=5,Tablas!$A$76,AN93&lt;=10,Tablas!$A$77,AN93&lt;=50,Tablas!$A$78,AN93&lt;=100,Tablas!$A$79,AN93&lt;=500,Tablas!$A$80,AN93&lt;=999,Tablas!$A$81,AN93&gt;1000,Tablas!T175)</f>
        <v>#N/A</v>
      </c>
      <c r="AP93" s="84"/>
      <c r="AQ93" s="84"/>
    </row>
    <row r="94" spans="2:43" s="21" customFormat="1" ht="92.25" customHeight="1" x14ac:dyDescent="0.25">
      <c r="B94" s="117"/>
      <c r="C94" s="118"/>
      <c r="D94" s="119"/>
      <c r="E94" s="119"/>
      <c r="F94" s="119"/>
      <c r="G94" s="119"/>
      <c r="H94" s="120"/>
      <c r="I94" s="121"/>
      <c r="J94" s="119"/>
      <c r="K94" s="84"/>
      <c r="L94" s="84"/>
      <c r="M94" s="84"/>
      <c r="N94" s="84" t="e">
        <f>VLOOKUP(M94,Tablas!$A$31:$B$38,2,FALSE)</f>
        <v>#N/A</v>
      </c>
      <c r="O94" s="84"/>
      <c r="P94" s="84" t="e">
        <f>VLOOKUP(O94,Tablas!$A$41:$B$47,2,FALSE)</f>
        <v>#N/A</v>
      </c>
      <c r="Q94" s="84"/>
      <c r="R94" s="121" t="e">
        <f>VLOOKUP(Q94,Tablas!$A$51:$B$59,2,FALSE)</f>
        <v>#N/A</v>
      </c>
      <c r="S94" s="84"/>
      <c r="T94" s="84" t="e">
        <f>VLOOKUP(S94,Tablas!$A$62:$B$72,2,FALSE)</f>
        <v>#N/A</v>
      </c>
      <c r="U94" s="84" t="e">
        <f t="shared" si="2"/>
        <v>#N/A</v>
      </c>
      <c r="V94" s="84" t="e" cm="1">
        <f t="array" ref="V94">_xlfn.IFS(U94&lt;=1,Tablas!$A$75,U94&lt;=5,Tablas!$A$76,U94&lt;=10,Tablas!$A$77,U94&lt;=50,Tablas!$A$78,U94&lt;=100,Tablas!$A$79,U94&lt;=500,Tablas!$A$80,U94&lt;=999,Tablas!$A$81,U94&gt;1000,Tablas!A176)</f>
        <v>#N/A</v>
      </c>
      <c r="W94" s="84" t="e" cm="1">
        <f t="array" ref="W94">_xlfn.IFS(V94=Tablas!$A$87,Tablas!$B$87,V94=Tablas!$A$88,Tablas!$B$88,V94=Tablas!$A$89,Tablas!$B$89,V94=Tablas!$A$90,Tablas!$B$90,V94=Tablas!$A$91,Tablas!$B$91,V94=Tablas!$A$92,Tablas!$B$92,V94=Tablas!$A$93,Tablas!$B$93,V94=Tablas!$A$94,Tablas!$B$94)</f>
        <v>#N/A</v>
      </c>
      <c r="X94" s="84"/>
      <c r="Y94" s="117"/>
      <c r="Z94" s="84"/>
      <c r="AA94" s="84"/>
      <c r="AB94" s="84"/>
      <c r="AC94" s="84"/>
      <c r="AD94" s="84"/>
      <c r="AE94" s="84"/>
      <c r="AF94" s="84"/>
      <c r="AG94" s="84" t="e">
        <f>VLOOKUP(AF94,Tablas!A125:B132,2,FALSE)</f>
        <v>#N/A</v>
      </c>
      <c r="AH94" s="84"/>
      <c r="AI94" s="84" t="e">
        <f>VLOOKUP(AH94,Tablas!A135:B141,2,FALSE)</f>
        <v>#N/A</v>
      </c>
      <c r="AJ94" s="84"/>
      <c r="AK94" s="121" t="e">
        <f>VLOOKUP(AJ94,Tablas!A145:B153,2,FALSE)</f>
        <v>#N/A</v>
      </c>
      <c r="AL94" s="84"/>
      <c r="AM94" s="84" t="e">
        <f>VLOOKUP(AL94,Tablas!A156:B166,2,FALSE)</f>
        <v>#N/A</v>
      </c>
      <c r="AN94" s="84" t="e">
        <f t="shared" si="3"/>
        <v>#N/A</v>
      </c>
      <c r="AO94" s="84" t="e" cm="1">
        <f t="array" ref="AO94">_xlfn.IFS(AN94&lt;=1,Tablas!$A$75,AN94&lt;=5,Tablas!$A$76,AN94&lt;=10,Tablas!$A$77,AN94&lt;=50,Tablas!$A$78,AN94&lt;=100,Tablas!$A$79,AN94&lt;=500,Tablas!$A$80,AN94&lt;=999,Tablas!$A$81,AN94&gt;1000,Tablas!T176)</f>
        <v>#N/A</v>
      </c>
      <c r="AP94" s="84"/>
      <c r="AQ94" s="84"/>
    </row>
    <row r="95" spans="2:43" s="21" customFormat="1" ht="92.25" customHeight="1" x14ac:dyDescent="0.25">
      <c r="B95" s="117"/>
      <c r="C95" s="118"/>
      <c r="D95" s="119"/>
      <c r="E95" s="119"/>
      <c r="F95" s="119"/>
      <c r="G95" s="119"/>
      <c r="H95" s="120"/>
      <c r="I95" s="121"/>
      <c r="J95" s="119"/>
      <c r="K95" s="84"/>
      <c r="L95" s="84"/>
      <c r="M95" s="84"/>
      <c r="N95" s="84" t="e">
        <f>VLOOKUP(M95,Tablas!$A$31:$B$38,2,FALSE)</f>
        <v>#N/A</v>
      </c>
      <c r="O95" s="84"/>
      <c r="P95" s="84" t="e">
        <f>VLOOKUP(O95,Tablas!$A$41:$B$47,2,FALSE)</f>
        <v>#N/A</v>
      </c>
      <c r="Q95" s="84"/>
      <c r="R95" s="121" t="e">
        <f>VLOOKUP(Q95,Tablas!$A$51:$B$59,2,FALSE)</f>
        <v>#N/A</v>
      </c>
      <c r="S95" s="84"/>
      <c r="T95" s="84" t="e">
        <f>VLOOKUP(S95,Tablas!$A$62:$B$72,2,FALSE)</f>
        <v>#N/A</v>
      </c>
      <c r="U95" s="84" t="e">
        <f t="shared" si="2"/>
        <v>#N/A</v>
      </c>
      <c r="V95" s="84" t="e" cm="1">
        <f t="array" ref="V95">_xlfn.IFS(U95&lt;=1,Tablas!$A$75,U95&lt;=5,Tablas!$A$76,U95&lt;=10,Tablas!$A$77,U95&lt;=50,Tablas!$A$78,U95&lt;=100,Tablas!$A$79,U95&lt;=500,Tablas!$A$80,U95&lt;=999,Tablas!$A$81,U95&gt;1000,Tablas!A177)</f>
        <v>#N/A</v>
      </c>
      <c r="W95" s="84" t="e" cm="1">
        <f t="array" ref="W95">_xlfn.IFS(V95=Tablas!$A$87,Tablas!$B$87,V95=Tablas!$A$88,Tablas!$B$88,V95=Tablas!$A$89,Tablas!$B$89,V95=Tablas!$A$90,Tablas!$B$90,V95=Tablas!$A$91,Tablas!$B$91,V95=Tablas!$A$92,Tablas!$B$92,V95=Tablas!$A$93,Tablas!$B$93,V95=Tablas!$A$94,Tablas!$B$94)</f>
        <v>#N/A</v>
      </c>
      <c r="X95" s="84"/>
      <c r="Y95" s="117"/>
      <c r="Z95" s="84"/>
      <c r="AA95" s="84"/>
      <c r="AB95" s="84"/>
      <c r="AC95" s="84"/>
      <c r="AD95" s="84"/>
      <c r="AE95" s="84"/>
      <c r="AF95" s="84"/>
      <c r="AG95" s="84" t="e">
        <f>VLOOKUP(AF95,Tablas!A126:B133,2,FALSE)</f>
        <v>#N/A</v>
      </c>
      <c r="AH95" s="84"/>
      <c r="AI95" s="84" t="e">
        <f>VLOOKUP(AH95,Tablas!A136:B142,2,FALSE)</f>
        <v>#N/A</v>
      </c>
      <c r="AJ95" s="84"/>
      <c r="AK95" s="121" t="e">
        <f>VLOOKUP(AJ95,Tablas!A146:B154,2,FALSE)</f>
        <v>#N/A</v>
      </c>
      <c r="AL95" s="84"/>
      <c r="AM95" s="84" t="e">
        <f>VLOOKUP(AL95,Tablas!A157:B167,2,FALSE)</f>
        <v>#N/A</v>
      </c>
      <c r="AN95" s="84" t="e">
        <f t="shared" si="3"/>
        <v>#N/A</v>
      </c>
      <c r="AO95" s="84" t="e" cm="1">
        <f t="array" ref="AO95">_xlfn.IFS(AN95&lt;=1,Tablas!$A$75,AN95&lt;=5,Tablas!$A$76,AN95&lt;=10,Tablas!$A$77,AN95&lt;=50,Tablas!$A$78,AN95&lt;=100,Tablas!$A$79,AN95&lt;=500,Tablas!$A$80,AN95&lt;=999,Tablas!$A$81,AN95&gt;1000,Tablas!T177)</f>
        <v>#N/A</v>
      </c>
      <c r="AP95" s="84"/>
      <c r="AQ95" s="84"/>
    </row>
    <row r="96" spans="2:43" s="21" customFormat="1" ht="92.25" customHeight="1" x14ac:dyDescent="0.25">
      <c r="B96" s="117"/>
      <c r="C96" s="118"/>
      <c r="D96" s="119"/>
      <c r="E96" s="119"/>
      <c r="F96" s="119"/>
      <c r="G96" s="119"/>
      <c r="H96" s="120"/>
      <c r="I96" s="121"/>
      <c r="J96" s="119"/>
      <c r="K96" s="84"/>
      <c r="L96" s="84"/>
      <c r="M96" s="84"/>
      <c r="N96" s="84" t="e">
        <f>VLOOKUP(M96,Tablas!$A$31:$B$38,2,FALSE)</f>
        <v>#N/A</v>
      </c>
      <c r="O96" s="84"/>
      <c r="P96" s="84" t="e">
        <f>VLOOKUP(O96,Tablas!$A$41:$B$47,2,FALSE)</f>
        <v>#N/A</v>
      </c>
      <c r="Q96" s="84"/>
      <c r="R96" s="121" t="e">
        <f>VLOOKUP(Q96,Tablas!$A$51:$B$59,2,FALSE)</f>
        <v>#N/A</v>
      </c>
      <c r="S96" s="84"/>
      <c r="T96" s="84" t="e">
        <f>VLOOKUP(S96,Tablas!$A$62:$B$72,2,FALSE)</f>
        <v>#N/A</v>
      </c>
      <c r="U96" s="84" t="e">
        <f t="shared" si="2"/>
        <v>#N/A</v>
      </c>
      <c r="V96" s="84" t="e" cm="1">
        <f t="array" ref="V96">_xlfn.IFS(U96&lt;=1,Tablas!$A$75,U96&lt;=5,Tablas!$A$76,U96&lt;=10,Tablas!$A$77,U96&lt;=50,Tablas!$A$78,U96&lt;=100,Tablas!$A$79,U96&lt;=500,Tablas!$A$80,U96&lt;=999,Tablas!$A$81,U96&gt;1000,Tablas!A178)</f>
        <v>#N/A</v>
      </c>
      <c r="W96" s="84" t="e" cm="1">
        <f t="array" ref="W96">_xlfn.IFS(V96=Tablas!$A$87,Tablas!$B$87,V96=Tablas!$A$88,Tablas!$B$88,V96=Tablas!$A$89,Tablas!$B$89,V96=Tablas!$A$90,Tablas!$B$90,V96=Tablas!$A$91,Tablas!$B$91,V96=Tablas!$A$92,Tablas!$B$92,V96=Tablas!$A$93,Tablas!$B$93,V96=Tablas!$A$94,Tablas!$B$94)</f>
        <v>#N/A</v>
      </c>
      <c r="X96" s="84"/>
      <c r="Y96" s="117"/>
      <c r="Z96" s="84"/>
      <c r="AA96" s="84"/>
      <c r="AB96" s="84"/>
      <c r="AC96" s="84"/>
      <c r="AD96" s="84"/>
      <c r="AE96" s="84"/>
      <c r="AF96" s="84"/>
      <c r="AG96" s="84" t="e">
        <f>VLOOKUP(AF96,Tablas!A127:B134,2,FALSE)</f>
        <v>#N/A</v>
      </c>
      <c r="AH96" s="84"/>
      <c r="AI96" s="84" t="e">
        <f>VLOOKUP(AH96,Tablas!A137:B143,2,FALSE)</f>
        <v>#N/A</v>
      </c>
      <c r="AJ96" s="84"/>
      <c r="AK96" s="121" t="e">
        <f>VLOOKUP(AJ96,Tablas!A147:B155,2,FALSE)</f>
        <v>#N/A</v>
      </c>
      <c r="AL96" s="84"/>
      <c r="AM96" s="84" t="e">
        <f>VLOOKUP(AL96,Tablas!A158:B168,2,FALSE)</f>
        <v>#N/A</v>
      </c>
      <c r="AN96" s="84" t="e">
        <f t="shared" si="3"/>
        <v>#N/A</v>
      </c>
      <c r="AO96" s="84" t="e" cm="1">
        <f t="array" ref="AO96">_xlfn.IFS(AN96&lt;=1,Tablas!$A$75,AN96&lt;=5,Tablas!$A$76,AN96&lt;=10,Tablas!$A$77,AN96&lt;=50,Tablas!$A$78,AN96&lt;=100,Tablas!$A$79,AN96&lt;=500,Tablas!$A$80,AN96&lt;=999,Tablas!$A$81,AN96&gt;1000,Tablas!T178)</f>
        <v>#N/A</v>
      </c>
      <c r="AP96" s="84"/>
      <c r="AQ96" s="84"/>
    </row>
    <row r="97" spans="2:43" s="21" customFormat="1" ht="92.25" customHeight="1" x14ac:dyDescent="0.25">
      <c r="B97" s="117"/>
      <c r="C97" s="118"/>
      <c r="D97" s="119"/>
      <c r="E97" s="119"/>
      <c r="F97" s="119"/>
      <c r="G97" s="119"/>
      <c r="H97" s="120"/>
      <c r="I97" s="121"/>
      <c r="J97" s="119"/>
      <c r="K97" s="84"/>
      <c r="L97" s="84"/>
      <c r="M97" s="84"/>
      <c r="N97" s="84" t="e">
        <f>VLOOKUP(M97,Tablas!$A$31:$B$38,2,FALSE)</f>
        <v>#N/A</v>
      </c>
      <c r="O97" s="84"/>
      <c r="P97" s="84" t="e">
        <f>VLOOKUP(O97,Tablas!$A$41:$B$47,2,FALSE)</f>
        <v>#N/A</v>
      </c>
      <c r="Q97" s="84"/>
      <c r="R97" s="121" t="e">
        <f>VLOOKUP(Q97,Tablas!$A$51:$B$59,2,FALSE)</f>
        <v>#N/A</v>
      </c>
      <c r="S97" s="84"/>
      <c r="T97" s="84" t="e">
        <f>VLOOKUP(S97,Tablas!$A$62:$B$72,2,FALSE)</f>
        <v>#N/A</v>
      </c>
      <c r="U97" s="84" t="e">
        <f t="shared" si="2"/>
        <v>#N/A</v>
      </c>
      <c r="V97" s="84" t="e" cm="1">
        <f t="array" ref="V97">_xlfn.IFS(U97&lt;=1,Tablas!$A$75,U97&lt;=5,Tablas!$A$76,U97&lt;=10,Tablas!$A$77,U97&lt;=50,Tablas!$A$78,U97&lt;=100,Tablas!$A$79,U97&lt;=500,Tablas!$A$80,U97&lt;=999,Tablas!$A$81,U97&gt;1000,Tablas!A179)</f>
        <v>#N/A</v>
      </c>
      <c r="W97" s="84" t="e" cm="1">
        <f t="array" ref="W97">_xlfn.IFS(V97=Tablas!$A$87,Tablas!$B$87,V97=Tablas!$A$88,Tablas!$B$88,V97=Tablas!$A$89,Tablas!$B$89,V97=Tablas!$A$90,Tablas!$B$90,V97=Tablas!$A$91,Tablas!$B$91,V97=Tablas!$A$92,Tablas!$B$92,V97=Tablas!$A$93,Tablas!$B$93,V97=Tablas!$A$94,Tablas!$B$94)</f>
        <v>#N/A</v>
      </c>
      <c r="X97" s="84"/>
      <c r="Y97" s="117"/>
      <c r="Z97" s="84"/>
      <c r="AA97" s="84"/>
      <c r="AB97" s="84"/>
      <c r="AC97" s="84"/>
      <c r="AD97" s="84"/>
      <c r="AE97" s="84"/>
      <c r="AF97" s="84"/>
      <c r="AG97" s="84" t="e">
        <f>VLOOKUP(AF97,Tablas!A128:B135,2,FALSE)</f>
        <v>#N/A</v>
      </c>
      <c r="AH97" s="84"/>
      <c r="AI97" s="84" t="e">
        <f>VLOOKUP(AH97,Tablas!A138:B144,2,FALSE)</f>
        <v>#N/A</v>
      </c>
      <c r="AJ97" s="84"/>
      <c r="AK97" s="121" t="e">
        <f>VLOOKUP(AJ97,Tablas!A148:B156,2,FALSE)</f>
        <v>#N/A</v>
      </c>
      <c r="AL97" s="84"/>
      <c r="AM97" s="84" t="e">
        <f>VLOOKUP(AL97,Tablas!A159:B169,2,FALSE)</f>
        <v>#N/A</v>
      </c>
      <c r="AN97" s="84" t="e">
        <f t="shared" si="3"/>
        <v>#N/A</v>
      </c>
      <c r="AO97" s="84" t="e" cm="1">
        <f t="array" ref="AO97">_xlfn.IFS(AN97&lt;=1,Tablas!$A$75,AN97&lt;=5,Tablas!$A$76,AN97&lt;=10,Tablas!$A$77,AN97&lt;=50,Tablas!$A$78,AN97&lt;=100,Tablas!$A$79,AN97&lt;=500,Tablas!$A$80,AN97&lt;=999,Tablas!$A$81,AN97&gt;1000,Tablas!T179)</f>
        <v>#N/A</v>
      </c>
      <c r="AP97" s="84"/>
      <c r="AQ97" s="84"/>
    </row>
    <row r="98" spans="2:43" s="21" customFormat="1" ht="92.25" customHeight="1" x14ac:dyDescent="0.25">
      <c r="B98" s="117"/>
      <c r="C98" s="118"/>
      <c r="D98" s="119"/>
      <c r="E98" s="119"/>
      <c r="F98" s="119"/>
      <c r="G98" s="119"/>
      <c r="H98" s="120"/>
      <c r="I98" s="121"/>
      <c r="J98" s="119"/>
      <c r="K98" s="84"/>
      <c r="L98" s="84"/>
      <c r="M98" s="84"/>
      <c r="N98" s="84" t="e">
        <f>VLOOKUP(M98,Tablas!$A$31:$B$38,2,FALSE)</f>
        <v>#N/A</v>
      </c>
      <c r="O98" s="84"/>
      <c r="P98" s="84" t="e">
        <f>VLOOKUP(O98,Tablas!$A$41:$B$47,2,FALSE)</f>
        <v>#N/A</v>
      </c>
      <c r="Q98" s="84"/>
      <c r="R98" s="121" t="e">
        <f>VLOOKUP(Q98,Tablas!$A$51:$B$59,2,FALSE)</f>
        <v>#N/A</v>
      </c>
      <c r="S98" s="84"/>
      <c r="T98" s="84" t="e">
        <f>VLOOKUP(S98,Tablas!$A$62:$B$72,2,FALSE)</f>
        <v>#N/A</v>
      </c>
      <c r="U98" s="84" t="e">
        <f t="shared" si="2"/>
        <v>#N/A</v>
      </c>
      <c r="V98" s="84" t="e" cm="1">
        <f t="array" ref="V98">_xlfn.IFS(U98&lt;=1,Tablas!$A$75,U98&lt;=5,Tablas!$A$76,U98&lt;=10,Tablas!$A$77,U98&lt;=50,Tablas!$A$78,U98&lt;=100,Tablas!$A$79,U98&lt;=500,Tablas!$A$80,U98&lt;=999,Tablas!$A$81,U98&gt;1000,Tablas!A180)</f>
        <v>#N/A</v>
      </c>
      <c r="W98" s="84" t="e" cm="1">
        <f t="array" ref="W98">_xlfn.IFS(V98=Tablas!$A$87,Tablas!$B$87,V98=Tablas!$A$88,Tablas!$B$88,V98=Tablas!$A$89,Tablas!$B$89,V98=Tablas!$A$90,Tablas!$B$90,V98=Tablas!$A$91,Tablas!$B$91,V98=Tablas!$A$92,Tablas!$B$92,V98=Tablas!$A$93,Tablas!$B$93,V98=Tablas!$A$94,Tablas!$B$94)</f>
        <v>#N/A</v>
      </c>
      <c r="X98" s="84"/>
      <c r="Y98" s="117"/>
      <c r="Z98" s="84"/>
      <c r="AA98" s="84"/>
      <c r="AB98" s="84"/>
      <c r="AC98" s="84"/>
      <c r="AD98" s="84"/>
      <c r="AE98" s="84"/>
      <c r="AF98" s="84"/>
      <c r="AG98" s="84" t="e">
        <f>VLOOKUP(AF98,Tablas!A129:B136,2,FALSE)</f>
        <v>#N/A</v>
      </c>
      <c r="AH98" s="84"/>
      <c r="AI98" s="84" t="e">
        <f>VLOOKUP(AH98,Tablas!A139:B145,2,FALSE)</f>
        <v>#N/A</v>
      </c>
      <c r="AJ98" s="84"/>
      <c r="AK98" s="121" t="e">
        <f>VLOOKUP(AJ98,Tablas!A149:B157,2,FALSE)</f>
        <v>#N/A</v>
      </c>
      <c r="AL98" s="84"/>
      <c r="AM98" s="84" t="e">
        <f>VLOOKUP(AL98,Tablas!A160:B170,2,FALSE)</f>
        <v>#N/A</v>
      </c>
      <c r="AN98" s="84" t="e">
        <f t="shared" si="3"/>
        <v>#N/A</v>
      </c>
      <c r="AO98" s="84" t="e" cm="1">
        <f t="array" ref="AO98">_xlfn.IFS(AN98&lt;=1,Tablas!$A$75,AN98&lt;=5,Tablas!$A$76,AN98&lt;=10,Tablas!$A$77,AN98&lt;=50,Tablas!$A$78,AN98&lt;=100,Tablas!$A$79,AN98&lt;=500,Tablas!$A$80,AN98&lt;=999,Tablas!$A$81,AN98&gt;1000,Tablas!T180)</f>
        <v>#N/A</v>
      </c>
      <c r="AP98" s="84"/>
      <c r="AQ98" s="84"/>
    </row>
    <row r="99" spans="2:43" s="21" customFormat="1" ht="92.25" customHeight="1" x14ac:dyDescent="0.25">
      <c r="B99" s="117"/>
      <c r="C99" s="118"/>
      <c r="D99" s="119"/>
      <c r="E99" s="119"/>
      <c r="F99" s="119"/>
      <c r="G99" s="119"/>
      <c r="H99" s="120"/>
      <c r="I99" s="121"/>
      <c r="J99" s="119"/>
      <c r="K99" s="84"/>
      <c r="L99" s="84"/>
      <c r="M99" s="84"/>
      <c r="N99" s="84" t="e">
        <f>VLOOKUP(M99,Tablas!$A$31:$B$38,2,FALSE)</f>
        <v>#N/A</v>
      </c>
      <c r="O99" s="84"/>
      <c r="P99" s="84" t="e">
        <f>VLOOKUP(O99,Tablas!$A$41:$B$47,2,FALSE)</f>
        <v>#N/A</v>
      </c>
      <c r="Q99" s="84"/>
      <c r="R99" s="121" t="e">
        <f>VLOOKUP(Q99,Tablas!$A$51:$B$59,2,FALSE)</f>
        <v>#N/A</v>
      </c>
      <c r="S99" s="84"/>
      <c r="T99" s="84" t="e">
        <f>VLOOKUP(S99,Tablas!$A$62:$B$72,2,FALSE)</f>
        <v>#N/A</v>
      </c>
      <c r="U99" s="84" t="e">
        <f t="shared" si="2"/>
        <v>#N/A</v>
      </c>
      <c r="V99" s="84" t="e" cm="1">
        <f t="array" ref="V99">_xlfn.IFS(U99&lt;=1,Tablas!$A$75,U99&lt;=5,Tablas!$A$76,U99&lt;=10,Tablas!$A$77,U99&lt;=50,Tablas!$A$78,U99&lt;=100,Tablas!$A$79,U99&lt;=500,Tablas!$A$80,U99&lt;=999,Tablas!$A$81,U99&gt;1000,Tablas!A181)</f>
        <v>#N/A</v>
      </c>
      <c r="W99" s="84" t="e" cm="1">
        <f t="array" ref="W99">_xlfn.IFS(V99=Tablas!$A$87,Tablas!$B$87,V99=Tablas!$A$88,Tablas!$B$88,V99=Tablas!$A$89,Tablas!$B$89,V99=Tablas!$A$90,Tablas!$B$90,V99=Tablas!$A$91,Tablas!$B$91,V99=Tablas!$A$92,Tablas!$B$92,V99=Tablas!$A$93,Tablas!$B$93,V99=Tablas!$A$94,Tablas!$B$94)</f>
        <v>#N/A</v>
      </c>
      <c r="X99" s="84"/>
      <c r="Y99" s="117"/>
      <c r="Z99" s="84"/>
      <c r="AA99" s="84"/>
      <c r="AB99" s="84"/>
      <c r="AC99" s="84"/>
      <c r="AD99" s="84"/>
      <c r="AE99" s="84"/>
      <c r="AF99" s="84"/>
      <c r="AG99" s="84" t="e">
        <f>VLOOKUP(AF99,Tablas!A130:B137,2,FALSE)</f>
        <v>#N/A</v>
      </c>
      <c r="AH99" s="84"/>
      <c r="AI99" s="84" t="e">
        <f>VLOOKUP(AH99,Tablas!A140:B146,2,FALSE)</f>
        <v>#N/A</v>
      </c>
      <c r="AJ99" s="84"/>
      <c r="AK99" s="121" t="e">
        <f>VLOOKUP(AJ99,Tablas!A150:B158,2,FALSE)</f>
        <v>#N/A</v>
      </c>
      <c r="AL99" s="84"/>
      <c r="AM99" s="84" t="e">
        <f>VLOOKUP(AL99,Tablas!A161:B171,2,FALSE)</f>
        <v>#N/A</v>
      </c>
      <c r="AN99" s="84" t="e">
        <f t="shared" si="3"/>
        <v>#N/A</v>
      </c>
      <c r="AO99" s="84" t="e" cm="1">
        <f t="array" ref="AO99">_xlfn.IFS(AN99&lt;=1,Tablas!$A$75,AN99&lt;=5,Tablas!$A$76,AN99&lt;=10,Tablas!$A$77,AN99&lt;=50,Tablas!$A$78,AN99&lt;=100,Tablas!$A$79,AN99&lt;=500,Tablas!$A$80,AN99&lt;=999,Tablas!$A$81,AN99&gt;1000,Tablas!T181)</f>
        <v>#N/A</v>
      </c>
      <c r="AP99" s="84"/>
      <c r="AQ99" s="84"/>
    </row>
    <row r="100" spans="2:43" s="21" customFormat="1" ht="92.25" customHeight="1" x14ac:dyDescent="0.25">
      <c r="B100" s="117"/>
      <c r="C100" s="118"/>
      <c r="D100" s="119"/>
      <c r="E100" s="119"/>
      <c r="F100" s="119"/>
      <c r="G100" s="119"/>
      <c r="H100" s="120"/>
      <c r="I100" s="121"/>
      <c r="J100" s="119"/>
      <c r="K100" s="84"/>
      <c r="L100" s="84"/>
      <c r="M100" s="84"/>
      <c r="N100" s="84" t="e">
        <f>VLOOKUP(M100,Tablas!$A$31:$B$38,2,FALSE)</f>
        <v>#N/A</v>
      </c>
      <c r="O100" s="84"/>
      <c r="P100" s="84" t="e">
        <f>VLOOKUP(O100,Tablas!$A$41:$B$47,2,FALSE)</f>
        <v>#N/A</v>
      </c>
      <c r="Q100" s="84"/>
      <c r="R100" s="121" t="e">
        <f>VLOOKUP(Q100,Tablas!$A$51:$B$59,2,FALSE)</f>
        <v>#N/A</v>
      </c>
      <c r="S100" s="84"/>
      <c r="T100" s="84" t="e">
        <f>VLOOKUP(S100,Tablas!$A$62:$B$72,2,FALSE)</f>
        <v>#N/A</v>
      </c>
      <c r="U100" s="84" t="e">
        <f t="shared" si="2"/>
        <v>#N/A</v>
      </c>
      <c r="V100" s="84" t="e" cm="1">
        <f t="array" ref="V100">_xlfn.IFS(U100&lt;=1,Tablas!$A$75,U100&lt;=5,Tablas!$A$76,U100&lt;=10,Tablas!$A$77,U100&lt;=50,Tablas!$A$78,U100&lt;=100,Tablas!$A$79,U100&lt;=500,Tablas!$A$80,U100&lt;=999,Tablas!$A$81,U100&gt;1000,Tablas!A182)</f>
        <v>#N/A</v>
      </c>
      <c r="W100" s="84" t="e" cm="1">
        <f t="array" ref="W100">_xlfn.IFS(V100=Tablas!$A$87,Tablas!$B$87,V100=Tablas!$A$88,Tablas!$B$88,V100=Tablas!$A$89,Tablas!$B$89,V100=Tablas!$A$90,Tablas!$B$90,V100=Tablas!$A$91,Tablas!$B$91,V100=Tablas!$A$92,Tablas!$B$92,V100=Tablas!$A$93,Tablas!$B$93,V100=Tablas!$A$94,Tablas!$B$94)</f>
        <v>#N/A</v>
      </c>
      <c r="X100" s="84"/>
      <c r="Y100" s="117"/>
      <c r="Z100" s="84"/>
      <c r="AA100" s="84"/>
      <c r="AB100" s="84"/>
      <c r="AC100" s="84"/>
      <c r="AD100" s="84"/>
      <c r="AE100" s="84"/>
      <c r="AF100" s="84"/>
      <c r="AG100" s="84" t="e">
        <f>VLOOKUP(AF100,Tablas!A131:B138,2,FALSE)</f>
        <v>#N/A</v>
      </c>
      <c r="AH100" s="84"/>
      <c r="AI100" s="84" t="e">
        <f>VLOOKUP(AH100,Tablas!A141:B147,2,FALSE)</f>
        <v>#N/A</v>
      </c>
      <c r="AJ100" s="84"/>
      <c r="AK100" s="121" t="e">
        <f>VLOOKUP(AJ100,Tablas!A151:B159,2,FALSE)</f>
        <v>#N/A</v>
      </c>
      <c r="AL100" s="84"/>
      <c r="AM100" s="84" t="e">
        <f>VLOOKUP(AL100,Tablas!A162:B172,2,FALSE)</f>
        <v>#N/A</v>
      </c>
      <c r="AN100" s="84" t="e">
        <f t="shared" si="3"/>
        <v>#N/A</v>
      </c>
      <c r="AO100" s="84" t="e" cm="1">
        <f t="array" ref="AO100">_xlfn.IFS(AN100&lt;=1,Tablas!$A$75,AN100&lt;=5,Tablas!$A$76,AN100&lt;=10,Tablas!$A$77,AN100&lt;=50,Tablas!$A$78,AN100&lt;=100,Tablas!$A$79,AN100&lt;=500,Tablas!$A$80,AN100&lt;=999,Tablas!$A$81,AN100&gt;1000,Tablas!T182)</f>
        <v>#N/A</v>
      </c>
      <c r="AP100" s="84"/>
      <c r="AQ100" s="84"/>
    </row>
    <row r="101" spans="2:43" s="21" customFormat="1" ht="92.25" customHeight="1" x14ac:dyDescent="0.25">
      <c r="B101" s="117"/>
      <c r="C101" s="118"/>
      <c r="D101" s="119"/>
      <c r="E101" s="119"/>
      <c r="F101" s="119"/>
      <c r="G101" s="119"/>
      <c r="H101" s="120"/>
      <c r="I101" s="121"/>
      <c r="J101" s="119"/>
      <c r="K101" s="84"/>
      <c r="L101" s="84"/>
      <c r="M101" s="84"/>
      <c r="N101" s="84" t="e">
        <f>VLOOKUP(M101,Tablas!$A$31:$B$38,2,FALSE)</f>
        <v>#N/A</v>
      </c>
      <c r="O101" s="84"/>
      <c r="P101" s="84" t="e">
        <f>VLOOKUP(O101,Tablas!$A$41:$B$47,2,FALSE)</f>
        <v>#N/A</v>
      </c>
      <c r="Q101" s="84"/>
      <c r="R101" s="121" t="e">
        <f>VLOOKUP(Q101,Tablas!$A$51:$B$59,2,FALSE)</f>
        <v>#N/A</v>
      </c>
      <c r="S101" s="84"/>
      <c r="T101" s="84" t="e">
        <f>VLOOKUP(S101,Tablas!$A$62:$B$72,2,FALSE)</f>
        <v>#N/A</v>
      </c>
      <c r="U101" s="84" t="e">
        <f t="shared" si="2"/>
        <v>#N/A</v>
      </c>
      <c r="V101" s="84" t="e" cm="1">
        <f t="array" ref="V101">_xlfn.IFS(U101&lt;=1,Tablas!$A$75,U101&lt;=5,Tablas!$A$76,U101&lt;=10,Tablas!$A$77,U101&lt;=50,Tablas!$A$78,U101&lt;=100,Tablas!$A$79,U101&lt;=500,Tablas!$A$80,U101&lt;=999,Tablas!$A$81,U101&gt;1000,Tablas!A183)</f>
        <v>#N/A</v>
      </c>
      <c r="W101" s="84" t="e" cm="1">
        <f t="array" ref="W101">_xlfn.IFS(V101=Tablas!$A$87,Tablas!$B$87,V101=Tablas!$A$88,Tablas!$B$88,V101=Tablas!$A$89,Tablas!$B$89,V101=Tablas!$A$90,Tablas!$B$90,V101=Tablas!$A$91,Tablas!$B$91,V101=Tablas!$A$92,Tablas!$B$92,V101=Tablas!$A$93,Tablas!$B$93,V101=Tablas!$A$94,Tablas!$B$94)</f>
        <v>#N/A</v>
      </c>
      <c r="X101" s="84"/>
      <c r="Y101" s="117"/>
      <c r="Z101" s="84"/>
      <c r="AA101" s="84"/>
      <c r="AB101" s="84"/>
      <c r="AC101" s="84"/>
      <c r="AD101" s="84"/>
      <c r="AE101" s="84"/>
      <c r="AF101" s="84"/>
      <c r="AG101" s="84" t="e">
        <f>VLOOKUP(AF101,Tablas!A132:B139,2,FALSE)</f>
        <v>#N/A</v>
      </c>
      <c r="AH101" s="84"/>
      <c r="AI101" s="84" t="e">
        <f>VLOOKUP(AH101,Tablas!A142:B148,2,FALSE)</f>
        <v>#N/A</v>
      </c>
      <c r="AJ101" s="84"/>
      <c r="AK101" s="121" t="e">
        <f>VLOOKUP(AJ101,Tablas!A152:B160,2,FALSE)</f>
        <v>#N/A</v>
      </c>
      <c r="AL101" s="84"/>
      <c r="AM101" s="84" t="e">
        <f>VLOOKUP(AL101,Tablas!A163:B173,2,FALSE)</f>
        <v>#N/A</v>
      </c>
      <c r="AN101" s="84" t="e">
        <f t="shared" si="3"/>
        <v>#N/A</v>
      </c>
      <c r="AO101" s="84" t="e" cm="1">
        <f t="array" ref="AO101">_xlfn.IFS(AN101&lt;=1,Tablas!$A$75,AN101&lt;=5,Tablas!$A$76,AN101&lt;=10,Tablas!$A$77,AN101&lt;=50,Tablas!$A$78,AN101&lt;=100,Tablas!$A$79,AN101&lt;=500,Tablas!$A$80,AN101&lt;=999,Tablas!$A$81,AN101&gt;1000,Tablas!T183)</f>
        <v>#N/A</v>
      </c>
      <c r="AP101" s="84"/>
      <c r="AQ101" s="84"/>
    </row>
    <row r="102" spans="2:43" s="21" customFormat="1" ht="92.25" customHeight="1" x14ac:dyDescent="0.25">
      <c r="B102" s="117"/>
      <c r="C102" s="118"/>
      <c r="D102" s="119"/>
      <c r="E102" s="119"/>
      <c r="F102" s="119"/>
      <c r="G102" s="119"/>
      <c r="H102" s="120"/>
      <c r="I102" s="121"/>
      <c r="J102" s="119"/>
      <c r="K102" s="84"/>
      <c r="L102" s="84"/>
      <c r="M102" s="84"/>
      <c r="N102" s="84" t="e">
        <f>VLOOKUP(M102,Tablas!$A$31:$B$38,2,FALSE)</f>
        <v>#N/A</v>
      </c>
      <c r="O102" s="84"/>
      <c r="P102" s="84" t="e">
        <f>VLOOKUP(O102,Tablas!$A$41:$B$47,2,FALSE)</f>
        <v>#N/A</v>
      </c>
      <c r="Q102" s="84"/>
      <c r="R102" s="121" t="e">
        <f>VLOOKUP(Q102,Tablas!$A$51:$B$59,2,FALSE)</f>
        <v>#N/A</v>
      </c>
      <c r="S102" s="84"/>
      <c r="T102" s="84" t="e">
        <f>VLOOKUP(S102,Tablas!$A$62:$B$72,2,FALSE)</f>
        <v>#N/A</v>
      </c>
      <c r="U102" s="84" t="e">
        <f t="shared" si="2"/>
        <v>#N/A</v>
      </c>
      <c r="V102" s="84" t="e" cm="1">
        <f t="array" ref="V102">_xlfn.IFS(U102&lt;=1,Tablas!$A$75,U102&lt;=5,Tablas!$A$76,U102&lt;=10,Tablas!$A$77,U102&lt;=50,Tablas!$A$78,U102&lt;=100,Tablas!$A$79,U102&lt;=500,Tablas!$A$80,U102&lt;=999,Tablas!$A$81,U102&gt;1000,Tablas!A184)</f>
        <v>#N/A</v>
      </c>
      <c r="W102" s="84" t="e" cm="1">
        <f t="array" ref="W102">_xlfn.IFS(V102=Tablas!$A$87,Tablas!$B$87,V102=Tablas!$A$88,Tablas!$B$88,V102=Tablas!$A$89,Tablas!$B$89,V102=Tablas!$A$90,Tablas!$B$90,V102=Tablas!$A$91,Tablas!$B$91,V102=Tablas!$A$92,Tablas!$B$92,V102=Tablas!$A$93,Tablas!$B$93,V102=Tablas!$A$94,Tablas!$B$94)</f>
        <v>#N/A</v>
      </c>
      <c r="X102" s="84"/>
      <c r="Y102" s="117"/>
      <c r="Z102" s="84"/>
      <c r="AA102" s="84"/>
      <c r="AB102" s="84"/>
      <c r="AC102" s="84"/>
      <c r="AD102" s="84"/>
      <c r="AE102" s="84"/>
      <c r="AF102" s="84"/>
      <c r="AG102" s="84" t="e">
        <f>VLOOKUP(AF102,Tablas!A133:B140,2,FALSE)</f>
        <v>#N/A</v>
      </c>
      <c r="AH102" s="84"/>
      <c r="AI102" s="84" t="e">
        <f>VLOOKUP(AH102,Tablas!A143:B149,2,FALSE)</f>
        <v>#N/A</v>
      </c>
      <c r="AJ102" s="84"/>
      <c r="AK102" s="121" t="e">
        <f>VLOOKUP(AJ102,Tablas!A153:B161,2,FALSE)</f>
        <v>#N/A</v>
      </c>
      <c r="AL102" s="84"/>
      <c r="AM102" s="84" t="e">
        <f>VLOOKUP(AL102,Tablas!A164:B174,2,FALSE)</f>
        <v>#N/A</v>
      </c>
      <c r="AN102" s="84" t="e">
        <f t="shared" si="3"/>
        <v>#N/A</v>
      </c>
      <c r="AO102" s="84" t="e" cm="1">
        <f t="array" ref="AO102">_xlfn.IFS(AN102&lt;=1,Tablas!$A$75,AN102&lt;=5,Tablas!$A$76,AN102&lt;=10,Tablas!$A$77,AN102&lt;=50,Tablas!$A$78,AN102&lt;=100,Tablas!$A$79,AN102&lt;=500,Tablas!$A$80,AN102&lt;=999,Tablas!$A$81,AN102&gt;1000,Tablas!T184)</f>
        <v>#N/A</v>
      </c>
      <c r="AP102" s="84"/>
      <c r="AQ102" s="84"/>
    </row>
  </sheetData>
  <scenarios current="0" show="0">
    <scenario name="tipo de evento" locked="1" count="1" user="luis.vincent" comment="Creado por luis.vincent el 03/09/2014_x000a_Modificado por luis.vincent el 03/09/2014">
      <inputCells r="I6" val="prueba2"/>
    </scenario>
  </scenarios>
  <dataConsolidate function="product">
    <dataRefs count="1">
      <dataRef ref="Q5:T5" sheet="HRN Tareas" r:id="rId1"/>
    </dataRefs>
  </dataConsolidate>
  <mergeCells count="8">
    <mergeCell ref="C1:AO1"/>
    <mergeCell ref="C3:D3"/>
    <mergeCell ref="B4:J4"/>
    <mergeCell ref="K4:L4"/>
    <mergeCell ref="M4:V4"/>
    <mergeCell ref="X4:AC4"/>
    <mergeCell ref="AD4:AE4"/>
    <mergeCell ref="AF4:AO4"/>
  </mergeCells>
  <conditionalFormatting sqref="V1:V1048576">
    <cfRule type="containsText" dxfId="7" priority="1" operator="containsText" text="Inaceptable">
      <formula>NOT(ISERROR(SEARCH("Inaceptable",V1)))</formula>
    </cfRule>
    <cfRule type="containsText" dxfId="6" priority="2" operator="containsText" text="Extremo">
      <formula>NOT(ISERROR(SEARCH("Extremo",V1)))</formula>
    </cfRule>
    <cfRule type="containsText" dxfId="5" priority="3" operator="containsText" text="Muy Alto">
      <formula>NOT(ISERROR(SEARCH("Muy Alto",V1)))</formula>
    </cfRule>
    <cfRule type="containsText" dxfId="4" priority="4" operator="containsText" text="Alto">
      <formula>NOT(ISERROR(SEARCH("Alto",V1)))</formula>
    </cfRule>
    <cfRule type="containsText" dxfId="3" priority="5" operator="containsText" text="Medio">
      <formula>NOT(ISERROR(SEARCH("Medio",V1)))</formula>
    </cfRule>
    <cfRule type="containsText" dxfId="2" priority="6" operator="containsText" text="Bajo">
      <formula>NOT(ISERROR(SEARCH("Bajo",V1)))</formula>
    </cfRule>
    <cfRule type="containsText" dxfId="1" priority="7" operator="containsText" text="Muy Bajo">
      <formula>NOT(ISERROR(SEARCH("Muy Bajo",V1)))</formula>
    </cfRule>
    <cfRule type="containsText" dxfId="0" priority="8" operator="containsText" text="Insignificante">
      <formula>NOT(ISERROR(SEARCH("Insignificante",V1)))</formula>
    </cfRule>
  </conditionalFormatting>
  <pageMargins left="0.25" right="0.25" top="0.75" bottom="0.75" header="0.3" footer="0.3"/>
  <pageSetup scale="19" fitToHeight="0" pageOrder="overThenDown" orientation="landscape" r:id="rId2"/>
  <legacyDrawing r:id="rId3"/>
  <extLst>
    <ext xmlns:x14="http://schemas.microsoft.com/office/spreadsheetml/2009/9/main" uri="{CCE6A557-97BC-4b89-ADB6-D9C93CAAB3DF}">
      <x14:dataValidations xmlns:xm="http://schemas.microsoft.com/office/excel/2006/main" count="10">
        <x14:dataValidation type="list" allowBlank="1" showInputMessage="1" showErrorMessage="1" xr:uid="{690E17D8-6B25-4DAF-B60D-4C4DD963DDEC}">
          <x14:formula1>
            <xm:f>'Catálogo Peligros'!$B$5:$B$60</xm:f>
          </x14:formula1>
          <xm:sqref>H1:H1048576</xm:sqref>
        </x14:dataValidation>
        <x14:dataValidation type="list" allowBlank="1" showInputMessage="1" showErrorMessage="1" xr:uid="{E5F0A9A6-8EA2-4173-8DF6-A75848536CB0}">
          <x14:formula1>
            <xm:f>Tablas!$Y$18:$Y$35</xm:f>
          </x14:formula1>
          <xm:sqref>B6:B1048576</xm:sqref>
        </x14:dataValidation>
        <x14:dataValidation type="list" allowBlank="1" showInputMessage="1" showErrorMessage="1" xr:uid="{9C9BC5A6-A332-42C0-8E32-E063D66FDE3C}">
          <x14:formula1>
            <xm:f>Tablas!$Y$13:$Y$15</xm:f>
          </x14:formula1>
          <xm:sqref>AP6:AP1048576</xm:sqref>
        </x14:dataValidation>
        <x14:dataValidation type="list" allowBlank="1" showInputMessage="1" showErrorMessage="1" xr:uid="{B29D48BF-F931-453C-AF46-8BE25E567C04}">
          <x14:formula1>
            <xm:f>Tablas!$Y$3:$Y$8</xm:f>
          </x14:formula1>
          <xm:sqref>AA6:AA1048576</xm:sqref>
        </x14:dataValidation>
        <x14:dataValidation type="list" allowBlank="1" showInputMessage="1" showErrorMessage="1" xr:uid="{AC498C10-E8A4-4C64-A5D2-2C5BBD1CB870}">
          <x14:formula1>
            <xm:f>Tablas!$A$99:$A$101</xm:f>
          </x14:formula1>
          <xm:sqref>Z6:Z105</xm:sqref>
        </x14:dataValidation>
        <x14:dataValidation type="list" allowBlank="1" showInputMessage="1" showErrorMessage="1" xr:uid="{2579CF0C-FEDE-4F85-A395-24D9909BEC44}">
          <x14:formula1>
            <xm:f>Tablas!$N$18:$N$27</xm:f>
          </x14:formula1>
          <xm:sqref>S6:S103 AL6:AL102</xm:sqref>
        </x14:dataValidation>
        <x14:dataValidation type="list" allowBlank="1" showInputMessage="1" showErrorMessage="1" xr:uid="{08F4DE48-594A-4B5D-9D82-633B3625755C}">
          <x14:formula1>
            <xm:f>Tablas!$K$18:$K$25</xm:f>
          </x14:formula1>
          <xm:sqref>Q6:Q1048576 AJ6:AJ102</xm:sqref>
        </x14:dataValidation>
        <x14:dataValidation type="list" allowBlank="1" showInputMessage="1" showErrorMessage="1" xr:uid="{4C2265A9-9B37-4455-991B-D152091BC05D}">
          <x14:formula1>
            <xm:f>Tablas!$H$18:$H$23</xm:f>
          </x14:formula1>
          <xm:sqref>O6:O1048576 AH6:AH102</xm:sqref>
        </x14:dataValidation>
        <x14:dataValidation type="list" allowBlank="1" showInputMessage="1" showErrorMessage="1" xr:uid="{734C9D8C-0590-4063-915E-8DC39C863300}">
          <x14:formula1>
            <xm:f>Tablas!$E$18:$E$25</xm:f>
          </x14:formula1>
          <xm:sqref>M6:M1048576 AF6:AF102</xm:sqref>
        </x14:dataValidation>
        <x14:dataValidation type="list" allowBlank="1" showInputMessage="1" showErrorMessage="1" xr:uid="{E60E83FD-DEA9-4D39-8E2A-A00445D9B629}">
          <x14:formula1>
            <xm:f>Tablas!$B$18:$B$29</xm:f>
          </x14:formula1>
          <xm:sqref>I6:I1048576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D4BB-F2E6-4941-93C5-7960A0A6EBCB}">
  <dimension ref="A2:Z101"/>
  <sheetViews>
    <sheetView workbookViewId="0">
      <selection activeCell="Y35" sqref="Y17:Y35"/>
    </sheetView>
  </sheetViews>
  <sheetFormatPr defaultColWidth="9.140625" defaultRowHeight="15" x14ac:dyDescent="0.25"/>
  <cols>
    <col min="1" max="1" width="14.42578125" customWidth="1"/>
    <col min="2" max="2" width="61.140625" bestFit="1" customWidth="1"/>
    <col min="3" max="3" width="4.28515625" customWidth="1"/>
    <col min="5" max="5" width="13.140625" customWidth="1"/>
    <col min="6" max="6" width="4.28515625" customWidth="1"/>
    <col min="7" max="7" width="2.7109375" bestFit="1" customWidth="1"/>
    <col min="8" max="8" width="15" customWidth="1"/>
    <col min="9" max="9" width="4.28515625" customWidth="1"/>
    <col min="10" max="10" width="15" customWidth="1"/>
    <col min="11" max="11" width="63" bestFit="1" customWidth="1"/>
    <col min="12" max="12" width="4.28515625" customWidth="1"/>
    <col min="13" max="13" width="5" customWidth="1"/>
    <col min="14" max="14" width="15.85546875" bestFit="1" customWidth="1"/>
    <col min="15" max="15" width="47" bestFit="1" customWidth="1"/>
    <col min="17" max="17" width="17.7109375" bestFit="1" customWidth="1"/>
    <col min="18" max="18" width="22.85546875" customWidth="1"/>
    <col min="19" max="19" width="27.140625" customWidth="1"/>
    <col min="21" max="21" width="28.28515625" bestFit="1" customWidth="1"/>
    <col min="22" max="22" width="7.7109375" customWidth="1"/>
    <col min="23" max="23" width="15.42578125" bestFit="1" customWidth="1"/>
    <col min="24" max="24" width="5.5703125" customWidth="1"/>
    <col min="25" max="25" width="31.28515625" customWidth="1"/>
    <col min="26" max="26" width="16" bestFit="1" customWidth="1"/>
  </cols>
  <sheetData>
    <row r="2" spans="2:26" ht="15.75" customHeight="1" thickBot="1" x14ac:dyDescent="0.3">
      <c r="B2" s="61" t="s">
        <v>91</v>
      </c>
      <c r="D2" s="212" t="s">
        <v>38</v>
      </c>
      <c r="E2" s="213"/>
      <c r="F2" s="62"/>
      <c r="G2" s="214" t="s">
        <v>65</v>
      </c>
      <c r="H2" s="215"/>
      <c r="I2" s="62"/>
      <c r="J2" s="210" t="s">
        <v>64</v>
      </c>
      <c r="K2" s="211"/>
      <c r="M2" s="207" t="s">
        <v>37</v>
      </c>
      <c r="N2" s="208"/>
      <c r="O2" s="209"/>
      <c r="Q2" s="53" t="s">
        <v>28</v>
      </c>
      <c r="R2" s="63" t="s">
        <v>92</v>
      </c>
      <c r="S2" s="54" t="s">
        <v>93</v>
      </c>
      <c r="U2" s="63" t="s">
        <v>139</v>
      </c>
      <c r="W2" s="63" t="s">
        <v>147</v>
      </c>
      <c r="Y2" s="63" t="s">
        <v>154</v>
      </c>
    </row>
    <row r="3" spans="2:26" ht="15" customHeight="1" thickBot="1" x14ac:dyDescent="0.3">
      <c r="B3" s="64" t="s">
        <v>80</v>
      </c>
      <c r="C3" s="65"/>
      <c r="D3" s="40">
        <v>0.1</v>
      </c>
      <c r="E3" s="39" t="s">
        <v>41</v>
      </c>
      <c r="F3" s="62"/>
      <c r="G3" s="216"/>
      <c r="H3" s="217"/>
      <c r="I3" s="62"/>
      <c r="J3" s="40">
        <v>0.1</v>
      </c>
      <c r="K3" s="38" t="s">
        <v>66</v>
      </c>
      <c r="M3" s="37">
        <v>0</v>
      </c>
      <c r="N3" s="38" t="s">
        <v>39</v>
      </c>
      <c r="O3" s="39" t="s">
        <v>40</v>
      </c>
      <c r="Q3" s="37" t="s">
        <v>94</v>
      </c>
      <c r="R3" s="66" t="s">
        <v>95</v>
      </c>
      <c r="S3" s="67" t="s">
        <v>96</v>
      </c>
      <c r="U3" s="112"/>
      <c r="W3" s="112"/>
      <c r="Y3" s="112"/>
    </row>
    <row r="4" spans="2:26" ht="15" customHeight="1" x14ac:dyDescent="0.25">
      <c r="B4" s="64" t="s">
        <v>82</v>
      </c>
      <c r="D4" s="45">
        <v>0.2</v>
      </c>
      <c r="E4" s="44" t="s">
        <v>44</v>
      </c>
      <c r="F4" s="62"/>
      <c r="G4" s="68">
        <v>1</v>
      </c>
      <c r="H4" s="69" t="s">
        <v>67</v>
      </c>
      <c r="I4" s="62"/>
      <c r="J4" s="45">
        <v>0.5</v>
      </c>
      <c r="K4" s="43" t="s">
        <v>68</v>
      </c>
      <c r="M4" s="42">
        <v>0.1</v>
      </c>
      <c r="N4" s="43" t="s">
        <v>42</v>
      </c>
      <c r="O4" s="44" t="s">
        <v>43</v>
      </c>
      <c r="Q4" s="42" t="s">
        <v>97</v>
      </c>
      <c r="R4" s="70" t="s">
        <v>98</v>
      </c>
      <c r="S4" s="71" t="s">
        <v>99</v>
      </c>
      <c r="U4" s="113" t="s">
        <v>140</v>
      </c>
      <c r="W4" s="113" t="s">
        <v>59</v>
      </c>
      <c r="Y4" s="113" t="s">
        <v>155</v>
      </c>
      <c r="Z4" t="s">
        <v>161</v>
      </c>
    </row>
    <row r="5" spans="2:26" ht="15" customHeight="1" x14ac:dyDescent="0.25">
      <c r="B5" s="64" t="s">
        <v>84</v>
      </c>
      <c r="D5" s="45">
        <v>1</v>
      </c>
      <c r="E5" s="44" t="s">
        <v>47</v>
      </c>
      <c r="F5" s="62"/>
      <c r="G5" s="68">
        <v>2</v>
      </c>
      <c r="H5" s="69" t="s">
        <v>69</v>
      </c>
      <c r="I5" s="62"/>
      <c r="J5" s="45">
        <v>1</v>
      </c>
      <c r="K5" s="43" t="s">
        <v>70</v>
      </c>
      <c r="M5" s="42">
        <v>0.5</v>
      </c>
      <c r="N5" s="43" t="s">
        <v>45</v>
      </c>
      <c r="O5" s="44" t="s">
        <v>46</v>
      </c>
      <c r="Q5" s="42" t="s">
        <v>100</v>
      </c>
      <c r="R5" s="70" t="s">
        <v>101</v>
      </c>
      <c r="S5" s="71" t="s">
        <v>102</v>
      </c>
      <c r="U5" s="113" t="s">
        <v>141</v>
      </c>
      <c r="W5" s="113" t="s">
        <v>56</v>
      </c>
      <c r="Y5" s="113" t="s">
        <v>156</v>
      </c>
      <c r="Z5" t="s">
        <v>160</v>
      </c>
    </row>
    <row r="6" spans="2:26" ht="15" customHeight="1" x14ac:dyDescent="0.25">
      <c r="B6" s="64" t="s">
        <v>86</v>
      </c>
      <c r="D6" s="45">
        <v>1.5</v>
      </c>
      <c r="E6" s="44" t="s">
        <v>50</v>
      </c>
      <c r="F6" s="62"/>
      <c r="G6" s="68">
        <v>4</v>
      </c>
      <c r="H6" s="69" t="s">
        <v>71</v>
      </c>
      <c r="I6" s="62"/>
      <c r="J6" s="45">
        <v>2</v>
      </c>
      <c r="K6" s="43" t="s">
        <v>72</v>
      </c>
      <c r="M6" s="42">
        <v>1</v>
      </c>
      <c r="N6" s="43" t="s">
        <v>48</v>
      </c>
      <c r="O6" s="44" t="s">
        <v>49</v>
      </c>
      <c r="Q6" s="42" t="s">
        <v>103</v>
      </c>
      <c r="R6" s="70" t="s">
        <v>104</v>
      </c>
      <c r="S6" s="71" t="s">
        <v>105</v>
      </c>
      <c r="U6" s="113" t="s">
        <v>146</v>
      </c>
      <c r="W6" s="113" t="s">
        <v>53</v>
      </c>
      <c r="Y6" s="113" t="s">
        <v>158</v>
      </c>
      <c r="Z6" t="s">
        <v>162</v>
      </c>
    </row>
    <row r="7" spans="2:26" ht="15" customHeight="1" x14ac:dyDescent="0.25">
      <c r="B7" s="64" t="s">
        <v>88</v>
      </c>
      <c r="D7" s="45">
        <v>2.5</v>
      </c>
      <c r="E7" s="44" t="s">
        <v>53</v>
      </c>
      <c r="F7" s="62"/>
      <c r="G7" s="68">
        <v>8</v>
      </c>
      <c r="H7" s="69" t="s">
        <v>73</v>
      </c>
      <c r="I7" s="62"/>
      <c r="J7" s="45">
        <v>4</v>
      </c>
      <c r="K7" s="43" t="s">
        <v>74</v>
      </c>
      <c r="M7" s="42">
        <v>2</v>
      </c>
      <c r="N7" s="43" t="s">
        <v>51</v>
      </c>
      <c r="O7" s="44" t="s">
        <v>52</v>
      </c>
      <c r="Q7" s="42" t="s">
        <v>106</v>
      </c>
      <c r="R7" s="70" t="s">
        <v>107</v>
      </c>
      <c r="S7" s="71" t="s">
        <v>108</v>
      </c>
      <c r="U7" s="113" t="s">
        <v>142</v>
      </c>
      <c r="W7" s="113" t="s">
        <v>50</v>
      </c>
      <c r="Y7" s="113" t="s">
        <v>159</v>
      </c>
      <c r="Z7" t="s">
        <v>163</v>
      </c>
    </row>
    <row r="8" spans="2:26" ht="15" customHeight="1" thickBot="1" x14ac:dyDescent="0.3">
      <c r="B8" s="64" t="s">
        <v>90</v>
      </c>
      <c r="D8" s="45">
        <v>4</v>
      </c>
      <c r="E8" s="44" t="s">
        <v>56</v>
      </c>
      <c r="F8" s="62"/>
      <c r="G8" s="72">
        <v>12</v>
      </c>
      <c r="H8" s="73" t="s">
        <v>75</v>
      </c>
      <c r="I8" s="62"/>
      <c r="J8" s="45">
        <v>8</v>
      </c>
      <c r="K8" s="43" t="s">
        <v>76</v>
      </c>
      <c r="M8" s="42">
        <v>5</v>
      </c>
      <c r="N8" s="43" t="s">
        <v>54</v>
      </c>
      <c r="O8" s="44" t="s">
        <v>55</v>
      </c>
      <c r="Q8" s="42" t="s">
        <v>109</v>
      </c>
      <c r="R8" s="70" t="s">
        <v>110</v>
      </c>
      <c r="S8" s="71" t="s">
        <v>111</v>
      </c>
      <c r="U8" s="113" t="s">
        <v>143</v>
      </c>
      <c r="W8" s="113" t="s">
        <v>148</v>
      </c>
      <c r="Y8" s="114" t="s">
        <v>157</v>
      </c>
    </row>
    <row r="9" spans="2:26" ht="15" customHeight="1" thickBot="1" x14ac:dyDescent="0.3">
      <c r="B9" s="64" t="s">
        <v>81</v>
      </c>
      <c r="D9" s="46">
        <v>5</v>
      </c>
      <c r="E9" s="47" t="s">
        <v>59</v>
      </c>
      <c r="F9" s="62"/>
      <c r="G9" s="62"/>
      <c r="H9" s="62"/>
      <c r="I9" s="62"/>
      <c r="J9" s="46">
        <v>15</v>
      </c>
      <c r="K9" s="51" t="s">
        <v>78</v>
      </c>
      <c r="M9" s="42">
        <v>8</v>
      </c>
      <c r="N9" s="43" t="s">
        <v>57</v>
      </c>
      <c r="O9" s="44" t="s">
        <v>58</v>
      </c>
      <c r="Q9" s="42" t="s">
        <v>112</v>
      </c>
      <c r="R9" s="70" t="s">
        <v>113</v>
      </c>
      <c r="S9" s="71" t="s">
        <v>114</v>
      </c>
      <c r="U9" s="113" t="s">
        <v>144</v>
      </c>
      <c r="W9" s="113" t="s">
        <v>44</v>
      </c>
    </row>
    <row r="10" spans="2:26" ht="15" customHeight="1" thickBot="1" x14ac:dyDescent="0.3">
      <c r="B10" s="64" t="s">
        <v>83</v>
      </c>
      <c r="G10" s="62"/>
      <c r="H10" s="62"/>
      <c r="I10" s="62"/>
      <c r="J10" s="62"/>
      <c r="K10" s="62"/>
      <c r="M10" s="42">
        <v>10</v>
      </c>
      <c r="N10" s="43" t="s">
        <v>60</v>
      </c>
      <c r="O10" s="44" t="s">
        <v>61</v>
      </c>
      <c r="Q10" s="50" t="s">
        <v>115</v>
      </c>
      <c r="R10" s="74" t="s">
        <v>116</v>
      </c>
      <c r="S10" s="75" t="s">
        <v>117</v>
      </c>
      <c r="U10" s="113" t="s">
        <v>145</v>
      </c>
      <c r="W10" s="114" t="s">
        <v>149</v>
      </c>
    </row>
    <row r="11" spans="2:26" ht="15" customHeight="1" thickBot="1" x14ac:dyDescent="0.3">
      <c r="B11" s="64" t="s">
        <v>85</v>
      </c>
      <c r="M11" s="50">
        <v>15</v>
      </c>
      <c r="N11" s="51" t="s">
        <v>62</v>
      </c>
      <c r="O11" s="47" t="s">
        <v>63</v>
      </c>
      <c r="U11" s="114"/>
    </row>
    <row r="12" spans="2:26" ht="15" customHeight="1" thickBot="1" x14ac:dyDescent="0.3">
      <c r="B12" s="64" t="s">
        <v>87</v>
      </c>
      <c r="Y12" s="63" t="s">
        <v>119</v>
      </c>
    </row>
    <row r="13" spans="2:26" ht="15" customHeight="1" thickBot="1" x14ac:dyDescent="0.3">
      <c r="B13" s="76" t="s">
        <v>89</v>
      </c>
      <c r="Y13" s="112"/>
    </row>
    <row r="14" spans="2:26" x14ac:dyDescent="0.25">
      <c r="Y14" s="113" t="s">
        <v>217</v>
      </c>
    </row>
    <row r="15" spans="2:26" x14ac:dyDescent="0.25">
      <c r="Y15" s="113" t="s">
        <v>218</v>
      </c>
    </row>
    <row r="17" spans="1:25" ht="15.75" customHeight="1" thickBot="1" x14ac:dyDescent="0.3">
      <c r="B17" s="61" t="s">
        <v>91</v>
      </c>
      <c r="D17" s="86" t="s">
        <v>118</v>
      </c>
      <c r="E17" s="86" t="s">
        <v>38</v>
      </c>
      <c r="F17" s="62"/>
      <c r="G17" s="91" t="s">
        <v>118</v>
      </c>
      <c r="H17" s="88" t="s">
        <v>65</v>
      </c>
      <c r="I17" s="62"/>
      <c r="J17" s="210" t="s">
        <v>64</v>
      </c>
      <c r="K17" s="211"/>
      <c r="M17" s="207" t="s">
        <v>37</v>
      </c>
      <c r="N17" s="208"/>
      <c r="O17" s="209"/>
      <c r="Q17" s="53" t="s">
        <v>28</v>
      </c>
      <c r="R17" s="63" t="s">
        <v>92</v>
      </c>
      <c r="S17" s="54" t="s">
        <v>93</v>
      </c>
      <c r="Y17" s="63" t="s">
        <v>225</v>
      </c>
    </row>
    <row r="18" spans="1:25" ht="15.75" customHeight="1" thickBot="1" x14ac:dyDescent="0.3">
      <c r="B18" s="77"/>
      <c r="D18" s="89"/>
      <c r="E18" s="90"/>
      <c r="F18" s="62"/>
      <c r="I18" s="62"/>
      <c r="J18" s="78"/>
      <c r="K18" s="79"/>
      <c r="M18" s="81"/>
      <c r="N18" s="82"/>
      <c r="O18" s="83"/>
      <c r="Q18" s="78"/>
      <c r="R18" s="79"/>
      <c r="S18" s="80"/>
      <c r="Y18" s="112"/>
    </row>
    <row r="19" spans="1:25" ht="15" customHeight="1" x14ac:dyDescent="0.25">
      <c r="B19" s="64" t="s">
        <v>80</v>
      </c>
      <c r="C19" s="65"/>
      <c r="D19" s="40">
        <v>0.1</v>
      </c>
      <c r="E19" s="39" t="s">
        <v>41</v>
      </c>
      <c r="F19" s="62"/>
      <c r="G19" s="68">
        <v>1</v>
      </c>
      <c r="H19" s="69" t="s">
        <v>67</v>
      </c>
      <c r="I19" s="62"/>
      <c r="J19" s="40">
        <v>0.1</v>
      </c>
      <c r="K19" s="38" t="s">
        <v>66</v>
      </c>
      <c r="M19" s="37">
        <v>0</v>
      </c>
      <c r="N19" s="38" t="s">
        <v>39</v>
      </c>
      <c r="O19" s="39" t="s">
        <v>40</v>
      </c>
      <c r="Q19" s="37" t="s">
        <v>94</v>
      </c>
      <c r="R19" s="66" t="s">
        <v>95</v>
      </c>
      <c r="S19" s="67" t="s">
        <v>96</v>
      </c>
      <c r="Y19" s="113" t="s">
        <v>120</v>
      </c>
    </row>
    <row r="20" spans="1:25" ht="15" customHeight="1" x14ac:dyDescent="0.25">
      <c r="B20" s="64" t="s">
        <v>82</v>
      </c>
      <c r="D20" s="45">
        <v>0.2</v>
      </c>
      <c r="E20" s="44" t="s">
        <v>44</v>
      </c>
      <c r="F20" s="62"/>
      <c r="G20" s="68">
        <v>2</v>
      </c>
      <c r="H20" s="69" t="s">
        <v>69</v>
      </c>
      <c r="I20" s="62"/>
      <c r="J20" s="45">
        <v>0.5</v>
      </c>
      <c r="K20" s="43" t="s">
        <v>68</v>
      </c>
      <c r="M20" s="42">
        <v>0.1</v>
      </c>
      <c r="N20" s="43" t="s">
        <v>42</v>
      </c>
      <c r="O20" s="44" t="s">
        <v>43</v>
      </c>
      <c r="Q20" s="42" t="s">
        <v>97</v>
      </c>
      <c r="R20" s="70" t="s">
        <v>98</v>
      </c>
      <c r="S20" s="71" t="s">
        <v>99</v>
      </c>
      <c r="Y20" s="113" t="s">
        <v>169</v>
      </c>
    </row>
    <row r="21" spans="1:25" ht="15" customHeight="1" x14ac:dyDescent="0.25">
      <c r="B21" s="64" t="s">
        <v>84</v>
      </c>
      <c r="D21" s="45">
        <v>1</v>
      </c>
      <c r="E21" s="44" t="s">
        <v>47</v>
      </c>
      <c r="F21" s="62"/>
      <c r="G21" s="68">
        <v>4</v>
      </c>
      <c r="H21" s="69" t="s">
        <v>71</v>
      </c>
      <c r="I21" s="62"/>
      <c r="J21" s="45">
        <v>1</v>
      </c>
      <c r="K21" s="43" t="s">
        <v>70</v>
      </c>
      <c r="M21" s="42">
        <v>0.5</v>
      </c>
      <c r="N21" s="43" t="s">
        <v>45</v>
      </c>
      <c r="O21" s="44" t="s">
        <v>46</v>
      </c>
      <c r="Q21" s="42" t="s">
        <v>100</v>
      </c>
      <c r="R21" s="70" t="s">
        <v>101</v>
      </c>
      <c r="S21" s="71" t="s">
        <v>102</v>
      </c>
      <c r="Y21" s="113" t="s">
        <v>167</v>
      </c>
    </row>
    <row r="22" spans="1:25" ht="15" customHeight="1" x14ac:dyDescent="0.25">
      <c r="B22" s="64" t="s">
        <v>86</v>
      </c>
      <c r="D22" s="45">
        <v>1.5</v>
      </c>
      <c r="E22" s="44" t="s">
        <v>50</v>
      </c>
      <c r="F22" s="62"/>
      <c r="G22" s="68">
        <v>8</v>
      </c>
      <c r="H22" s="69" t="s">
        <v>73</v>
      </c>
      <c r="I22" s="62"/>
      <c r="J22" s="45">
        <v>2</v>
      </c>
      <c r="K22" s="43" t="s">
        <v>72</v>
      </c>
      <c r="M22" s="42">
        <v>1</v>
      </c>
      <c r="N22" s="43" t="s">
        <v>48</v>
      </c>
      <c r="O22" s="44" t="s">
        <v>49</v>
      </c>
      <c r="Q22" s="42" t="s">
        <v>103</v>
      </c>
      <c r="R22" s="70" t="s">
        <v>104</v>
      </c>
      <c r="S22" s="71" t="s">
        <v>105</v>
      </c>
      <c r="Y22" s="113" t="s">
        <v>152</v>
      </c>
    </row>
    <row r="23" spans="1:25" ht="15" customHeight="1" thickBot="1" x14ac:dyDescent="0.3">
      <c r="B23" s="64" t="s">
        <v>88</v>
      </c>
      <c r="D23" s="45">
        <v>2.5</v>
      </c>
      <c r="E23" s="44" t="s">
        <v>53</v>
      </c>
      <c r="F23" s="62"/>
      <c r="G23" s="72">
        <v>12</v>
      </c>
      <c r="H23" s="73" t="s">
        <v>75</v>
      </c>
      <c r="I23" s="62"/>
      <c r="J23" s="45">
        <v>4</v>
      </c>
      <c r="K23" s="43" t="s">
        <v>74</v>
      </c>
      <c r="M23" s="42">
        <v>2</v>
      </c>
      <c r="N23" s="43" t="s">
        <v>51</v>
      </c>
      <c r="O23" s="44" t="s">
        <v>52</v>
      </c>
      <c r="Q23" s="42" t="s">
        <v>106</v>
      </c>
      <c r="R23" s="70" t="s">
        <v>107</v>
      </c>
      <c r="S23" s="71" t="s">
        <v>108</v>
      </c>
      <c r="Y23" s="113" t="s">
        <v>226</v>
      </c>
    </row>
    <row r="24" spans="1:25" ht="15" customHeight="1" x14ac:dyDescent="0.25">
      <c r="B24" s="64" t="s">
        <v>90</v>
      </c>
      <c r="D24" s="45">
        <v>4</v>
      </c>
      <c r="E24" s="44" t="s">
        <v>56</v>
      </c>
      <c r="F24" s="62"/>
      <c r="I24" s="62"/>
      <c r="J24" s="45">
        <v>8</v>
      </c>
      <c r="K24" s="43" t="s">
        <v>76</v>
      </c>
      <c r="M24" s="42">
        <v>5</v>
      </c>
      <c r="N24" s="43" t="s">
        <v>54</v>
      </c>
      <c r="O24" s="44" t="s">
        <v>55</v>
      </c>
      <c r="Q24" s="42" t="s">
        <v>109</v>
      </c>
      <c r="R24" s="70" t="s">
        <v>110</v>
      </c>
      <c r="S24" s="71" t="s">
        <v>111</v>
      </c>
      <c r="Y24" s="113" t="s">
        <v>166</v>
      </c>
    </row>
    <row r="25" spans="1:25" ht="15" customHeight="1" thickBot="1" x14ac:dyDescent="0.3">
      <c r="B25" s="64" t="s">
        <v>81</v>
      </c>
      <c r="D25" s="46">
        <v>5</v>
      </c>
      <c r="E25" s="47" t="s">
        <v>59</v>
      </c>
      <c r="F25" s="62"/>
      <c r="G25" s="62"/>
      <c r="H25" s="62"/>
      <c r="I25" s="62"/>
      <c r="J25" s="46">
        <v>15</v>
      </c>
      <c r="K25" s="51" t="s">
        <v>78</v>
      </c>
      <c r="M25" s="42">
        <v>8</v>
      </c>
      <c r="N25" s="43" t="s">
        <v>57</v>
      </c>
      <c r="O25" s="44" t="s">
        <v>58</v>
      </c>
      <c r="Q25" s="42" t="s">
        <v>112</v>
      </c>
      <c r="R25" s="70" t="s">
        <v>113</v>
      </c>
      <c r="S25" s="71" t="s">
        <v>114</v>
      </c>
      <c r="Y25" s="113" t="s">
        <v>172</v>
      </c>
    </row>
    <row r="26" spans="1:25" ht="15" customHeight="1" thickBot="1" x14ac:dyDescent="0.3">
      <c r="B26" s="64" t="s">
        <v>83</v>
      </c>
      <c r="G26" s="62"/>
      <c r="H26" s="62"/>
      <c r="I26" s="62"/>
      <c r="J26" s="62"/>
      <c r="K26" s="62"/>
      <c r="M26" s="42">
        <v>10</v>
      </c>
      <c r="N26" s="43" t="s">
        <v>60</v>
      </c>
      <c r="O26" s="44" t="s">
        <v>61</v>
      </c>
      <c r="Q26" s="50" t="s">
        <v>115</v>
      </c>
      <c r="R26" s="74" t="s">
        <v>116</v>
      </c>
      <c r="S26" s="75" t="s">
        <v>117</v>
      </c>
      <c r="Y26" s="113" t="s">
        <v>121</v>
      </c>
    </row>
    <row r="27" spans="1:25" ht="15" customHeight="1" thickBot="1" x14ac:dyDescent="0.3">
      <c r="B27" s="64" t="s">
        <v>85</v>
      </c>
      <c r="M27" s="50">
        <v>15</v>
      </c>
      <c r="N27" s="51" t="s">
        <v>62</v>
      </c>
      <c r="O27" s="47" t="s">
        <v>63</v>
      </c>
      <c r="Y27" s="113" t="s">
        <v>223</v>
      </c>
    </row>
    <row r="28" spans="1:25" ht="15" customHeight="1" x14ac:dyDescent="0.25">
      <c r="B28" s="64" t="s">
        <v>87</v>
      </c>
      <c r="Y28" s="113" t="s">
        <v>227</v>
      </c>
    </row>
    <row r="29" spans="1:25" ht="15" customHeight="1" thickBot="1" x14ac:dyDescent="0.3">
      <c r="B29" s="76" t="s">
        <v>89</v>
      </c>
      <c r="Y29" s="113" t="s">
        <v>170</v>
      </c>
    </row>
    <row r="30" spans="1:25" ht="15.75" thickBot="1" x14ac:dyDescent="0.3">
      <c r="Y30" s="113" t="s">
        <v>229</v>
      </c>
    </row>
    <row r="31" spans="1:25" ht="15.75" customHeight="1" thickBot="1" x14ac:dyDescent="0.3">
      <c r="A31" s="87" t="s">
        <v>38</v>
      </c>
      <c r="B31" t="s">
        <v>118</v>
      </c>
      <c r="Y31" s="113" t="s">
        <v>228</v>
      </c>
    </row>
    <row r="32" spans="1:25" x14ac:dyDescent="0.25">
      <c r="A32" s="39" t="s">
        <v>41</v>
      </c>
      <c r="B32" s="40">
        <v>0.1</v>
      </c>
      <c r="Y32" s="113" t="s">
        <v>171</v>
      </c>
    </row>
    <row r="33" spans="1:25" x14ac:dyDescent="0.25">
      <c r="A33" s="44" t="s">
        <v>44</v>
      </c>
      <c r="B33" s="45">
        <v>0.2</v>
      </c>
      <c r="Y33" s="113" t="s">
        <v>173</v>
      </c>
    </row>
    <row r="34" spans="1:25" x14ac:dyDescent="0.25">
      <c r="A34" s="44" t="s">
        <v>47</v>
      </c>
      <c r="B34" s="45">
        <v>1</v>
      </c>
      <c r="Y34" s="113" t="s">
        <v>168</v>
      </c>
    </row>
    <row r="35" spans="1:25" x14ac:dyDescent="0.25">
      <c r="A35" s="44" t="s">
        <v>50</v>
      </c>
      <c r="B35" s="45">
        <v>1.5</v>
      </c>
      <c r="Y35" s="113" t="s">
        <v>224</v>
      </c>
    </row>
    <row r="36" spans="1:25" x14ac:dyDescent="0.25">
      <c r="A36" s="44" t="s">
        <v>53</v>
      </c>
      <c r="B36" s="45">
        <v>2.5</v>
      </c>
    </row>
    <row r="37" spans="1:25" x14ac:dyDescent="0.25">
      <c r="A37" s="44" t="s">
        <v>56</v>
      </c>
      <c r="B37" s="45">
        <v>4</v>
      </c>
    </row>
    <row r="38" spans="1:25" ht="15.75" thickBot="1" x14ac:dyDescent="0.3">
      <c r="A38" s="47" t="s">
        <v>59</v>
      </c>
      <c r="B38" s="46">
        <v>5</v>
      </c>
    </row>
    <row r="40" spans="1:25" ht="15.75" thickBot="1" x14ac:dyDescent="0.3"/>
    <row r="41" spans="1:25" ht="45.75" thickBot="1" x14ac:dyDescent="0.3">
      <c r="A41" s="88" t="s">
        <v>65</v>
      </c>
      <c r="B41" s="91" t="s">
        <v>118</v>
      </c>
    </row>
    <row r="43" spans="1:25" x14ac:dyDescent="0.25">
      <c r="A43" s="69" t="s">
        <v>67</v>
      </c>
      <c r="B43" s="68">
        <v>1</v>
      </c>
    </row>
    <row r="44" spans="1:25" x14ac:dyDescent="0.25">
      <c r="A44" s="69" t="s">
        <v>69</v>
      </c>
      <c r="B44" s="68">
        <v>2</v>
      </c>
    </row>
    <row r="45" spans="1:25" x14ac:dyDescent="0.25">
      <c r="A45" s="69" t="s">
        <v>71</v>
      </c>
      <c r="B45" s="68">
        <v>4</v>
      </c>
    </row>
    <row r="46" spans="1:25" x14ac:dyDescent="0.25">
      <c r="A46" s="69" t="s">
        <v>73</v>
      </c>
      <c r="B46" s="68">
        <v>8</v>
      </c>
    </row>
    <row r="47" spans="1:25" ht="15.75" thickBot="1" x14ac:dyDescent="0.3">
      <c r="A47" s="73" t="s">
        <v>75</v>
      </c>
      <c r="B47" s="72">
        <v>12</v>
      </c>
    </row>
    <row r="51" spans="1:2" ht="15.75" thickBot="1" x14ac:dyDescent="0.3">
      <c r="A51" s="96" t="s">
        <v>64</v>
      </c>
      <c r="B51" s="97" t="s">
        <v>118</v>
      </c>
    </row>
    <row r="52" spans="1:2" ht="15.75" thickBot="1" x14ac:dyDescent="0.3">
      <c r="A52" s="98"/>
      <c r="B52" s="98"/>
    </row>
    <row r="53" spans="1:2" ht="22.5" x14ac:dyDescent="0.25">
      <c r="A53" s="38" t="s">
        <v>66</v>
      </c>
      <c r="B53" s="40">
        <v>0.1</v>
      </c>
    </row>
    <row r="54" spans="1:2" ht="22.5" x14ac:dyDescent="0.25">
      <c r="A54" s="43" t="s">
        <v>68</v>
      </c>
      <c r="B54" s="45">
        <v>0.5</v>
      </c>
    </row>
    <row r="55" spans="1:2" ht="56.25" x14ac:dyDescent="0.25">
      <c r="A55" s="43" t="s">
        <v>70</v>
      </c>
      <c r="B55" s="45">
        <v>1</v>
      </c>
    </row>
    <row r="56" spans="1:2" ht="67.5" x14ac:dyDescent="0.25">
      <c r="A56" s="43" t="s">
        <v>72</v>
      </c>
      <c r="B56" s="45">
        <v>2</v>
      </c>
    </row>
    <row r="57" spans="1:2" ht="56.25" x14ac:dyDescent="0.25">
      <c r="A57" s="43" t="s">
        <v>74</v>
      </c>
      <c r="B57" s="45">
        <v>4</v>
      </c>
    </row>
    <row r="58" spans="1:2" ht="67.5" x14ac:dyDescent="0.25">
      <c r="A58" s="43" t="s">
        <v>76</v>
      </c>
      <c r="B58" s="45">
        <v>8</v>
      </c>
    </row>
    <row r="59" spans="1:2" ht="15.75" thickBot="1" x14ac:dyDescent="0.3">
      <c r="A59" s="51" t="s">
        <v>78</v>
      </c>
      <c r="B59" s="46">
        <v>15</v>
      </c>
    </row>
    <row r="61" spans="1:2" ht="15.75" thickBot="1" x14ac:dyDescent="0.3"/>
    <row r="62" spans="1:2" ht="49.5" customHeight="1" thickBot="1" x14ac:dyDescent="0.3">
      <c r="A62" s="100" t="s">
        <v>37</v>
      </c>
      <c r="B62" s="99"/>
    </row>
    <row r="63" spans="1:2" ht="16.5" thickBot="1" x14ac:dyDescent="0.3">
      <c r="A63" s="81"/>
      <c r="B63" s="82"/>
    </row>
    <row r="64" spans="1:2" x14ac:dyDescent="0.25">
      <c r="A64" s="38" t="s">
        <v>39</v>
      </c>
      <c r="B64" s="37">
        <v>0</v>
      </c>
    </row>
    <row r="65" spans="1:4" x14ac:dyDescent="0.25">
      <c r="A65" s="43" t="s">
        <v>42</v>
      </c>
      <c r="B65" s="42">
        <v>0.1</v>
      </c>
      <c r="C65" s="44"/>
    </row>
    <row r="66" spans="1:4" ht="22.5" x14ac:dyDescent="0.25">
      <c r="A66" s="43" t="s">
        <v>45</v>
      </c>
      <c r="B66" s="42">
        <v>0.5</v>
      </c>
      <c r="C66" s="44"/>
    </row>
    <row r="67" spans="1:4" x14ac:dyDescent="0.25">
      <c r="A67" s="43" t="s">
        <v>48</v>
      </c>
      <c r="B67" s="42">
        <v>1</v>
      </c>
      <c r="C67" s="44"/>
    </row>
    <row r="68" spans="1:4" x14ac:dyDescent="0.25">
      <c r="A68" s="43" t="s">
        <v>51</v>
      </c>
      <c r="B68" s="42">
        <v>2</v>
      </c>
      <c r="C68" s="44"/>
    </row>
    <row r="69" spans="1:4" ht="22.5" x14ac:dyDescent="0.25">
      <c r="A69" s="43" t="s">
        <v>54</v>
      </c>
      <c r="B69" s="42">
        <v>5</v>
      </c>
      <c r="C69" s="44"/>
    </row>
    <row r="70" spans="1:4" x14ac:dyDescent="0.25">
      <c r="A70" s="43" t="s">
        <v>57</v>
      </c>
      <c r="B70" s="42">
        <v>8</v>
      </c>
      <c r="C70" s="44"/>
    </row>
    <row r="71" spans="1:4" x14ac:dyDescent="0.25">
      <c r="A71" s="43" t="s">
        <v>60</v>
      </c>
      <c r="B71" s="42">
        <v>10</v>
      </c>
      <c r="C71" s="44"/>
    </row>
    <row r="72" spans="1:4" ht="15.75" thickBot="1" x14ac:dyDescent="0.3">
      <c r="A72" s="51" t="s">
        <v>62</v>
      </c>
      <c r="B72" s="50">
        <v>15</v>
      </c>
      <c r="C72" s="47"/>
    </row>
    <row r="73" spans="1:4" ht="15.75" thickBot="1" x14ac:dyDescent="0.3"/>
    <row r="74" spans="1:4" ht="32.25" thickBot="1" x14ac:dyDescent="0.3">
      <c r="A74" s="63" t="s">
        <v>92</v>
      </c>
      <c r="B74" s="53" t="s">
        <v>28</v>
      </c>
    </row>
    <row r="75" spans="1:4" x14ac:dyDescent="0.25">
      <c r="A75" s="66" t="s">
        <v>95</v>
      </c>
      <c r="B75" s="37" t="s">
        <v>94</v>
      </c>
      <c r="D75" t="s">
        <v>123</v>
      </c>
    </row>
    <row r="76" spans="1:4" x14ac:dyDescent="0.25">
      <c r="A76" s="70" t="s">
        <v>98</v>
      </c>
      <c r="B76" s="42" t="s">
        <v>97</v>
      </c>
      <c r="D76" t="s">
        <v>124</v>
      </c>
    </row>
    <row r="77" spans="1:4" x14ac:dyDescent="0.25">
      <c r="A77" s="70" t="s">
        <v>101</v>
      </c>
      <c r="B77" s="42" t="s">
        <v>100</v>
      </c>
      <c r="D77" t="s">
        <v>125</v>
      </c>
    </row>
    <row r="78" spans="1:4" x14ac:dyDescent="0.25">
      <c r="A78" s="70" t="s">
        <v>104</v>
      </c>
      <c r="B78" s="42" t="s">
        <v>103</v>
      </c>
      <c r="D78" t="s">
        <v>126</v>
      </c>
    </row>
    <row r="79" spans="1:4" x14ac:dyDescent="0.25">
      <c r="A79" s="70" t="s">
        <v>122</v>
      </c>
      <c r="B79" s="42" t="s">
        <v>106</v>
      </c>
      <c r="D79" t="s">
        <v>127</v>
      </c>
    </row>
    <row r="80" spans="1:4" x14ac:dyDescent="0.25">
      <c r="A80" s="70" t="s">
        <v>110</v>
      </c>
      <c r="B80" s="42" t="s">
        <v>109</v>
      </c>
      <c r="D80" t="s">
        <v>128</v>
      </c>
    </row>
    <row r="81" spans="1:4" x14ac:dyDescent="0.25">
      <c r="A81" s="70" t="s">
        <v>113</v>
      </c>
      <c r="B81" s="42" t="s">
        <v>112</v>
      </c>
      <c r="D81" t="s">
        <v>129</v>
      </c>
    </row>
    <row r="82" spans="1:4" ht="15.75" thickBot="1" x14ac:dyDescent="0.3">
      <c r="A82" s="74" t="s">
        <v>116</v>
      </c>
      <c r="B82" s="50" t="s">
        <v>115</v>
      </c>
      <c r="D82" t="s">
        <v>130</v>
      </c>
    </row>
    <row r="85" spans="1:4" ht="15.75" thickBot="1" x14ac:dyDescent="0.3"/>
    <row r="86" spans="1:4" ht="32.25" thickBot="1" x14ac:dyDescent="0.3">
      <c r="A86" s="54" t="s">
        <v>93</v>
      </c>
      <c r="B86" t="s">
        <v>118</v>
      </c>
    </row>
    <row r="87" spans="1:4" x14ac:dyDescent="0.25">
      <c r="A87" s="66" t="s">
        <v>95</v>
      </c>
      <c r="B87" s="67" t="s">
        <v>131</v>
      </c>
    </row>
    <row r="88" spans="1:4" x14ac:dyDescent="0.25">
      <c r="A88" s="70" t="s">
        <v>98</v>
      </c>
      <c r="B88" s="71" t="s">
        <v>99</v>
      </c>
    </row>
    <row r="89" spans="1:4" x14ac:dyDescent="0.25">
      <c r="A89" s="70" t="s">
        <v>101</v>
      </c>
      <c r="B89" s="71" t="s">
        <v>102</v>
      </c>
    </row>
    <row r="90" spans="1:4" x14ac:dyDescent="0.25">
      <c r="A90" s="70" t="s">
        <v>104</v>
      </c>
      <c r="B90" s="71" t="s">
        <v>105</v>
      </c>
    </row>
    <row r="91" spans="1:4" x14ac:dyDescent="0.25">
      <c r="A91" s="70" t="s">
        <v>122</v>
      </c>
      <c r="B91" s="71" t="s">
        <v>108</v>
      </c>
    </row>
    <row r="92" spans="1:4" x14ac:dyDescent="0.25">
      <c r="A92" s="70" t="s">
        <v>110</v>
      </c>
      <c r="B92" s="71" t="s">
        <v>111</v>
      </c>
    </row>
    <row r="93" spans="1:4" x14ac:dyDescent="0.25">
      <c r="A93" s="70" t="s">
        <v>113</v>
      </c>
      <c r="B93" s="71" t="s">
        <v>114</v>
      </c>
    </row>
    <row r="94" spans="1:4" ht="15.75" thickBot="1" x14ac:dyDescent="0.3">
      <c r="A94" s="74" t="s">
        <v>116</v>
      </c>
      <c r="B94" s="75" t="s">
        <v>117</v>
      </c>
    </row>
    <row r="98" spans="1:1" ht="16.5" thickBot="1" x14ac:dyDescent="0.3">
      <c r="A98" s="54" t="s">
        <v>32</v>
      </c>
    </row>
    <row r="99" spans="1:1" ht="15.75" thickBot="1" x14ac:dyDescent="0.3"/>
    <row r="100" spans="1:1" ht="15.75" thickBot="1" x14ac:dyDescent="0.3">
      <c r="A100" s="66" t="s">
        <v>132</v>
      </c>
    </row>
    <row r="101" spans="1:1" x14ac:dyDescent="0.25">
      <c r="A101" s="66" t="s">
        <v>133</v>
      </c>
    </row>
  </sheetData>
  <mergeCells count="6">
    <mergeCell ref="M17:O17"/>
    <mergeCell ref="J17:K17"/>
    <mergeCell ref="D2:E2"/>
    <mergeCell ref="G2:H3"/>
    <mergeCell ref="J2:K2"/>
    <mergeCell ref="M2:O2"/>
  </mergeCells>
  <phoneticPr fontId="2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06DB1-B4DC-4F8D-8F3C-838B971D5598}">
  <dimension ref="B1:AR15"/>
  <sheetViews>
    <sheetView showGridLines="0" tabSelected="1" topLeftCell="S1" zoomScale="70" zoomScaleNormal="70" zoomScaleSheetLayoutView="70" workbookViewId="0">
      <selection activeCell="AR7" sqref="AR7"/>
    </sheetView>
  </sheetViews>
  <sheetFormatPr defaultColWidth="11.42578125" defaultRowHeight="92.25" customHeight="1" x14ac:dyDescent="0.25"/>
  <cols>
    <col min="1" max="1" width="3.7109375" customWidth="1"/>
    <col min="2" max="2" width="11.85546875" style="9" bestFit="1" customWidth="1"/>
    <col min="3" max="3" width="13.5703125" style="9" customWidth="1"/>
    <col min="4" max="5" width="17.42578125" style="9" customWidth="1"/>
    <col min="6" max="6" width="26.42578125" style="9" customWidth="1"/>
    <col min="7" max="7" width="33.28515625" style="9" customWidth="1"/>
    <col min="8" max="8" width="23.7109375" style="9" customWidth="1"/>
    <col min="9" max="9" width="15.85546875" style="23" customWidth="1"/>
    <col min="10" max="10" width="29.140625" style="11" customWidth="1"/>
    <col min="11" max="11" width="23.42578125" style="9" customWidth="1"/>
    <col min="12" max="12" width="24.140625" style="9" customWidth="1"/>
    <col min="13" max="13" width="20" style="9" customWidth="1"/>
    <col min="14" max="14" width="8.85546875" style="9" customWidth="1"/>
    <col min="15" max="15" width="20" style="7" customWidth="1"/>
    <col min="16" max="16" width="8.85546875" style="7" customWidth="1"/>
    <col min="17" max="17" width="20" style="7" customWidth="1"/>
    <col min="18" max="18" width="8.85546875" style="7" customWidth="1"/>
    <col min="19" max="19" width="20" style="7" customWidth="1"/>
    <col min="20" max="21" width="8.85546875" style="7" customWidth="1"/>
    <col min="22" max="22" width="20.5703125" style="7" customWidth="1"/>
    <col min="23" max="23" width="18.5703125" style="7" customWidth="1"/>
    <col min="24" max="24" width="51.28515625" style="7" customWidth="1"/>
    <col min="25" max="25" width="20.140625" style="7" customWidth="1"/>
    <col min="26" max="26" width="18.140625" style="7" customWidth="1"/>
    <col min="27" max="29" width="12.42578125" style="7" customWidth="1"/>
    <col min="30" max="30" width="22.28515625" style="7" customWidth="1"/>
    <col min="31" max="31" width="23.140625" style="9" customWidth="1"/>
    <col min="32" max="32" width="20" style="9" customWidth="1"/>
    <col min="33" max="33" width="8.85546875" style="9" customWidth="1"/>
    <col min="34" max="34" width="20" style="11" customWidth="1"/>
    <col min="35" max="35" width="8.85546875" style="11" customWidth="1"/>
    <col min="36" max="36" width="20" style="11" customWidth="1"/>
    <col min="37" max="37" width="8.85546875" style="11" customWidth="1"/>
    <col min="38" max="38" width="20" style="11" customWidth="1"/>
    <col min="39" max="40" width="8.85546875" style="11" customWidth="1"/>
    <col min="41" max="41" width="20.5703125" style="11" customWidth="1"/>
    <col min="42" max="42" width="16.28515625" style="11" bestFit="1" customWidth="1"/>
    <col min="43" max="43" width="27.7109375" style="11" bestFit="1" customWidth="1"/>
  </cols>
  <sheetData>
    <row r="1" spans="2:44" ht="28.15" customHeight="1" x14ac:dyDescent="0.25">
      <c r="B1"/>
      <c r="C1" s="190" t="s">
        <v>7</v>
      </c>
      <c r="D1" s="190"/>
      <c r="E1" s="190"/>
      <c r="F1" s="190"/>
      <c r="G1" s="190"/>
      <c r="H1" s="190"/>
      <c r="I1" s="190"/>
      <c r="J1" s="190"/>
      <c r="K1" s="190"/>
      <c r="L1" s="190"/>
      <c r="M1" s="190"/>
      <c r="N1" s="190"/>
      <c r="O1" s="190"/>
      <c r="P1" s="190"/>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
      <c r="AQ1"/>
    </row>
    <row r="2" spans="2:44" ht="32.25" customHeight="1" x14ac:dyDescent="0.25">
      <c r="B2"/>
      <c r="C2" s="109" t="s">
        <v>135</v>
      </c>
      <c r="D2" s="108"/>
      <c r="E2" s="108"/>
      <c r="F2" s="108"/>
      <c r="G2" s="108"/>
      <c r="H2" s="107" t="s">
        <v>136</v>
      </c>
      <c r="I2" s="108"/>
      <c r="J2" s="108"/>
      <c r="K2" s="108"/>
      <c r="L2" s="108"/>
      <c r="M2" s="108"/>
      <c r="N2" s="108"/>
      <c r="O2" s="107"/>
      <c r="P2" s="107"/>
      <c r="Q2" s="107"/>
      <c r="R2" s="107"/>
      <c r="S2" s="107"/>
      <c r="T2" s="107"/>
      <c r="U2" s="107"/>
      <c r="V2" s="107"/>
      <c r="W2" s="107"/>
      <c r="X2" s="107"/>
      <c r="Y2" s="107"/>
      <c r="Z2" s="107"/>
      <c r="AA2" s="107"/>
      <c r="AB2" s="107"/>
      <c r="AC2" s="107"/>
      <c r="AD2" s="107"/>
      <c r="AE2" s="107"/>
      <c r="AF2" s="107"/>
      <c r="AG2" s="107"/>
      <c r="AH2" s="107"/>
      <c r="AI2" s="107"/>
      <c r="AJ2" s="107"/>
      <c r="AK2" s="107"/>
      <c r="AL2" s="109" t="s">
        <v>137</v>
      </c>
      <c r="AM2" s="110"/>
      <c r="AN2" s="108"/>
      <c r="AO2" s="108"/>
      <c r="AP2" s="108"/>
      <c r="AQ2"/>
    </row>
    <row r="3" spans="2:44" ht="36.75" customHeight="1" thickBot="1" x14ac:dyDescent="0.4">
      <c r="B3"/>
      <c r="C3" s="192"/>
      <c r="D3" s="192"/>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92"/>
      <c r="AQ3"/>
    </row>
    <row r="4" spans="2:44" ht="30.6" customHeight="1" thickBot="1" x14ac:dyDescent="0.4">
      <c r="B4" s="193" t="s">
        <v>138</v>
      </c>
      <c r="C4" s="194"/>
      <c r="D4" s="194"/>
      <c r="E4" s="194"/>
      <c r="F4" s="194"/>
      <c r="G4" s="194"/>
      <c r="H4" s="194"/>
      <c r="I4" s="194"/>
      <c r="J4" s="195"/>
      <c r="K4" s="196" t="s">
        <v>8</v>
      </c>
      <c r="L4" s="197"/>
      <c r="M4" s="198" t="s">
        <v>9</v>
      </c>
      <c r="N4" s="199"/>
      <c r="O4" s="199"/>
      <c r="P4" s="199"/>
      <c r="Q4" s="199"/>
      <c r="R4" s="199"/>
      <c r="S4" s="199"/>
      <c r="T4" s="199"/>
      <c r="U4" s="199"/>
      <c r="V4" s="218"/>
      <c r="W4" s="219" t="s">
        <v>151</v>
      </c>
      <c r="X4" s="221" t="s">
        <v>164</v>
      </c>
      <c r="Y4" s="200"/>
      <c r="Z4" s="200"/>
      <c r="AA4" s="200"/>
      <c r="AB4" s="200"/>
      <c r="AC4" s="201"/>
      <c r="AD4" s="202" t="s">
        <v>11</v>
      </c>
      <c r="AE4" s="203"/>
      <c r="AF4" s="204" t="s">
        <v>12</v>
      </c>
      <c r="AG4" s="205"/>
      <c r="AH4" s="205"/>
      <c r="AI4" s="205"/>
      <c r="AJ4" s="205"/>
      <c r="AK4" s="205"/>
      <c r="AL4" s="205"/>
      <c r="AM4" s="205"/>
      <c r="AN4" s="205"/>
      <c r="AO4" s="206"/>
      <c r="AP4" s="93" t="s">
        <v>119</v>
      </c>
      <c r="AQ4" s="12" t="s">
        <v>13</v>
      </c>
    </row>
    <row r="5" spans="2:44" s="20" customFormat="1" ht="38.25" customHeight="1" thickBot="1" x14ac:dyDescent="0.3">
      <c r="B5" s="13" t="s">
        <v>14</v>
      </c>
      <c r="C5" s="13" t="s">
        <v>15</v>
      </c>
      <c r="D5" s="14" t="s">
        <v>16</v>
      </c>
      <c r="E5" s="14" t="s">
        <v>17</v>
      </c>
      <c r="F5" s="14" t="s">
        <v>150</v>
      </c>
      <c r="G5" s="14" t="s">
        <v>18</v>
      </c>
      <c r="H5" s="16" t="s">
        <v>19</v>
      </c>
      <c r="I5" s="15" t="s">
        <v>20</v>
      </c>
      <c r="J5" s="15" t="s">
        <v>21</v>
      </c>
      <c r="K5" s="17" t="s">
        <v>22</v>
      </c>
      <c r="L5" s="17" t="s">
        <v>23</v>
      </c>
      <c r="M5" s="15" t="s">
        <v>24</v>
      </c>
      <c r="N5" s="15" t="s">
        <v>118</v>
      </c>
      <c r="O5" s="15" t="s">
        <v>25</v>
      </c>
      <c r="P5" s="15" t="s">
        <v>118</v>
      </c>
      <c r="Q5" s="15" t="s">
        <v>26</v>
      </c>
      <c r="R5" s="15" t="s">
        <v>118</v>
      </c>
      <c r="S5" s="15" t="s">
        <v>27</v>
      </c>
      <c r="T5" s="15" t="s">
        <v>118</v>
      </c>
      <c r="U5" s="15" t="s">
        <v>28</v>
      </c>
      <c r="V5" s="15" t="s">
        <v>29</v>
      </c>
      <c r="W5" s="220"/>
      <c r="X5" s="15" t="s">
        <v>30</v>
      </c>
      <c r="Y5" s="15" t="s">
        <v>31</v>
      </c>
      <c r="Z5" s="15" t="s">
        <v>153</v>
      </c>
      <c r="AA5" s="15" t="s">
        <v>33</v>
      </c>
      <c r="AB5" s="15" t="s">
        <v>165</v>
      </c>
      <c r="AC5" s="15" t="s">
        <v>32</v>
      </c>
      <c r="AD5" s="17" t="s">
        <v>22</v>
      </c>
      <c r="AE5" s="17" t="s">
        <v>23</v>
      </c>
      <c r="AF5" s="15" t="s">
        <v>24</v>
      </c>
      <c r="AG5" s="15" t="s">
        <v>118</v>
      </c>
      <c r="AH5" s="15" t="s">
        <v>25</v>
      </c>
      <c r="AI5" s="15" t="s">
        <v>118</v>
      </c>
      <c r="AJ5" s="15" t="s">
        <v>26</v>
      </c>
      <c r="AK5" s="15" t="s">
        <v>118</v>
      </c>
      <c r="AL5" s="15" t="s">
        <v>27</v>
      </c>
      <c r="AM5" s="15" t="s">
        <v>118</v>
      </c>
      <c r="AN5" s="15" t="s">
        <v>28</v>
      </c>
      <c r="AO5" s="15" t="s">
        <v>29</v>
      </c>
      <c r="AP5" s="94" t="s">
        <v>134</v>
      </c>
      <c r="AQ5" s="18" t="s">
        <v>35</v>
      </c>
      <c r="AR5" s="19"/>
    </row>
    <row r="6" spans="2:44" s="123" customFormat="1" ht="92.25" customHeight="1" x14ac:dyDescent="0.25">
      <c r="B6" s="117"/>
      <c r="C6" s="118"/>
      <c r="D6" s="119"/>
      <c r="E6" s="119"/>
      <c r="F6" s="119"/>
      <c r="G6" s="119"/>
      <c r="H6" s="120"/>
      <c r="I6" s="121"/>
      <c r="J6" s="122"/>
      <c r="K6" s="84"/>
      <c r="L6" s="84"/>
      <c r="M6" s="84"/>
      <c r="N6" s="84"/>
      <c r="O6" s="84"/>
      <c r="P6" s="84"/>
      <c r="Q6" s="84"/>
      <c r="R6" s="121"/>
      <c r="S6" s="84"/>
      <c r="T6" s="84"/>
      <c r="U6" s="84"/>
      <c r="V6" s="84"/>
      <c r="W6" s="84"/>
      <c r="X6" s="84"/>
      <c r="Y6" s="84"/>
      <c r="Z6" s="84"/>
      <c r="AA6" s="84"/>
      <c r="AB6" s="84"/>
      <c r="AC6" s="84"/>
      <c r="AD6" s="84"/>
      <c r="AE6" s="84"/>
      <c r="AF6" s="84"/>
      <c r="AG6" s="84"/>
      <c r="AH6" s="84"/>
      <c r="AI6" s="84"/>
      <c r="AJ6" s="84"/>
      <c r="AK6" s="121"/>
      <c r="AL6" s="84"/>
      <c r="AM6" s="84"/>
      <c r="AN6" s="84"/>
      <c r="AO6" s="84"/>
      <c r="AP6" s="84"/>
      <c r="AQ6" s="84"/>
    </row>
    <row r="7" spans="2:44" s="21" customFormat="1" ht="92.25" customHeight="1" x14ac:dyDescent="0.25">
      <c r="B7" s="102"/>
      <c r="C7" s="115"/>
      <c r="D7" s="103"/>
      <c r="E7" s="103"/>
      <c r="F7" s="103"/>
      <c r="G7" s="103"/>
      <c r="H7" s="105"/>
      <c r="I7" s="24"/>
      <c r="J7" s="106"/>
      <c r="K7" s="104"/>
      <c r="L7" s="104"/>
      <c r="M7" s="84"/>
      <c r="N7" s="84"/>
      <c r="O7" s="84"/>
      <c r="P7" s="84"/>
      <c r="Q7" s="85"/>
      <c r="R7" s="25"/>
      <c r="S7" s="85"/>
      <c r="T7" s="85"/>
      <c r="U7" s="84"/>
      <c r="V7" s="84"/>
      <c r="W7" s="84"/>
      <c r="X7" s="84"/>
      <c r="Y7" s="84"/>
      <c r="Z7" s="84"/>
      <c r="AA7" s="84"/>
      <c r="AB7" s="84"/>
      <c r="AC7" s="84"/>
      <c r="AD7" s="104"/>
      <c r="AE7" s="104"/>
      <c r="AF7" s="84"/>
      <c r="AG7" s="84"/>
      <c r="AH7" s="84"/>
      <c r="AI7" s="84"/>
      <c r="AJ7" s="85"/>
      <c r="AK7" s="25"/>
      <c r="AL7" s="85"/>
      <c r="AM7" s="85"/>
      <c r="AN7" s="84"/>
      <c r="AO7" s="84"/>
      <c r="AP7" s="85"/>
      <c r="AQ7" s="85"/>
    </row>
    <row r="8" spans="2:44" s="21" customFormat="1" ht="92.25" customHeight="1" x14ac:dyDescent="0.25">
      <c r="B8" s="22"/>
      <c r="C8" s="116"/>
      <c r="D8" s="95"/>
      <c r="E8" s="95"/>
      <c r="F8" s="95"/>
      <c r="G8" s="95"/>
      <c r="H8" s="24"/>
      <c r="I8" s="23"/>
      <c r="J8" s="24"/>
      <c r="K8" s="25"/>
      <c r="L8" s="25"/>
      <c r="M8" s="26"/>
      <c r="N8" s="26"/>
      <c r="O8" s="26"/>
      <c r="P8" s="26"/>
      <c r="Q8" s="26"/>
      <c r="R8" s="26"/>
      <c r="S8" s="26"/>
      <c r="T8" s="26"/>
      <c r="U8" s="101"/>
      <c r="V8" s="28"/>
      <c r="W8" s="27"/>
      <c r="X8" s="28"/>
      <c r="Y8" s="28"/>
      <c r="Z8" s="28"/>
      <c r="AA8" s="28"/>
      <c r="AB8" s="28"/>
      <c r="AC8" s="28"/>
      <c r="AD8" s="29"/>
      <c r="AE8" s="29"/>
      <c r="AF8" s="29"/>
      <c r="AG8" s="29"/>
      <c r="AH8" s="29"/>
      <c r="AI8" s="29"/>
      <c r="AJ8" s="29"/>
      <c r="AK8" s="29"/>
      <c r="AL8" s="29"/>
      <c r="AM8" s="29"/>
      <c r="AN8" s="30"/>
      <c r="AO8" s="29"/>
      <c r="AP8" s="29"/>
      <c r="AQ8" s="29"/>
    </row>
    <row r="9" spans="2:44" s="21" customFormat="1" ht="92.25" customHeight="1" x14ac:dyDescent="0.25">
      <c r="B9" s="22"/>
      <c r="C9" s="116"/>
      <c r="D9" s="95"/>
      <c r="E9" s="95"/>
      <c r="F9" s="95"/>
      <c r="G9" s="95"/>
      <c r="H9" s="24"/>
      <c r="I9" s="23"/>
      <c r="J9" s="24"/>
      <c r="K9" s="25"/>
      <c r="L9" s="25"/>
      <c r="M9" s="26"/>
      <c r="N9" s="26"/>
      <c r="O9" s="26"/>
      <c r="P9" s="26"/>
      <c r="Q9" s="26"/>
      <c r="R9" s="26"/>
      <c r="S9" s="26"/>
      <c r="T9" s="26"/>
      <c r="U9" s="27"/>
      <c r="V9" s="28"/>
      <c r="W9" s="27"/>
      <c r="X9" s="28"/>
      <c r="Y9" s="28"/>
      <c r="Z9" s="28"/>
      <c r="AA9" s="28"/>
      <c r="AB9" s="28"/>
      <c r="AC9" s="28"/>
      <c r="AD9" s="29"/>
      <c r="AE9" s="29"/>
      <c r="AF9" s="29"/>
      <c r="AG9" s="29"/>
      <c r="AH9" s="29"/>
      <c r="AI9" s="29"/>
      <c r="AJ9" s="29"/>
      <c r="AK9" s="29"/>
      <c r="AL9" s="29"/>
      <c r="AM9" s="29"/>
      <c r="AN9" s="30"/>
      <c r="AO9" s="29"/>
      <c r="AP9" s="29"/>
      <c r="AQ9" s="29"/>
    </row>
    <row r="10" spans="2:44" s="21" customFormat="1" ht="92.25" customHeight="1" x14ac:dyDescent="0.25">
      <c r="B10" s="31"/>
      <c r="C10" s="29"/>
      <c r="D10" s="31"/>
      <c r="E10" s="31"/>
      <c r="F10" s="31"/>
      <c r="G10" s="31"/>
      <c r="H10" s="32"/>
      <c r="I10" s="23"/>
      <c r="J10" s="32"/>
      <c r="K10" s="32"/>
      <c r="L10" s="32"/>
      <c r="M10" s="26"/>
      <c r="N10" s="26"/>
      <c r="O10" s="26"/>
      <c r="P10" s="26"/>
      <c r="Q10" s="26"/>
      <c r="R10" s="26"/>
      <c r="S10" s="26"/>
      <c r="T10" s="26"/>
      <c r="U10" s="27"/>
      <c r="V10" s="30"/>
      <c r="W10" s="27"/>
      <c r="X10" s="30"/>
      <c r="Y10" s="30"/>
      <c r="Z10" s="30"/>
      <c r="AA10" s="30"/>
      <c r="AB10" s="30"/>
      <c r="AC10" s="30"/>
      <c r="AD10" s="25"/>
      <c r="AE10" s="29"/>
      <c r="AF10" s="29"/>
      <c r="AG10" s="29"/>
      <c r="AH10" s="29"/>
      <c r="AI10" s="29"/>
      <c r="AJ10" s="29"/>
      <c r="AK10" s="29"/>
      <c r="AL10" s="29"/>
      <c r="AM10" s="29"/>
      <c r="AN10" s="33"/>
      <c r="AO10" s="29"/>
      <c r="AP10" s="29"/>
      <c r="AQ10" s="29"/>
    </row>
    <row r="11" spans="2:44" s="21" customFormat="1" ht="92.25" customHeight="1" x14ac:dyDescent="0.25">
      <c r="B11" s="31"/>
      <c r="C11" s="29"/>
      <c r="D11" s="31"/>
      <c r="E11" s="31"/>
      <c r="F11" s="31"/>
      <c r="G11" s="31"/>
      <c r="H11" s="32"/>
      <c r="I11" s="23"/>
      <c r="J11" s="32"/>
      <c r="K11" s="32"/>
      <c r="L11" s="32"/>
      <c r="M11" s="34"/>
      <c r="N11" s="34"/>
      <c r="O11" s="26"/>
      <c r="P11" s="26"/>
      <c r="Q11" s="26"/>
      <c r="R11" s="26"/>
      <c r="S11" s="26"/>
      <c r="T11" s="26"/>
      <c r="U11" s="27"/>
      <c r="V11" s="30"/>
      <c r="W11" s="27"/>
      <c r="X11" s="30"/>
      <c r="Y11" s="30"/>
      <c r="Z11" s="30"/>
      <c r="AA11" s="30"/>
      <c r="AB11" s="30"/>
      <c r="AC11" s="30"/>
      <c r="AD11" s="29"/>
      <c r="AE11" s="29"/>
      <c r="AF11" s="29"/>
      <c r="AG11" s="29"/>
      <c r="AH11" s="29"/>
      <c r="AI11" s="29"/>
      <c r="AJ11" s="29"/>
      <c r="AK11" s="29"/>
      <c r="AL11" s="29"/>
      <c r="AM11" s="29"/>
      <c r="AN11" s="30"/>
      <c r="AO11" s="29"/>
      <c r="AP11" s="29"/>
      <c r="AQ11" s="29"/>
    </row>
    <row r="12" spans="2:44" s="21" customFormat="1" ht="92.25" customHeight="1" x14ac:dyDescent="0.25">
      <c r="B12" s="31"/>
      <c r="C12" s="29"/>
      <c r="D12" s="31"/>
      <c r="E12" s="31"/>
      <c r="F12" s="31"/>
      <c r="G12" s="31"/>
      <c r="H12" s="32"/>
      <c r="I12" s="23"/>
      <c r="J12" s="32"/>
      <c r="K12" s="32"/>
      <c r="L12" s="32"/>
      <c r="M12" s="26"/>
      <c r="N12" s="26"/>
      <c r="O12" s="26"/>
      <c r="P12" s="26"/>
      <c r="Q12" s="26"/>
      <c r="R12" s="26"/>
      <c r="S12" s="26"/>
      <c r="T12" s="26"/>
      <c r="U12" s="27"/>
      <c r="V12" s="30"/>
      <c r="W12" s="27"/>
      <c r="X12" s="30"/>
      <c r="Y12" s="30"/>
      <c r="Z12" s="30"/>
      <c r="AA12" s="30"/>
      <c r="AB12" s="30"/>
      <c r="AC12" s="30"/>
      <c r="AD12" s="26"/>
      <c r="AE12" s="29"/>
      <c r="AF12" s="26"/>
      <c r="AG12" s="26"/>
      <c r="AH12" s="26"/>
      <c r="AI12" s="26"/>
      <c r="AJ12" s="26"/>
      <c r="AK12" s="26"/>
      <c r="AL12" s="26"/>
      <c r="AM12" s="26"/>
      <c r="AN12" s="30"/>
      <c r="AO12" s="29"/>
      <c r="AP12" s="29"/>
      <c r="AQ12" s="29"/>
    </row>
    <row r="13" spans="2:44" s="21" customFormat="1" ht="92.25" customHeight="1" x14ac:dyDescent="0.25">
      <c r="B13" s="31"/>
      <c r="C13" s="29"/>
      <c r="D13" s="31"/>
      <c r="E13" s="31"/>
      <c r="F13" s="31"/>
      <c r="G13" s="31"/>
      <c r="H13" s="35"/>
      <c r="I13" s="23"/>
      <c r="J13" s="32"/>
      <c r="K13" s="32"/>
      <c r="L13" s="32"/>
      <c r="M13" s="26"/>
      <c r="N13" s="26"/>
      <c r="O13" s="26"/>
      <c r="P13" s="26"/>
      <c r="Q13" s="26"/>
      <c r="R13" s="26"/>
      <c r="S13" s="26"/>
      <c r="T13" s="26"/>
      <c r="U13" s="27"/>
      <c r="V13" s="30"/>
      <c r="W13" s="27"/>
      <c r="X13" s="30"/>
      <c r="Y13" s="30"/>
      <c r="Z13" s="30"/>
      <c r="AA13" s="30"/>
      <c r="AB13" s="30"/>
      <c r="AC13" s="30"/>
      <c r="AD13" s="29"/>
      <c r="AE13" s="29"/>
      <c r="AF13" s="29"/>
      <c r="AG13" s="29"/>
      <c r="AH13" s="29"/>
      <c r="AI13" s="29"/>
      <c r="AJ13" s="29"/>
      <c r="AK13" s="29"/>
      <c r="AL13" s="29"/>
      <c r="AM13" s="29"/>
      <c r="AN13" s="30"/>
      <c r="AO13" s="29"/>
      <c r="AP13" s="29"/>
      <c r="AQ13" s="29"/>
    </row>
    <row r="14" spans="2:44" s="21" customFormat="1" ht="92.25" customHeight="1" x14ac:dyDescent="0.25">
      <c r="B14" s="31"/>
      <c r="C14" s="29"/>
      <c r="D14" s="31"/>
      <c r="E14" s="31"/>
      <c r="F14" s="31"/>
      <c r="G14" s="31"/>
      <c r="H14" s="35"/>
      <c r="I14" s="23"/>
      <c r="J14" s="32"/>
      <c r="K14" s="32"/>
      <c r="L14" s="32"/>
      <c r="M14" s="26"/>
      <c r="N14" s="26"/>
      <c r="O14" s="26"/>
      <c r="P14" s="26"/>
      <c r="Q14" s="26"/>
      <c r="R14" s="26"/>
      <c r="S14" s="26"/>
      <c r="T14" s="26"/>
      <c r="U14" s="27"/>
      <c r="V14" s="30"/>
      <c r="W14" s="27"/>
      <c r="X14" s="30"/>
      <c r="Y14" s="30"/>
      <c r="Z14" s="30"/>
      <c r="AA14" s="30"/>
      <c r="AB14" s="30"/>
      <c r="AC14" s="30"/>
      <c r="AD14" s="26"/>
      <c r="AE14" s="29"/>
      <c r="AF14" s="29"/>
      <c r="AG14" s="29"/>
      <c r="AH14" s="29"/>
      <c r="AI14" s="29"/>
      <c r="AJ14" s="29"/>
      <c r="AK14" s="29"/>
      <c r="AL14" s="29"/>
      <c r="AM14" s="29"/>
      <c r="AN14" s="27"/>
      <c r="AO14" s="29"/>
      <c r="AP14" s="29"/>
      <c r="AQ14" s="29"/>
    </row>
    <row r="15" spans="2:44" s="21" customFormat="1" ht="92.25" customHeight="1" x14ac:dyDescent="0.25">
      <c r="B15" s="31"/>
      <c r="C15" s="29"/>
      <c r="D15" s="31"/>
      <c r="E15" s="31"/>
      <c r="F15" s="31"/>
      <c r="G15" s="31"/>
      <c r="H15" s="32"/>
      <c r="I15" s="23"/>
      <c r="J15" s="32"/>
      <c r="K15" s="32"/>
      <c r="L15" s="32"/>
      <c r="M15" s="26"/>
      <c r="N15" s="26"/>
      <c r="O15" s="26"/>
      <c r="P15" s="26"/>
      <c r="Q15" s="26"/>
      <c r="R15" s="26"/>
      <c r="S15" s="26"/>
      <c r="T15" s="26"/>
      <c r="U15" s="27"/>
      <c r="V15" s="30"/>
      <c r="W15" s="27"/>
      <c r="X15" s="30"/>
      <c r="Y15" s="30"/>
      <c r="Z15" s="30"/>
      <c r="AA15" s="30"/>
      <c r="AB15" s="30"/>
      <c r="AC15" s="30"/>
      <c r="AD15" s="29"/>
      <c r="AE15" s="29"/>
      <c r="AF15" s="29"/>
      <c r="AG15" s="29"/>
      <c r="AH15" s="29"/>
      <c r="AI15" s="29"/>
      <c r="AJ15" s="29"/>
      <c r="AK15" s="29"/>
      <c r="AL15" s="29"/>
      <c r="AM15" s="29"/>
      <c r="AN15" s="30"/>
      <c r="AO15" s="29"/>
      <c r="AP15" s="29"/>
      <c r="AQ15" s="29"/>
    </row>
  </sheetData>
  <scenarios current="0" show="0">
    <scenario name="tipo de evento" locked="1" count="1" user="luis.vincent" comment="Creado por luis.vincent el 03/09/2014_x000a_Modificado por luis.vincent el 03/09/2014">
      <inputCells r="I6" val="prueba2"/>
    </scenario>
  </scenarios>
  <dataConsolidate function="product">
    <dataRefs count="1">
      <dataRef ref="Q5:T5" sheet="HRN Tareas" r:id="rId1"/>
    </dataRefs>
  </dataConsolidate>
  <mergeCells count="9">
    <mergeCell ref="C1:AO1"/>
    <mergeCell ref="C3:D3"/>
    <mergeCell ref="B4:J4"/>
    <mergeCell ref="K4:L4"/>
    <mergeCell ref="M4:V4"/>
    <mergeCell ref="W4:W5"/>
    <mergeCell ref="X4:AC4"/>
    <mergeCell ref="AD4:AE4"/>
    <mergeCell ref="AF4:AO4"/>
  </mergeCells>
  <pageMargins left="0.27559055118110198" right="0.15748031496063" top="0.17" bottom="0.19" header="0.17" footer="0.19"/>
  <pageSetup scale="50" pageOrder="overThenDown" orientation="landscape" r:id="rId2"/>
  <drawing r:id="rId3"/>
  <extLst>
    <ext xmlns:x14="http://schemas.microsoft.com/office/spreadsheetml/2009/9/main" uri="{CCE6A557-97BC-4b89-ADB6-D9C93CAAB3DF}">
      <x14:dataValidations xmlns:xm="http://schemas.microsoft.com/office/excel/2006/main" count="7">
        <x14:dataValidation type="list" allowBlank="1" showInputMessage="1" showErrorMessage="1" xr:uid="{55115BE2-E29C-42E7-8BDA-F2916F21F9B6}">
          <x14:formula1>
            <xm:f>Tablas!$A$99:$A$101</xm:f>
          </x14:formula1>
          <xm:sqref>AC6:AC7 Z6:Z7</xm:sqref>
        </x14:dataValidation>
        <x14:dataValidation type="list" allowBlank="1" showInputMessage="1" showErrorMessage="1" xr:uid="{C2CDD6AD-1428-488D-9811-D9DA28182A1B}">
          <x14:formula1>
            <xm:f>Tablas!$N$18:$N$27</xm:f>
          </x14:formula1>
          <xm:sqref>S6:S7 AL6:AL7</xm:sqref>
        </x14:dataValidation>
        <x14:dataValidation type="list" allowBlank="1" showInputMessage="1" showErrorMessage="1" xr:uid="{BB18FFFB-7B5B-4D83-9743-824ECED1CCC9}">
          <x14:formula1>
            <xm:f>Tablas!$K$18:$K$25</xm:f>
          </x14:formula1>
          <xm:sqref>Q6:Q7 AJ6:AJ7</xm:sqref>
        </x14:dataValidation>
        <x14:dataValidation type="list" allowBlank="1" showInputMessage="1" showErrorMessage="1" xr:uid="{9EFFEA18-A575-4013-AE2E-09F4F7D61A75}">
          <x14:formula1>
            <xm:f>Tablas!$H$18:$H$23</xm:f>
          </x14:formula1>
          <xm:sqref>O6:O7 AH6:AH7</xm:sqref>
        </x14:dataValidation>
        <x14:dataValidation type="list" allowBlank="1" showInputMessage="1" showErrorMessage="1" xr:uid="{D7AABC6C-77D7-4A75-876A-9CDA14223230}">
          <x14:formula1>
            <xm:f>Tablas!$E$18:$E$25</xm:f>
          </x14:formula1>
          <xm:sqref>M6:M7 AF6:AF7</xm:sqref>
        </x14:dataValidation>
        <x14:dataValidation type="list" allowBlank="1" showInputMessage="1" showErrorMessage="1" xr:uid="{7566E846-98D8-4B3A-9324-CB2959749CEA}">
          <x14:formula1>
            <xm:f>Tablas!#REF!</xm:f>
          </x14:formula1>
          <xm:sqref>I7:I1048576</xm:sqref>
        </x14:dataValidation>
        <x14:dataValidation type="list" allowBlank="1" showInputMessage="1" showErrorMessage="1" xr:uid="{F07DEDA1-20C0-47EA-AA04-3DEE162D499F}">
          <x14:formula1>
            <xm:f>Tablas!$B$18:$B$29</xm:f>
          </x14:formula1>
          <xm:sqref>I6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3ADF9-1868-4C5B-A9D2-93D7C9018FA9}">
  <sheetPr>
    <pageSetUpPr fitToPage="1"/>
  </sheetPr>
  <dimension ref="B1:K51"/>
  <sheetViews>
    <sheetView showGridLines="0" zoomScaleNormal="100" zoomScaleSheetLayoutView="115" workbookViewId="0">
      <selection activeCell="F41" sqref="F41"/>
    </sheetView>
  </sheetViews>
  <sheetFormatPr defaultColWidth="11.5703125" defaultRowHeight="12.75" x14ac:dyDescent="0.2"/>
  <cols>
    <col min="1" max="1" width="2.7109375" style="36" customWidth="1"/>
    <col min="2" max="2" width="6.7109375" style="36" customWidth="1"/>
    <col min="3" max="3" width="18.5703125" style="36" customWidth="1"/>
    <col min="4" max="4" width="30.42578125" style="36" customWidth="1"/>
    <col min="5" max="5" width="4.28515625" style="36" customWidth="1"/>
    <col min="6" max="6" width="7.28515625" style="36" customWidth="1"/>
    <col min="7" max="7" width="35.28515625" style="36" customWidth="1"/>
    <col min="8" max="8" width="3.5703125" style="36" customWidth="1"/>
    <col min="9" max="9" width="11.5703125" style="36"/>
    <col min="10" max="10" width="29.28515625" style="36" customWidth="1"/>
    <col min="11" max="16384" width="11.5703125" style="36"/>
  </cols>
  <sheetData>
    <row r="1" spans="2:11" ht="20.25" x14ac:dyDescent="0.3">
      <c r="B1" s="238" t="s">
        <v>36</v>
      </c>
      <c r="C1" s="238"/>
      <c r="D1" s="238"/>
      <c r="E1" s="238"/>
      <c r="F1" s="238"/>
      <c r="G1" s="238"/>
    </row>
    <row r="2" spans="2:11" ht="4.5" customHeight="1" thickBot="1" x14ac:dyDescent="0.25"/>
    <row r="3" spans="2:11" ht="18" customHeight="1" thickBot="1" x14ac:dyDescent="0.3">
      <c r="B3" s="207" t="s">
        <v>37</v>
      </c>
      <c r="C3" s="208"/>
      <c r="D3" s="209"/>
      <c r="F3" s="212" t="s">
        <v>38</v>
      </c>
      <c r="G3" s="213"/>
      <c r="J3" s="63" t="s">
        <v>154</v>
      </c>
      <c r="K3"/>
    </row>
    <row r="4" spans="2:11" ht="15" x14ac:dyDescent="0.25">
      <c r="B4" s="37">
        <v>0</v>
      </c>
      <c r="C4" s="38" t="s">
        <v>39</v>
      </c>
      <c r="D4" s="39" t="s">
        <v>40</v>
      </c>
      <c r="F4" s="40">
        <v>0.1</v>
      </c>
      <c r="G4" s="39" t="s">
        <v>41</v>
      </c>
      <c r="H4" s="41"/>
      <c r="I4" s="41"/>
      <c r="J4" s="112"/>
      <c r="K4"/>
    </row>
    <row r="5" spans="2:11" ht="15" x14ac:dyDescent="0.25">
      <c r="B5" s="42">
        <v>0.1</v>
      </c>
      <c r="C5" s="43" t="s">
        <v>42</v>
      </c>
      <c r="D5" s="44" t="s">
        <v>43</v>
      </c>
      <c r="F5" s="45">
        <v>0.2</v>
      </c>
      <c r="G5" s="44" t="s">
        <v>44</v>
      </c>
      <c r="H5" s="41"/>
      <c r="I5" s="41"/>
      <c r="J5" s="113" t="s">
        <v>155</v>
      </c>
      <c r="K5" t="s">
        <v>161</v>
      </c>
    </row>
    <row r="6" spans="2:11" ht="15" x14ac:dyDescent="0.25">
      <c r="B6" s="42">
        <v>0.5</v>
      </c>
      <c r="C6" s="43" t="s">
        <v>45</v>
      </c>
      <c r="D6" s="44" t="s">
        <v>46</v>
      </c>
      <c r="F6" s="45">
        <v>1</v>
      </c>
      <c r="G6" s="44" t="s">
        <v>47</v>
      </c>
      <c r="H6" s="41"/>
      <c r="I6" s="41"/>
      <c r="J6" s="113" t="s">
        <v>156</v>
      </c>
      <c r="K6" t="s">
        <v>160</v>
      </c>
    </row>
    <row r="7" spans="2:11" ht="15" x14ac:dyDescent="0.25">
      <c r="B7" s="42">
        <v>1</v>
      </c>
      <c r="C7" s="43" t="s">
        <v>48</v>
      </c>
      <c r="D7" s="44" t="s">
        <v>49</v>
      </c>
      <c r="F7" s="45">
        <v>1.5</v>
      </c>
      <c r="G7" s="44" t="s">
        <v>50</v>
      </c>
      <c r="H7" s="41"/>
      <c r="I7" s="41"/>
      <c r="J7" s="113" t="s">
        <v>158</v>
      </c>
      <c r="K7" t="s">
        <v>162</v>
      </c>
    </row>
    <row r="8" spans="2:11" ht="15" x14ac:dyDescent="0.25">
      <c r="B8" s="42">
        <v>2</v>
      </c>
      <c r="C8" s="43" t="s">
        <v>51</v>
      </c>
      <c r="D8" s="44" t="s">
        <v>52</v>
      </c>
      <c r="F8" s="45">
        <v>2.5</v>
      </c>
      <c r="G8" s="44" t="s">
        <v>53</v>
      </c>
      <c r="H8" s="41"/>
      <c r="I8" s="41"/>
      <c r="J8" s="113" t="s">
        <v>159</v>
      </c>
      <c r="K8" t="s">
        <v>163</v>
      </c>
    </row>
    <row r="9" spans="2:11" ht="15.75" thickBot="1" x14ac:dyDescent="0.3">
      <c r="B9" s="42">
        <v>5</v>
      </c>
      <c r="C9" s="43" t="s">
        <v>54</v>
      </c>
      <c r="D9" s="44" t="s">
        <v>55</v>
      </c>
      <c r="F9" s="45">
        <v>4</v>
      </c>
      <c r="G9" s="44" t="s">
        <v>56</v>
      </c>
      <c r="H9" s="41"/>
      <c r="I9" s="41"/>
      <c r="J9" s="114" t="s">
        <v>157</v>
      </c>
      <c r="K9"/>
    </row>
    <row r="10" spans="2:11" ht="23.25" thickBot="1" x14ac:dyDescent="0.25">
      <c r="B10" s="42">
        <v>8</v>
      </c>
      <c r="C10" s="43" t="s">
        <v>57</v>
      </c>
      <c r="D10" s="44" t="s">
        <v>58</v>
      </c>
      <c r="F10" s="46">
        <v>5</v>
      </c>
      <c r="G10" s="47" t="s">
        <v>59</v>
      </c>
      <c r="H10" s="41"/>
      <c r="I10" s="41"/>
      <c r="J10" s="41"/>
    </row>
    <row r="11" spans="2:11" ht="22.5" x14ac:dyDescent="0.2">
      <c r="B11" s="42">
        <v>10</v>
      </c>
      <c r="C11" s="43" t="s">
        <v>60</v>
      </c>
      <c r="D11" s="44" t="s">
        <v>61</v>
      </c>
      <c r="F11" s="48"/>
      <c r="G11" s="49"/>
      <c r="H11" s="41"/>
      <c r="I11" s="41"/>
      <c r="J11" s="41"/>
    </row>
    <row r="12" spans="2:11" ht="18.75" thickBot="1" x14ac:dyDescent="0.25">
      <c r="B12" s="50">
        <v>15</v>
      </c>
      <c r="C12" s="51" t="s">
        <v>62</v>
      </c>
      <c r="D12" s="47" t="s">
        <v>63</v>
      </c>
      <c r="F12" s="49"/>
      <c r="G12" s="49"/>
      <c r="H12" s="41"/>
      <c r="I12" s="41"/>
      <c r="J12" s="41"/>
    </row>
    <row r="13" spans="2:11" ht="9.6" customHeight="1" thickBot="1" x14ac:dyDescent="0.3">
      <c r="B13" s="52"/>
      <c r="C13" s="52"/>
      <c r="D13" s="52"/>
      <c r="E13" s="52"/>
      <c r="F13" s="52"/>
      <c r="G13" s="41"/>
      <c r="H13" s="41"/>
      <c r="I13" s="41"/>
      <c r="J13" s="41"/>
    </row>
    <row r="14" spans="2:11" ht="22.15" customHeight="1" thickBot="1" x14ac:dyDescent="0.25">
      <c r="B14" s="210" t="s">
        <v>64</v>
      </c>
      <c r="C14" s="241"/>
      <c r="D14" s="211"/>
      <c r="F14" s="242" t="s">
        <v>65</v>
      </c>
      <c r="G14" s="243"/>
      <c r="H14" s="41"/>
      <c r="I14" s="41"/>
      <c r="J14" s="41"/>
    </row>
    <row r="15" spans="2:11" ht="26.25" customHeight="1" x14ac:dyDescent="0.2">
      <c r="B15" s="40">
        <v>0.1</v>
      </c>
      <c r="C15" s="239" t="s">
        <v>66</v>
      </c>
      <c r="D15" s="240"/>
      <c r="F15" s="45">
        <v>1</v>
      </c>
      <c r="G15" s="55" t="s">
        <v>67</v>
      </c>
      <c r="H15" s="41"/>
      <c r="I15" s="41"/>
      <c r="J15" s="41"/>
    </row>
    <row r="16" spans="2:11" ht="26.25" customHeight="1" x14ac:dyDescent="0.2">
      <c r="B16" s="45">
        <v>0.5</v>
      </c>
      <c r="C16" s="232" t="s">
        <v>68</v>
      </c>
      <c r="D16" s="233"/>
      <c r="F16" s="45">
        <v>2</v>
      </c>
      <c r="G16" s="55" t="s">
        <v>69</v>
      </c>
      <c r="H16" s="41"/>
      <c r="I16" s="41"/>
      <c r="J16" s="41"/>
    </row>
    <row r="17" spans="2:8" ht="26.25" customHeight="1" x14ac:dyDescent="0.2">
      <c r="B17" s="45">
        <v>1</v>
      </c>
      <c r="C17" s="232" t="s">
        <v>70</v>
      </c>
      <c r="D17" s="233"/>
      <c r="F17" s="45">
        <v>4</v>
      </c>
      <c r="G17" s="57" t="s">
        <v>71</v>
      </c>
      <c r="H17" s="41"/>
    </row>
    <row r="18" spans="2:8" ht="26.25" customHeight="1" x14ac:dyDescent="0.2">
      <c r="B18" s="45">
        <v>2</v>
      </c>
      <c r="C18" s="232" t="s">
        <v>72</v>
      </c>
      <c r="D18" s="233"/>
      <c r="F18" s="45">
        <v>8</v>
      </c>
      <c r="G18" s="56" t="s">
        <v>73</v>
      </c>
      <c r="H18" s="41"/>
    </row>
    <row r="19" spans="2:8" ht="26.25" customHeight="1" thickBot="1" x14ac:dyDescent="0.25">
      <c r="B19" s="45">
        <v>4</v>
      </c>
      <c r="C19" s="232" t="s">
        <v>74</v>
      </c>
      <c r="D19" s="233"/>
      <c r="F19" s="46">
        <v>12</v>
      </c>
      <c r="G19" s="58" t="s">
        <v>75</v>
      </c>
      <c r="H19" s="41"/>
    </row>
    <row r="20" spans="2:8" ht="26.25" customHeight="1" x14ac:dyDescent="0.2">
      <c r="B20" s="45">
        <v>8</v>
      </c>
      <c r="C20" s="232" t="s">
        <v>76</v>
      </c>
      <c r="D20" s="233"/>
      <c r="F20" s="234" t="s">
        <v>77</v>
      </c>
      <c r="G20" s="234"/>
      <c r="H20" s="41"/>
    </row>
    <row r="21" spans="2:8" ht="26.25" customHeight="1" thickBot="1" x14ac:dyDescent="0.25">
      <c r="B21" s="46">
        <v>15</v>
      </c>
      <c r="C21" s="236" t="s">
        <v>78</v>
      </c>
      <c r="D21" s="237"/>
      <c r="F21" s="235"/>
      <c r="G21" s="235"/>
      <c r="H21" s="41"/>
    </row>
    <row r="22" spans="2:8" ht="12.6" customHeight="1" x14ac:dyDescent="0.2">
      <c r="F22" s="59"/>
      <c r="G22" s="60"/>
      <c r="H22" s="41"/>
    </row>
    <row r="23" spans="2:8" x14ac:dyDescent="0.2">
      <c r="H23" s="41"/>
    </row>
    <row r="26" spans="2:8" x14ac:dyDescent="0.2">
      <c r="F26" s="182"/>
    </row>
    <row r="27" spans="2:8" ht="15.6" customHeight="1" x14ac:dyDescent="0.2"/>
    <row r="28" spans="2:8" ht="15.6" customHeight="1" x14ac:dyDescent="0.2">
      <c r="F28" s="182"/>
    </row>
    <row r="29" spans="2:8" ht="15.6" customHeight="1" x14ac:dyDescent="0.2"/>
    <row r="30" spans="2:8" ht="15.6" customHeight="1" x14ac:dyDescent="0.2">
      <c r="F30" s="183"/>
    </row>
    <row r="31" spans="2:8" ht="15.6" customHeight="1" x14ac:dyDescent="0.2"/>
    <row r="32" spans="2:8" ht="17.45" customHeight="1" x14ac:dyDescent="0.2">
      <c r="F32" s="184"/>
    </row>
    <row r="34" spans="2:7" x14ac:dyDescent="0.2">
      <c r="F34" s="185"/>
    </row>
    <row r="37" spans="2:7" x14ac:dyDescent="0.2">
      <c r="F37" s="186"/>
    </row>
    <row r="39" spans="2:7" x14ac:dyDescent="0.2">
      <c r="F39" s="187"/>
    </row>
    <row r="41" spans="2:7" x14ac:dyDescent="0.2">
      <c r="F41" s="188"/>
    </row>
    <row r="43" spans="2:7" ht="9" customHeight="1" x14ac:dyDescent="0.2"/>
    <row r="44" spans="2:7" ht="20.25" x14ac:dyDescent="0.3">
      <c r="B44" s="238" t="s">
        <v>79</v>
      </c>
      <c r="C44" s="238"/>
      <c r="D44" s="238"/>
      <c r="E44" s="238"/>
      <c r="F44" s="238"/>
      <c r="G44" s="238"/>
    </row>
    <row r="46" spans="2:7" ht="15.75" x14ac:dyDescent="0.25">
      <c r="B46" s="230" t="s">
        <v>80</v>
      </c>
      <c r="C46" s="230"/>
      <c r="D46" s="231"/>
      <c r="E46" s="224" t="s">
        <v>81</v>
      </c>
      <c r="F46" s="224"/>
      <c r="G46" s="224"/>
    </row>
    <row r="47" spans="2:7" ht="15.75" x14ac:dyDescent="0.25">
      <c r="B47" s="230" t="s">
        <v>82</v>
      </c>
      <c r="C47" s="230"/>
      <c r="D47" s="231"/>
      <c r="E47" s="224" t="s">
        <v>83</v>
      </c>
      <c r="F47" s="224"/>
      <c r="G47" s="224"/>
    </row>
    <row r="48" spans="2:7" ht="15.75" x14ac:dyDescent="0.25">
      <c r="B48" s="230" t="s">
        <v>84</v>
      </c>
      <c r="C48" s="230"/>
      <c r="D48" s="231"/>
      <c r="E48" s="224" t="s">
        <v>85</v>
      </c>
      <c r="F48" s="224"/>
      <c r="G48" s="224"/>
    </row>
    <row r="49" spans="2:7" ht="15.75" x14ac:dyDescent="0.25">
      <c r="B49" s="222" t="s">
        <v>86</v>
      </c>
      <c r="C49" s="222"/>
      <c r="D49" s="223"/>
      <c r="E49" s="224" t="s">
        <v>87</v>
      </c>
      <c r="F49" s="224"/>
      <c r="G49" s="224"/>
    </row>
    <row r="50" spans="2:7" ht="15.75" customHeight="1" x14ac:dyDescent="0.25">
      <c r="B50" s="223" t="s">
        <v>88</v>
      </c>
      <c r="C50" s="225"/>
      <c r="D50" s="226"/>
      <c r="E50" s="224" t="s">
        <v>89</v>
      </c>
      <c r="F50" s="224"/>
      <c r="G50" s="224"/>
    </row>
    <row r="51" spans="2:7" ht="15.75" x14ac:dyDescent="0.25">
      <c r="B51" s="227" t="s">
        <v>90</v>
      </c>
      <c r="C51" s="228"/>
      <c r="D51" s="229"/>
      <c r="E51" s="224"/>
      <c r="F51" s="224"/>
      <c r="G51" s="224"/>
    </row>
  </sheetData>
  <mergeCells count="25">
    <mergeCell ref="C15:D15"/>
    <mergeCell ref="B1:G1"/>
    <mergeCell ref="B3:D3"/>
    <mergeCell ref="F3:G3"/>
    <mergeCell ref="B14:D14"/>
    <mergeCell ref="F14:G14"/>
    <mergeCell ref="B48:D48"/>
    <mergeCell ref="E48:G48"/>
    <mergeCell ref="C16:D16"/>
    <mergeCell ref="C17:D17"/>
    <mergeCell ref="C18:D18"/>
    <mergeCell ref="C19:D19"/>
    <mergeCell ref="C20:D20"/>
    <mergeCell ref="F20:G21"/>
    <mergeCell ref="C21:D21"/>
    <mergeCell ref="B44:G44"/>
    <mergeCell ref="B46:D46"/>
    <mergeCell ref="E46:G46"/>
    <mergeCell ref="B47:D47"/>
    <mergeCell ref="E47:G47"/>
    <mergeCell ref="B49:D49"/>
    <mergeCell ref="E49:G49"/>
    <mergeCell ref="B50:D50"/>
    <mergeCell ref="E50:G51"/>
    <mergeCell ref="B51:D51"/>
  </mergeCells>
  <printOptions horizontalCentered="1" verticalCentered="1"/>
  <pageMargins left="0.78740157480314965" right="0.78740157480314965" top="0.98425196850393704" bottom="0.98425196850393704" header="0" footer="0"/>
  <pageSetup paperSize="9" scale="78"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556BE-E6FD-4C94-85D9-CA29FF6B1575}">
  <dimension ref="A2:H60"/>
  <sheetViews>
    <sheetView workbookViewId="0">
      <selection activeCell="C12" sqref="C12"/>
    </sheetView>
  </sheetViews>
  <sheetFormatPr defaultColWidth="9.140625" defaultRowHeight="15" x14ac:dyDescent="0.25"/>
  <cols>
    <col min="1" max="1" width="12.7109375" bestFit="1" customWidth="1"/>
    <col min="2" max="2" width="38.140625" bestFit="1" customWidth="1"/>
    <col min="3" max="3" width="20.85546875" customWidth="1"/>
    <col min="4" max="6" width="2.85546875" customWidth="1"/>
    <col min="7" max="7" width="44" bestFit="1" customWidth="1"/>
    <col min="8" max="8" width="44" customWidth="1"/>
    <col min="258" max="258" width="16.5703125" customWidth="1"/>
    <col min="259" max="259" width="40.85546875" customWidth="1"/>
    <col min="261" max="261" width="12.7109375" bestFit="1" customWidth="1"/>
    <col min="262" max="262" width="38.140625" bestFit="1" customWidth="1"/>
    <col min="263" max="263" width="2.85546875" customWidth="1"/>
    <col min="264" max="264" width="44" bestFit="1" customWidth="1"/>
    <col min="514" max="514" width="16.5703125" customWidth="1"/>
    <col min="515" max="515" width="40.85546875" customWidth="1"/>
    <col min="517" max="517" width="12.7109375" bestFit="1" customWidth="1"/>
    <col min="518" max="518" width="38.140625" bestFit="1" customWidth="1"/>
    <col min="519" max="519" width="2.85546875" customWidth="1"/>
    <col min="520" max="520" width="44" bestFit="1" customWidth="1"/>
    <col min="770" max="770" width="16.5703125" customWidth="1"/>
    <col min="771" max="771" width="40.85546875" customWidth="1"/>
    <col min="773" max="773" width="12.7109375" bestFit="1" customWidth="1"/>
    <col min="774" max="774" width="38.140625" bestFit="1" customWidth="1"/>
    <col min="775" max="775" width="2.85546875" customWidth="1"/>
    <col min="776" max="776" width="44" bestFit="1" customWidth="1"/>
    <col min="1026" max="1026" width="16.5703125" customWidth="1"/>
    <col min="1027" max="1027" width="40.85546875" customWidth="1"/>
    <col min="1029" max="1029" width="12.7109375" bestFit="1" customWidth="1"/>
    <col min="1030" max="1030" width="38.140625" bestFit="1" customWidth="1"/>
    <col min="1031" max="1031" width="2.85546875" customWidth="1"/>
    <col min="1032" max="1032" width="44" bestFit="1" customWidth="1"/>
    <col min="1282" max="1282" width="16.5703125" customWidth="1"/>
    <col min="1283" max="1283" width="40.85546875" customWidth="1"/>
    <col min="1285" max="1285" width="12.7109375" bestFit="1" customWidth="1"/>
    <col min="1286" max="1286" width="38.140625" bestFit="1" customWidth="1"/>
    <col min="1287" max="1287" width="2.85546875" customWidth="1"/>
    <col min="1288" max="1288" width="44" bestFit="1" customWidth="1"/>
    <col min="1538" max="1538" width="16.5703125" customWidth="1"/>
    <col min="1539" max="1539" width="40.85546875" customWidth="1"/>
    <col min="1541" max="1541" width="12.7109375" bestFit="1" customWidth="1"/>
    <col min="1542" max="1542" width="38.140625" bestFit="1" customWidth="1"/>
    <col min="1543" max="1543" width="2.85546875" customWidth="1"/>
    <col min="1544" max="1544" width="44" bestFit="1" customWidth="1"/>
    <col min="1794" max="1794" width="16.5703125" customWidth="1"/>
    <col min="1795" max="1795" width="40.85546875" customWidth="1"/>
    <col min="1797" max="1797" width="12.7109375" bestFit="1" customWidth="1"/>
    <col min="1798" max="1798" width="38.140625" bestFit="1" customWidth="1"/>
    <col min="1799" max="1799" width="2.85546875" customWidth="1"/>
    <col min="1800" max="1800" width="44" bestFit="1" customWidth="1"/>
    <col min="2050" max="2050" width="16.5703125" customWidth="1"/>
    <col min="2051" max="2051" width="40.85546875" customWidth="1"/>
    <col min="2053" max="2053" width="12.7109375" bestFit="1" customWidth="1"/>
    <col min="2054" max="2054" width="38.140625" bestFit="1" customWidth="1"/>
    <col min="2055" max="2055" width="2.85546875" customWidth="1"/>
    <col min="2056" max="2056" width="44" bestFit="1" customWidth="1"/>
    <col min="2306" max="2306" width="16.5703125" customWidth="1"/>
    <col min="2307" max="2307" width="40.85546875" customWidth="1"/>
    <col min="2309" max="2309" width="12.7109375" bestFit="1" customWidth="1"/>
    <col min="2310" max="2310" width="38.140625" bestFit="1" customWidth="1"/>
    <col min="2311" max="2311" width="2.85546875" customWidth="1"/>
    <col min="2312" max="2312" width="44" bestFit="1" customWidth="1"/>
    <col min="2562" max="2562" width="16.5703125" customWidth="1"/>
    <col min="2563" max="2563" width="40.85546875" customWidth="1"/>
    <col min="2565" max="2565" width="12.7109375" bestFit="1" customWidth="1"/>
    <col min="2566" max="2566" width="38.140625" bestFit="1" customWidth="1"/>
    <col min="2567" max="2567" width="2.85546875" customWidth="1"/>
    <col min="2568" max="2568" width="44" bestFit="1" customWidth="1"/>
    <col min="2818" max="2818" width="16.5703125" customWidth="1"/>
    <col min="2819" max="2819" width="40.85546875" customWidth="1"/>
    <col min="2821" max="2821" width="12.7109375" bestFit="1" customWidth="1"/>
    <col min="2822" max="2822" width="38.140625" bestFit="1" customWidth="1"/>
    <col min="2823" max="2823" width="2.85546875" customWidth="1"/>
    <col min="2824" max="2824" width="44" bestFit="1" customWidth="1"/>
    <col min="3074" max="3074" width="16.5703125" customWidth="1"/>
    <col min="3075" max="3075" width="40.85546875" customWidth="1"/>
    <col min="3077" max="3077" width="12.7109375" bestFit="1" customWidth="1"/>
    <col min="3078" max="3078" width="38.140625" bestFit="1" customWidth="1"/>
    <col min="3079" max="3079" width="2.85546875" customWidth="1"/>
    <col min="3080" max="3080" width="44" bestFit="1" customWidth="1"/>
    <col min="3330" max="3330" width="16.5703125" customWidth="1"/>
    <col min="3331" max="3331" width="40.85546875" customWidth="1"/>
    <col min="3333" max="3333" width="12.7109375" bestFit="1" customWidth="1"/>
    <col min="3334" max="3334" width="38.140625" bestFit="1" customWidth="1"/>
    <col min="3335" max="3335" width="2.85546875" customWidth="1"/>
    <col min="3336" max="3336" width="44" bestFit="1" customWidth="1"/>
    <col min="3586" max="3586" width="16.5703125" customWidth="1"/>
    <col min="3587" max="3587" width="40.85546875" customWidth="1"/>
    <col min="3589" max="3589" width="12.7109375" bestFit="1" customWidth="1"/>
    <col min="3590" max="3590" width="38.140625" bestFit="1" customWidth="1"/>
    <col min="3591" max="3591" width="2.85546875" customWidth="1"/>
    <col min="3592" max="3592" width="44" bestFit="1" customWidth="1"/>
    <col min="3842" max="3842" width="16.5703125" customWidth="1"/>
    <col min="3843" max="3843" width="40.85546875" customWidth="1"/>
    <col min="3845" max="3845" width="12.7109375" bestFit="1" customWidth="1"/>
    <col min="3846" max="3846" width="38.140625" bestFit="1" customWidth="1"/>
    <col min="3847" max="3847" width="2.85546875" customWidth="1"/>
    <col min="3848" max="3848" width="44" bestFit="1" customWidth="1"/>
    <col min="4098" max="4098" width="16.5703125" customWidth="1"/>
    <col min="4099" max="4099" width="40.85546875" customWidth="1"/>
    <col min="4101" max="4101" width="12.7109375" bestFit="1" customWidth="1"/>
    <col min="4102" max="4102" width="38.140625" bestFit="1" customWidth="1"/>
    <col min="4103" max="4103" width="2.85546875" customWidth="1"/>
    <col min="4104" max="4104" width="44" bestFit="1" customWidth="1"/>
    <col min="4354" max="4354" width="16.5703125" customWidth="1"/>
    <col min="4355" max="4355" width="40.85546875" customWidth="1"/>
    <col min="4357" max="4357" width="12.7109375" bestFit="1" customWidth="1"/>
    <col min="4358" max="4358" width="38.140625" bestFit="1" customWidth="1"/>
    <col min="4359" max="4359" width="2.85546875" customWidth="1"/>
    <col min="4360" max="4360" width="44" bestFit="1" customWidth="1"/>
    <col min="4610" max="4610" width="16.5703125" customWidth="1"/>
    <col min="4611" max="4611" width="40.85546875" customWidth="1"/>
    <col min="4613" max="4613" width="12.7109375" bestFit="1" customWidth="1"/>
    <col min="4614" max="4614" width="38.140625" bestFit="1" customWidth="1"/>
    <col min="4615" max="4615" width="2.85546875" customWidth="1"/>
    <col min="4616" max="4616" width="44" bestFit="1" customWidth="1"/>
    <col min="4866" max="4866" width="16.5703125" customWidth="1"/>
    <col min="4867" max="4867" width="40.85546875" customWidth="1"/>
    <col min="4869" max="4869" width="12.7109375" bestFit="1" customWidth="1"/>
    <col min="4870" max="4870" width="38.140625" bestFit="1" customWidth="1"/>
    <col min="4871" max="4871" width="2.85546875" customWidth="1"/>
    <col min="4872" max="4872" width="44" bestFit="1" customWidth="1"/>
    <col min="5122" max="5122" width="16.5703125" customWidth="1"/>
    <col min="5123" max="5123" width="40.85546875" customWidth="1"/>
    <col min="5125" max="5125" width="12.7109375" bestFit="1" customWidth="1"/>
    <col min="5126" max="5126" width="38.140625" bestFit="1" customWidth="1"/>
    <col min="5127" max="5127" width="2.85546875" customWidth="1"/>
    <col min="5128" max="5128" width="44" bestFit="1" customWidth="1"/>
    <col min="5378" max="5378" width="16.5703125" customWidth="1"/>
    <col min="5379" max="5379" width="40.85546875" customWidth="1"/>
    <col min="5381" max="5381" width="12.7109375" bestFit="1" customWidth="1"/>
    <col min="5382" max="5382" width="38.140625" bestFit="1" customWidth="1"/>
    <col min="5383" max="5383" width="2.85546875" customWidth="1"/>
    <col min="5384" max="5384" width="44" bestFit="1" customWidth="1"/>
    <col min="5634" max="5634" width="16.5703125" customWidth="1"/>
    <col min="5635" max="5635" width="40.85546875" customWidth="1"/>
    <col min="5637" max="5637" width="12.7109375" bestFit="1" customWidth="1"/>
    <col min="5638" max="5638" width="38.140625" bestFit="1" customWidth="1"/>
    <col min="5639" max="5639" width="2.85546875" customWidth="1"/>
    <col min="5640" max="5640" width="44" bestFit="1" customWidth="1"/>
    <col min="5890" max="5890" width="16.5703125" customWidth="1"/>
    <col min="5891" max="5891" width="40.85546875" customWidth="1"/>
    <col min="5893" max="5893" width="12.7109375" bestFit="1" customWidth="1"/>
    <col min="5894" max="5894" width="38.140625" bestFit="1" customWidth="1"/>
    <col min="5895" max="5895" width="2.85546875" customWidth="1"/>
    <col min="5896" max="5896" width="44" bestFit="1" customWidth="1"/>
    <col min="6146" max="6146" width="16.5703125" customWidth="1"/>
    <col min="6147" max="6147" width="40.85546875" customWidth="1"/>
    <col min="6149" max="6149" width="12.7109375" bestFit="1" customWidth="1"/>
    <col min="6150" max="6150" width="38.140625" bestFit="1" customWidth="1"/>
    <col min="6151" max="6151" width="2.85546875" customWidth="1"/>
    <col min="6152" max="6152" width="44" bestFit="1" customWidth="1"/>
    <col min="6402" max="6402" width="16.5703125" customWidth="1"/>
    <col min="6403" max="6403" width="40.85546875" customWidth="1"/>
    <col min="6405" max="6405" width="12.7109375" bestFit="1" customWidth="1"/>
    <col min="6406" max="6406" width="38.140625" bestFit="1" customWidth="1"/>
    <col min="6407" max="6407" width="2.85546875" customWidth="1"/>
    <col min="6408" max="6408" width="44" bestFit="1" customWidth="1"/>
    <col min="6658" max="6658" width="16.5703125" customWidth="1"/>
    <col min="6659" max="6659" width="40.85546875" customWidth="1"/>
    <col min="6661" max="6661" width="12.7109375" bestFit="1" customWidth="1"/>
    <col min="6662" max="6662" width="38.140625" bestFit="1" customWidth="1"/>
    <col min="6663" max="6663" width="2.85546875" customWidth="1"/>
    <col min="6664" max="6664" width="44" bestFit="1" customWidth="1"/>
    <col min="6914" max="6914" width="16.5703125" customWidth="1"/>
    <col min="6915" max="6915" width="40.85546875" customWidth="1"/>
    <col min="6917" max="6917" width="12.7109375" bestFit="1" customWidth="1"/>
    <col min="6918" max="6918" width="38.140625" bestFit="1" customWidth="1"/>
    <col min="6919" max="6919" width="2.85546875" customWidth="1"/>
    <col min="6920" max="6920" width="44" bestFit="1" customWidth="1"/>
    <col min="7170" max="7170" width="16.5703125" customWidth="1"/>
    <col min="7171" max="7171" width="40.85546875" customWidth="1"/>
    <col min="7173" max="7173" width="12.7109375" bestFit="1" customWidth="1"/>
    <col min="7174" max="7174" width="38.140625" bestFit="1" customWidth="1"/>
    <col min="7175" max="7175" width="2.85546875" customWidth="1"/>
    <col min="7176" max="7176" width="44" bestFit="1" customWidth="1"/>
    <col min="7426" max="7426" width="16.5703125" customWidth="1"/>
    <col min="7427" max="7427" width="40.85546875" customWidth="1"/>
    <col min="7429" max="7429" width="12.7109375" bestFit="1" customWidth="1"/>
    <col min="7430" max="7430" width="38.140625" bestFit="1" customWidth="1"/>
    <col min="7431" max="7431" width="2.85546875" customWidth="1"/>
    <col min="7432" max="7432" width="44" bestFit="1" customWidth="1"/>
    <col min="7682" max="7682" width="16.5703125" customWidth="1"/>
    <col min="7683" max="7683" width="40.85546875" customWidth="1"/>
    <col min="7685" max="7685" width="12.7109375" bestFit="1" customWidth="1"/>
    <col min="7686" max="7686" width="38.140625" bestFit="1" customWidth="1"/>
    <col min="7687" max="7687" width="2.85546875" customWidth="1"/>
    <col min="7688" max="7688" width="44" bestFit="1" customWidth="1"/>
    <col min="7938" max="7938" width="16.5703125" customWidth="1"/>
    <col min="7939" max="7939" width="40.85546875" customWidth="1"/>
    <col min="7941" max="7941" width="12.7109375" bestFit="1" customWidth="1"/>
    <col min="7942" max="7942" width="38.140625" bestFit="1" customWidth="1"/>
    <col min="7943" max="7943" width="2.85546875" customWidth="1"/>
    <col min="7944" max="7944" width="44" bestFit="1" customWidth="1"/>
    <col min="8194" max="8194" width="16.5703125" customWidth="1"/>
    <col min="8195" max="8195" width="40.85546875" customWidth="1"/>
    <col min="8197" max="8197" width="12.7109375" bestFit="1" customWidth="1"/>
    <col min="8198" max="8198" width="38.140625" bestFit="1" customWidth="1"/>
    <col min="8199" max="8199" width="2.85546875" customWidth="1"/>
    <col min="8200" max="8200" width="44" bestFit="1" customWidth="1"/>
    <col min="8450" max="8450" width="16.5703125" customWidth="1"/>
    <col min="8451" max="8451" width="40.85546875" customWidth="1"/>
    <col min="8453" max="8453" width="12.7109375" bestFit="1" customWidth="1"/>
    <col min="8454" max="8454" width="38.140625" bestFit="1" customWidth="1"/>
    <col min="8455" max="8455" width="2.85546875" customWidth="1"/>
    <col min="8456" max="8456" width="44" bestFit="1" customWidth="1"/>
    <col min="8706" max="8706" width="16.5703125" customWidth="1"/>
    <col min="8707" max="8707" width="40.85546875" customWidth="1"/>
    <col min="8709" max="8709" width="12.7109375" bestFit="1" customWidth="1"/>
    <col min="8710" max="8710" width="38.140625" bestFit="1" customWidth="1"/>
    <col min="8711" max="8711" width="2.85546875" customWidth="1"/>
    <col min="8712" max="8712" width="44" bestFit="1" customWidth="1"/>
    <col min="8962" max="8962" width="16.5703125" customWidth="1"/>
    <col min="8963" max="8963" width="40.85546875" customWidth="1"/>
    <col min="8965" max="8965" width="12.7109375" bestFit="1" customWidth="1"/>
    <col min="8966" max="8966" width="38.140625" bestFit="1" customWidth="1"/>
    <col min="8967" max="8967" width="2.85546875" customWidth="1"/>
    <col min="8968" max="8968" width="44" bestFit="1" customWidth="1"/>
    <col min="9218" max="9218" width="16.5703125" customWidth="1"/>
    <col min="9219" max="9219" width="40.85546875" customWidth="1"/>
    <col min="9221" max="9221" width="12.7109375" bestFit="1" customWidth="1"/>
    <col min="9222" max="9222" width="38.140625" bestFit="1" customWidth="1"/>
    <col min="9223" max="9223" width="2.85546875" customWidth="1"/>
    <col min="9224" max="9224" width="44" bestFit="1" customWidth="1"/>
    <col min="9474" max="9474" width="16.5703125" customWidth="1"/>
    <col min="9475" max="9475" width="40.85546875" customWidth="1"/>
    <col min="9477" max="9477" width="12.7109375" bestFit="1" customWidth="1"/>
    <col min="9478" max="9478" width="38.140625" bestFit="1" customWidth="1"/>
    <col min="9479" max="9479" width="2.85546875" customWidth="1"/>
    <col min="9480" max="9480" width="44" bestFit="1" customWidth="1"/>
    <col min="9730" max="9730" width="16.5703125" customWidth="1"/>
    <col min="9731" max="9731" width="40.85546875" customWidth="1"/>
    <col min="9733" max="9733" width="12.7109375" bestFit="1" customWidth="1"/>
    <col min="9734" max="9734" width="38.140625" bestFit="1" customWidth="1"/>
    <col min="9735" max="9735" width="2.85546875" customWidth="1"/>
    <col min="9736" max="9736" width="44" bestFit="1" customWidth="1"/>
    <col min="9986" max="9986" width="16.5703125" customWidth="1"/>
    <col min="9987" max="9987" width="40.85546875" customWidth="1"/>
    <col min="9989" max="9989" width="12.7109375" bestFit="1" customWidth="1"/>
    <col min="9990" max="9990" width="38.140625" bestFit="1" customWidth="1"/>
    <col min="9991" max="9991" width="2.85546875" customWidth="1"/>
    <col min="9992" max="9992" width="44" bestFit="1" customWidth="1"/>
    <col min="10242" max="10242" width="16.5703125" customWidth="1"/>
    <col min="10243" max="10243" width="40.85546875" customWidth="1"/>
    <col min="10245" max="10245" width="12.7109375" bestFit="1" customWidth="1"/>
    <col min="10246" max="10246" width="38.140625" bestFit="1" customWidth="1"/>
    <col min="10247" max="10247" width="2.85546875" customWidth="1"/>
    <col min="10248" max="10248" width="44" bestFit="1" customWidth="1"/>
    <col min="10498" max="10498" width="16.5703125" customWidth="1"/>
    <col min="10499" max="10499" width="40.85546875" customWidth="1"/>
    <col min="10501" max="10501" width="12.7109375" bestFit="1" customWidth="1"/>
    <col min="10502" max="10502" width="38.140625" bestFit="1" customWidth="1"/>
    <col min="10503" max="10503" width="2.85546875" customWidth="1"/>
    <col min="10504" max="10504" width="44" bestFit="1" customWidth="1"/>
    <col min="10754" max="10754" width="16.5703125" customWidth="1"/>
    <col min="10755" max="10755" width="40.85546875" customWidth="1"/>
    <col min="10757" max="10757" width="12.7109375" bestFit="1" customWidth="1"/>
    <col min="10758" max="10758" width="38.140625" bestFit="1" customWidth="1"/>
    <col min="10759" max="10759" width="2.85546875" customWidth="1"/>
    <col min="10760" max="10760" width="44" bestFit="1" customWidth="1"/>
    <col min="11010" max="11010" width="16.5703125" customWidth="1"/>
    <col min="11011" max="11011" width="40.85546875" customWidth="1"/>
    <col min="11013" max="11013" width="12.7109375" bestFit="1" customWidth="1"/>
    <col min="11014" max="11014" width="38.140625" bestFit="1" customWidth="1"/>
    <col min="11015" max="11015" width="2.85546875" customWidth="1"/>
    <col min="11016" max="11016" width="44" bestFit="1" customWidth="1"/>
    <col min="11266" max="11266" width="16.5703125" customWidth="1"/>
    <col min="11267" max="11267" width="40.85546875" customWidth="1"/>
    <col min="11269" max="11269" width="12.7109375" bestFit="1" customWidth="1"/>
    <col min="11270" max="11270" width="38.140625" bestFit="1" customWidth="1"/>
    <col min="11271" max="11271" width="2.85546875" customWidth="1"/>
    <col min="11272" max="11272" width="44" bestFit="1" customWidth="1"/>
    <col min="11522" max="11522" width="16.5703125" customWidth="1"/>
    <col min="11523" max="11523" width="40.85546875" customWidth="1"/>
    <col min="11525" max="11525" width="12.7109375" bestFit="1" customWidth="1"/>
    <col min="11526" max="11526" width="38.140625" bestFit="1" customWidth="1"/>
    <col min="11527" max="11527" width="2.85546875" customWidth="1"/>
    <col min="11528" max="11528" width="44" bestFit="1" customWidth="1"/>
    <col min="11778" max="11778" width="16.5703125" customWidth="1"/>
    <col min="11779" max="11779" width="40.85546875" customWidth="1"/>
    <col min="11781" max="11781" width="12.7109375" bestFit="1" customWidth="1"/>
    <col min="11782" max="11782" width="38.140625" bestFit="1" customWidth="1"/>
    <col min="11783" max="11783" width="2.85546875" customWidth="1"/>
    <col min="11784" max="11784" width="44" bestFit="1" customWidth="1"/>
    <col min="12034" max="12034" width="16.5703125" customWidth="1"/>
    <col min="12035" max="12035" width="40.85546875" customWidth="1"/>
    <col min="12037" max="12037" width="12.7109375" bestFit="1" customWidth="1"/>
    <col min="12038" max="12038" width="38.140625" bestFit="1" customWidth="1"/>
    <col min="12039" max="12039" width="2.85546875" customWidth="1"/>
    <col min="12040" max="12040" width="44" bestFit="1" customWidth="1"/>
    <col min="12290" max="12290" width="16.5703125" customWidth="1"/>
    <col min="12291" max="12291" width="40.85546875" customWidth="1"/>
    <col min="12293" max="12293" width="12.7109375" bestFit="1" customWidth="1"/>
    <col min="12294" max="12294" width="38.140625" bestFit="1" customWidth="1"/>
    <col min="12295" max="12295" width="2.85546875" customWidth="1"/>
    <col min="12296" max="12296" width="44" bestFit="1" customWidth="1"/>
    <col min="12546" max="12546" width="16.5703125" customWidth="1"/>
    <col min="12547" max="12547" width="40.85546875" customWidth="1"/>
    <col min="12549" max="12549" width="12.7109375" bestFit="1" customWidth="1"/>
    <col min="12550" max="12550" width="38.140625" bestFit="1" customWidth="1"/>
    <col min="12551" max="12551" width="2.85546875" customWidth="1"/>
    <col min="12552" max="12552" width="44" bestFit="1" customWidth="1"/>
    <col min="12802" max="12802" width="16.5703125" customWidth="1"/>
    <col min="12803" max="12803" width="40.85546875" customWidth="1"/>
    <col min="12805" max="12805" width="12.7109375" bestFit="1" customWidth="1"/>
    <col min="12806" max="12806" width="38.140625" bestFit="1" customWidth="1"/>
    <col min="12807" max="12807" width="2.85546875" customWidth="1"/>
    <col min="12808" max="12808" width="44" bestFit="1" customWidth="1"/>
    <col min="13058" max="13058" width="16.5703125" customWidth="1"/>
    <col min="13059" max="13059" width="40.85546875" customWidth="1"/>
    <col min="13061" max="13061" width="12.7109375" bestFit="1" customWidth="1"/>
    <col min="13062" max="13062" width="38.140625" bestFit="1" customWidth="1"/>
    <col min="13063" max="13063" width="2.85546875" customWidth="1"/>
    <col min="13064" max="13064" width="44" bestFit="1" customWidth="1"/>
    <col min="13314" max="13314" width="16.5703125" customWidth="1"/>
    <col min="13315" max="13315" width="40.85546875" customWidth="1"/>
    <col min="13317" max="13317" width="12.7109375" bestFit="1" customWidth="1"/>
    <col min="13318" max="13318" width="38.140625" bestFit="1" customWidth="1"/>
    <col min="13319" max="13319" width="2.85546875" customWidth="1"/>
    <col min="13320" max="13320" width="44" bestFit="1" customWidth="1"/>
    <col min="13570" max="13570" width="16.5703125" customWidth="1"/>
    <col min="13571" max="13571" width="40.85546875" customWidth="1"/>
    <col min="13573" max="13573" width="12.7109375" bestFit="1" customWidth="1"/>
    <col min="13574" max="13574" width="38.140625" bestFit="1" customWidth="1"/>
    <col min="13575" max="13575" width="2.85546875" customWidth="1"/>
    <col min="13576" max="13576" width="44" bestFit="1" customWidth="1"/>
    <col min="13826" max="13826" width="16.5703125" customWidth="1"/>
    <col min="13827" max="13827" width="40.85546875" customWidth="1"/>
    <col min="13829" max="13829" width="12.7109375" bestFit="1" customWidth="1"/>
    <col min="13830" max="13830" width="38.140625" bestFit="1" customWidth="1"/>
    <col min="13831" max="13831" width="2.85546875" customWidth="1"/>
    <col min="13832" max="13832" width="44" bestFit="1" customWidth="1"/>
    <col min="14082" max="14082" width="16.5703125" customWidth="1"/>
    <col min="14083" max="14083" width="40.85546875" customWidth="1"/>
    <col min="14085" max="14085" width="12.7109375" bestFit="1" customWidth="1"/>
    <col min="14086" max="14086" width="38.140625" bestFit="1" customWidth="1"/>
    <col min="14087" max="14087" width="2.85546875" customWidth="1"/>
    <col min="14088" max="14088" width="44" bestFit="1" customWidth="1"/>
    <col min="14338" max="14338" width="16.5703125" customWidth="1"/>
    <col min="14339" max="14339" width="40.85546875" customWidth="1"/>
    <col min="14341" max="14341" width="12.7109375" bestFit="1" customWidth="1"/>
    <col min="14342" max="14342" width="38.140625" bestFit="1" customWidth="1"/>
    <col min="14343" max="14343" width="2.85546875" customWidth="1"/>
    <col min="14344" max="14344" width="44" bestFit="1" customWidth="1"/>
    <col min="14594" max="14594" width="16.5703125" customWidth="1"/>
    <col min="14595" max="14595" width="40.85546875" customWidth="1"/>
    <col min="14597" max="14597" width="12.7109375" bestFit="1" customWidth="1"/>
    <col min="14598" max="14598" width="38.140625" bestFit="1" customWidth="1"/>
    <col min="14599" max="14599" width="2.85546875" customWidth="1"/>
    <col min="14600" max="14600" width="44" bestFit="1" customWidth="1"/>
    <col min="14850" max="14850" width="16.5703125" customWidth="1"/>
    <col min="14851" max="14851" width="40.85546875" customWidth="1"/>
    <col min="14853" max="14853" width="12.7109375" bestFit="1" customWidth="1"/>
    <col min="14854" max="14854" width="38.140625" bestFit="1" customWidth="1"/>
    <col min="14855" max="14855" width="2.85546875" customWidth="1"/>
    <col min="14856" max="14856" width="44" bestFit="1" customWidth="1"/>
    <col min="15106" max="15106" width="16.5703125" customWidth="1"/>
    <col min="15107" max="15107" width="40.85546875" customWidth="1"/>
    <col min="15109" max="15109" width="12.7109375" bestFit="1" customWidth="1"/>
    <col min="15110" max="15110" width="38.140625" bestFit="1" customWidth="1"/>
    <col min="15111" max="15111" width="2.85546875" customWidth="1"/>
    <col min="15112" max="15112" width="44" bestFit="1" customWidth="1"/>
    <col min="15362" max="15362" width="16.5703125" customWidth="1"/>
    <col min="15363" max="15363" width="40.85546875" customWidth="1"/>
    <col min="15365" max="15365" width="12.7109375" bestFit="1" customWidth="1"/>
    <col min="15366" max="15366" width="38.140625" bestFit="1" customWidth="1"/>
    <col min="15367" max="15367" width="2.85546875" customWidth="1"/>
    <col min="15368" max="15368" width="44" bestFit="1" customWidth="1"/>
    <col min="15618" max="15618" width="16.5703125" customWidth="1"/>
    <col min="15619" max="15619" width="40.85546875" customWidth="1"/>
    <col min="15621" max="15621" width="12.7109375" bestFit="1" customWidth="1"/>
    <col min="15622" max="15622" width="38.140625" bestFit="1" customWidth="1"/>
    <col min="15623" max="15623" width="2.85546875" customWidth="1"/>
    <col min="15624" max="15624" width="44" bestFit="1" customWidth="1"/>
    <col min="15874" max="15874" width="16.5703125" customWidth="1"/>
    <col min="15875" max="15875" width="40.85546875" customWidth="1"/>
    <col min="15877" max="15877" width="12.7109375" bestFit="1" customWidth="1"/>
    <col min="15878" max="15878" width="38.140625" bestFit="1" customWidth="1"/>
    <col min="15879" max="15879" width="2.85546875" customWidth="1"/>
    <col min="15880" max="15880" width="44" bestFit="1" customWidth="1"/>
    <col min="16130" max="16130" width="16.5703125" customWidth="1"/>
    <col min="16131" max="16131" width="40.85546875" customWidth="1"/>
    <col min="16133" max="16133" width="12.7109375" bestFit="1" customWidth="1"/>
    <col min="16134" max="16134" width="38.140625" bestFit="1" customWidth="1"/>
    <col min="16135" max="16135" width="2.85546875" customWidth="1"/>
    <col min="16136" max="16136" width="44" bestFit="1" customWidth="1"/>
  </cols>
  <sheetData>
    <row r="2" spans="1:8" ht="18.75" x14ac:dyDescent="0.3">
      <c r="A2" s="244" t="s">
        <v>366</v>
      </c>
      <c r="B2" s="244"/>
      <c r="C2" s="244"/>
      <c r="D2" s="244"/>
      <c r="E2" s="244"/>
      <c r="F2" s="244"/>
      <c r="G2" s="244"/>
      <c r="H2" s="162"/>
    </row>
    <row r="4" spans="1:8" ht="15.75" x14ac:dyDescent="0.25">
      <c r="A4" s="163" t="s">
        <v>367</v>
      </c>
      <c r="B4" s="164" t="s">
        <v>368</v>
      </c>
      <c r="C4" s="165"/>
      <c r="D4" s="166"/>
      <c r="E4" s="166"/>
      <c r="F4" s="166"/>
      <c r="G4" s="245" t="s">
        <v>369</v>
      </c>
      <c r="H4" s="245"/>
    </row>
    <row r="5" spans="1:8" x14ac:dyDescent="0.25">
      <c r="A5" s="167" t="s">
        <v>370</v>
      </c>
      <c r="B5" s="168" t="s">
        <v>371</v>
      </c>
      <c r="C5" s="169"/>
      <c r="D5" s="166"/>
      <c r="E5" s="166"/>
      <c r="F5" s="166"/>
      <c r="G5" s="170" t="s">
        <v>372</v>
      </c>
      <c r="H5" s="170" t="s">
        <v>373</v>
      </c>
    </row>
    <row r="6" spans="1:8" x14ac:dyDescent="0.25">
      <c r="A6" s="167" t="s">
        <v>370</v>
      </c>
      <c r="B6" s="168" t="s">
        <v>374</v>
      </c>
      <c r="C6" s="169"/>
      <c r="D6" s="166"/>
      <c r="E6" s="166"/>
      <c r="F6" s="166"/>
      <c r="G6" s="170" t="s">
        <v>375</v>
      </c>
      <c r="H6" s="170" t="s">
        <v>376</v>
      </c>
    </row>
    <row r="7" spans="1:8" x14ac:dyDescent="0.25">
      <c r="A7" s="167" t="s">
        <v>370</v>
      </c>
      <c r="B7" s="168" t="s">
        <v>377</v>
      </c>
      <c r="C7" s="169"/>
      <c r="D7" s="166"/>
      <c r="E7" s="166"/>
      <c r="F7" s="166"/>
      <c r="G7" s="170" t="s">
        <v>378</v>
      </c>
      <c r="H7" s="170" t="s">
        <v>379</v>
      </c>
    </row>
    <row r="8" spans="1:8" ht="28.5" x14ac:dyDescent="0.25">
      <c r="A8" s="167" t="s">
        <v>370</v>
      </c>
      <c r="B8" s="168" t="s">
        <v>380</v>
      </c>
      <c r="C8" s="169"/>
      <c r="D8" s="166"/>
      <c r="E8" s="166"/>
      <c r="F8" s="166"/>
      <c r="G8" s="170" t="s">
        <v>381</v>
      </c>
      <c r="H8" s="170" t="s">
        <v>382</v>
      </c>
    </row>
    <row r="9" spans="1:8" x14ac:dyDescent="0.25">
      <c r="A9" s="167" t="s">
        <v>370</v>
      </c>
      <c r="B9" s="168" t="s">
        <v>383</v>
      </c>
      <c r="C9" s="169"/>
      <c r="D9" s="166"/>
      <c r="E9" s="166"/>
      <c r="F9" s="166"/>
      <c r="G9" s="170" t="s">
        <v>384</v>
      </c>
      <c r="H9" s="170" t="s">
        <v>385</v>
      </c>
    </row>
    <row r="10" spans="1:8" ht="28.5" x14ac:dyDescent="0.25">
      <c r="A10" s="167" t="s">
        <v>370</v>
      </c>
      <c r="B10" s="168" t="s">
        <v>386</v>
      </c>
      <c r="C10" s="169"/>
      <c r="D10" s="166"/>
      <c r="E10" s="166"/>
      <c r="F10" s="166"/>
      <c r="G10" s="170" t="s">
        <v>387</v>
      </c>
      <c r="H10" s="170" t="s">
        <v>388</v>
      </c>
    </row>
    <row r="11" spans="1:8" x14ac:dyDescent="0.25">
      <c r="A11" s="171" t="s">
        <v>389</v>
      </c>
      <c r="B11" s="168" t="s">
        <v>390</v>
      </c>
      <c r="C11" s="169"/>
      <c r="D11" s="166"/>
      <c r="E11" s="166"/>
      <c r="F11" s="166"/>
      <c r="G11" s="170" t="s">
        <v>391</v>
      </c>
      <c r="H11" s="170" t="s">
        <v>392</v>
      </c>
    </row>
    <row r="12" spans="1:8" x14ac:dyDescent="0.25">
      <c r="A12" s="171" t="s">
        <v>389</v>
      </c>
      <c r="B12" s="168" t="s">
        <v>393</v>
      </c>
      <c r="C12" s="169"/>
      <c r="D12" s="166"/>
      <c r="E12" s="166"/>
      <c r="F12" s="166"/>
      <c r="G12" s="170" t="s">
        <v>394</v>
      </c>
      <c r="H12" s="170" t="s">
        <v>395</v>
      </c>
    </row>
    <row r="13" spans="1:8" x14ac:dyDescent="0.25">
      <c r="A13" s="171" t="s">
        <v>389</v>
      </c>
      <c r="B13" s="168" t="s">
        <v>396</v>
      </c>
      <c r="C13" s="169"/>
      <c r="D13" s="166"/>
      <c r="E13" s="166"/>
      <c r="F13" s="166"/>
      <c r="G13" s="170" t="s">
        <v>397</v>
      </c>
      <c r="H13" s="170" t="s">
        <v>398</v>
      </c>
    </row>
    <row r="14" spans="1:8" ht="28.5" x14ac:dyDescent="0.25">
      <c r="A14" s="171" t="s">
        <v>389</v>
      </c>
      <c r="B14" s="168" t="s">
        <v>399</v>
      </c>
      <c r="C14" s="169"/>
      <c r="D14" s="166"/>
      <c r="E14" s="166"/>
      <c r="F14" s="166"/>
      <c r="G14" s="168" t="s">
        <v>400</v>
      </c>
      <c r="H14" s="172" t="s">
        <v>401</v>
      </c>
    </row>
    <row r="15" spans="1:8" x14ac:dyDescent="0.25">
      <c r="A15" s="171" t="s">
        <v>389</v>
      </c>
      <c r="B15" s="168" t="s">
        <v>402</v>
      </c>
      <c r="C15" s="169"/>
      <c r="D15" s="166"/>
      <c r="E15" s="166"/>
      <c r="F15" s="166"/>
      <c r="G15" s="168" t="s">
        <v>403</v>
      </c>
      <c r="H15" s="170" t="s">
        <v>404</v>
      </c>
    </row>
    <row r="16" spans="1:8" x14ac:dyDescent="0.25">
      <c r="A16" s="171" t="s">
        <v>389</v>
      </c>
      <c r="B16" s="168" t="s">
        <v>405</v>
      </c>
      <c r="C16" s="169"/>
      <c r="D16" s="166"/>
      <c r="E16" s="166"/>
      <c r="F16" s="166"/>
      <c r="G16" s="170" t="s">
        <v>406</v>
      </c>
      <c r="H16" s="170" t="s">
        <v>78</v>
      </c>
    </row>
    <row r="17" spans="1:8" x14ac:dyDescent="0.25">
      <c r="A17" s="171" t="s">
        <v>389</v>
      </c>
      <c r="B17" s="168" t="s">
        <v>407</v>
      </c>
      <c r="C17" s="169"/>
      <c r="D17" s="166"/>
      <c r="E17" s="166"/>
      <c r="F17" s="166"/>
      <c r="G17" s="170" t="s">
        <v>408</v>
      </c>
      <c r="H17" s="170" t="s">
        <v>409</v>
      </c>
    </row>
    <row r="18" spans="1:8" x14ac:dyDescent="0.25">
      <c r="A18" s="171" t="s">
        <v>389</v>
      </c>
      <c r="B18" s="168" t="s">
        <v>410</v>
      </c>
      <c r="C18" s="169"/>
      <c r="D18" s="166"/>
      <c r="E18" s="166"/>
      <c r="F18" s="166"/>
      <c r="G18" s="170" t="s">
        <v>411</v>
      </c>
      <c r="H18" s="170" t="s">
        <v>412</v>
      </c>
    </row>
    <row r="19" spans="1:8" x14ac:dyDescent="0.25">
      <c r="A19" s="171" t="s">
        <v>389</v>
      </c>
      <c r="B19" s="168" t="s">
        <v>413</v>
      </c>
      <c r="C19" s="169"/>
      <c r="D19" s="166"/>
      <c r="E19" s="166"/>
      <c r="F19" s="166"/>
      <c r="G19" s="170" t="s">
        <v>414</v>
      </c>
      <c r="H19" s="170" t="s">
        <v>415</v>
      </c>
    </row>
    <row r="20" spans="1:8" x14ac:dyDescent="0.25">
      <c r="A20" s="171" t="s">
        <v>389</v>
      </c>
      <c r="B20" s="168" t="s">
        <v>416</v>
      </c>
      <c r="C20" s="169"/>
      <c r="D20" s="166"/>
      <c r="E20" s="166"/>
      <c r="F20" s="166"/>
      <c r="G20" s="170" t="s">
        <v>417</v>
      </c>
      <c r="H20" s="170" t="s">
        <v>418</v>
      </c>
    </row>
    <row r="21" spans="1:8" x14ac:dyDescent="0.25">
      <c r="A21" s="171" t="s">
        <v>389</v>
      </c>
      <c r="B21" s="168" t="s">
        <v>419</v>
      </c>
      <c r="C21" s="169"/>
      <c r="D21" s="166"/>
      <c r="E21" s="166"/>
      <c r="F21" s="166"/>
      <c r="G21" s="170" t="s">
        <v>420</v>
      </c>
      <c r="H21" s="170" t="s">
        <v>421</v>
      </c>
    </row>
    <row r="22" spans="1:8" ht="28.5" x14ac:dyDescent="0.25">
      <c r="A22" s="173" t="s">
        <v>422</v>
      </c>
      <c r="B22" s="174" t="s">
        <v>423</v>
      </c>
      <c r="C22" s="169"/>
      <c r="D22" s="166"/>
      <c r="E22" s="166"/>
      <c r="F22" s="166"/>
      <c r="G22" s="170" t="s">
        <v>424</v>
      </c>
      <c r="H22" s="170" t="s">
        <v>425</v>
      </c>
    </row>
    <row r="23" spans="1:8" ht="28.5" x14ac:dyDescent="0.25">
      <c r="A23" s="175" t="s">
        <v>422</v>
      </c>
      <c r="B23" s="168" t="s">
        <v>426</v>
      </c>
      <c r="C23" s="169"/>
      <c r="D23" s="166"/>
      <c r="E23" s="166"/>
      <c r="F23" s="166"/>
      <c r="G23" s="170" t="s">
        <v>427</v>
      </c>
      <c r="H23" s="170" t="s">
        <v>428</v>
      </c>
    </row>
    <row r="24" spans="1:8" x14ac:dyDescent="0.25">
      <c r="A24" s="175" t="s">
        <v>422</v>
      </c>
      <c r="B24" s="168" t="s">
        <v>429</v>
      </c>
      <c r="C24" s="169"/>
      <c r="D24" s="166"/>
      <c r="E24" s="166"/>
      <c r="F24" s="166"/>
      <c r="G24" s="168" t="s">
        <v>430</v>
      </c>
      <c r="H24" s="170" t="s">
        <v>431</v>
      </c>
    </row>
    <row r="25" spans="1:8" x14ac:dyDescent="0.25">
      <c r="A25" s="175" t="s">
        <v>422</v>
      </c>
      <c r="B25" s="168" t="s">
        <v>432</v>
      </c>
      <c r="C25" s="169"/>
      <c r="D25" s="166"/>
      <c r="E25" s="166"/>
      <c r="F25" s="166"/>
      <c r="G25" s="170" t="s">
        <v>433</v>
      </c>
      <c r="H25" s="170" t="s">
        <v>434</v>
      </c>
    </row>
    <row r="26" spans="1:8" x14ac:dyDescent="0.25">
      <c r="A26" s="175" t="s">
        <v>422</v>
      </c>
      <c r="B26" s="168" t="s">
        <v>435</v>
      </c>
      <c r="C26" s="169"/>
      <c r="D26" s="166"/>
      <c r="E26" s="166"/>
      <c r="F26" s="166"/>
      <c r="G26" s="170" t="s">
        <v>436</v>
      </c>
      <c r="H26" s="170" t="s">
        <v>437</v>
      </c>
    </row>
    <row r="27" spans="1:8" x14ac:dyDescent="0.25">
      <c r="A27" s="176" t="s">
        <v>438</v>
      </c>
      <c r="B27" s="174" t="s">
        <v>439</v>
      </c>
      <c r="C27" s="169"/>
      <c r="D27" s="166"/>
      <c r="E27" s="166"/>
      <c r="F27" s="166"/>
      <c r="G27" s="166"/>
      <c r="H27" s="166"/>
    </row>
    <row r="28" spans="1:8" x14ac:dyDescent="0.25">
      <c r="A28" s="177" t="s">
        <v>438</v>
      </c>
      <c r="B28" s="168" t="s">
        <v>440</v>
      </c>
      <c r="C28" s="169"/>
      <c r="D28" s="166"/>
      <c r="E28" s="166"/>
      <c r="F28" s="166"/>
      <c r="G28" s="166"/>
      <c r="H28" s="169"/>
    </row>
    <row r="29" spans="1:8" x14ac:dyDescent="0.25">
      <c r="A29" s="177" t="s">
        <v>438</v>
      </c>
      <c r="B29" s="168" t="s">
        <v>441</v>
      </c>
      <c r="C29" s="169"/>
      <c r="D29" s="166"/>
      <c r="E29" s="166"/>
      <c r="F29" s="166"/>
      <c r="G29" s="166"/>
      <c r="H29" s="166"/>
    </row>
    <row r="30" spans="1:8" ht="28.5" x14ac:dyDescent="0.25">
      <c r="A30" s="177" t="s">
        <v>438</v>
      </c>
      <c r="B30" s="168" t="s">
        <v>442</v>
      </c>
      <c r="C30" s="169"/>
      <c r="D30" s="166"/>
      <c r="E30" s="166"/>
      <c r="F30" s="166"/>
      <c r="G30" s="166"/>
      <c r="H30" s="166"/>
    </row>
    <row r="31" spans="1:8" x14ac:dyDescent="0.25">
      <c r="A31" s="177" t="s">
        <v>438</v>
      </c>
      <c r="B31" s="168" t="s">
        <v>443</v>
      </c>
      <c r="C31" s="169"/>
      <c r="D31" s="166"/>
      <c r="E31" s="166"/>
      <c r="F31" s="166"/>
      <c r="G31" s="166"/>
      <c r="H31" s="166"/>
    </row>
    <row r="32" spans="1:8" x14ac:dyDescent="0.25">
      <c r="A32" s="177" t="s">
        <v>438</v>
      </c>
      <c r="B32" s="168" t="s">
        <v>444</v>
      </c>
      <c r="C32" s="169"/>
      <c r="D32" s="166"/>
      <c r="E32" s="166"/>
      <c r="F32" s="166"/>
      <c r="G32" s="166"/>
      <c r="H32" s="166"/>
    </row>
    <row r="33" spans="1:2" x14ac:dyDescent="0.25">
      <c r="A33" s="177" t="s">
        <v>438</v>
      </c>
      <c r="B33" s="168" t="s">
        <v>445</v>
      </c>
    </row>
    <row r="34" spans="1:2" x14ac:dyDescent="0.25">
      <c r="A34" s="177" t="s">
        <v>438</v>
      </c>
      <c r="B34" s="168" t="s">
        <v>446</v>
      </c>
    </row>
    <row r="35" spans="1:2" ht="28.5" x14ac:dyDescent="0.25">
      <c r="A35" s="177" t="s">
        <v>438</v>
      </c>
      <c r="B35" s="168" t="s">
        <v>447</v>
      </c>
    </row>
    <row r="36" spans="1:2" x14ac:dyDescent="0.25">
      <c r="A36" s="177" t="s">
        <v>438</v>
      </c>
      <c r="B36" s="168" t="s">
        <v>448</v>
      </c>
    </row>
    <row r="37" spans="1:2" ht="28.5" x14ac:dyDescent="0.25">
      <c r="A37" s="178" t="s">
        <v>449</v>
      </c>
      <c r="B37" s="168" t="s">
        <v>450</v>
      </c>
    </row>
    <row r="38" spans="1:2" ht="28.5" x14ac:dyDescent="0.25">
      <c r="A38" s="178" t="s">
        <v>449</v>
      </c>
      <c r="B38" s="168" t="s">
        <v>451</v>
      </c>
    </row>
    <row r="39" spans="1:2" x14ac:dyDescent="0.25">
      <c r="A39" s="179" t="s">
        <v>452</v>
      </c>
      <c r="B39" s="168" t="s">
        <v>453</v>
      </c>
    </row>
    <row r="40" spans="1:2" x14ac:dyDescent="0.25">
      <c r="A40" s="179" t="s">
        <v>452</v>
      </c>
      <c r="B40" s="168" t="s">
        <v>454</v>
      </c>
    </row>
    <row r="41" spans="1:2" x14ac:dyDescent="0.25">
      <c r="A41" s="179" t="s">
        <v>452</v>
      </c>
      <c r="B41" s="168" t="s">
        <v>455</v>
      </c>
    </row>
    <row r="42" spans="1:2" x14ac:dyDescent="0.25">
      <c r="A42" s="179" t="s">
        <v>452</v>
      </c>
      <c r="B42" s="168" t="s">
        <v>456</v>
      </c>
    </row>
    <row r="43" spans="1:2" ht="28.5" x14ac:dyDescent="0.25">
      <c r="A43" s="179" t="s">
        <v>452</v>
      </c>
      <c r="B43" s="168" t="s">
        <v>457</v>
      </c>
    </row>
    <row r="44" spans="1:2" ht="28.5" x14ac:dyDescent="0.25">
      <c r="A44" s="179" t="s">
        <v>452</v>
      </c>
      <c r="B44" s="168" t="s">
        <v>458</v>
      </c>
    </row>
    <row r="45" spans="1:2" ht="42.75" x14ac:dyDescent="0.25">
      <c r="A45" s="179" t="s">
        <v>452</v>
      </c>
      <c r="B45" s="168" t="s">
        <v>459</v>
      </c>
    </row>
    <row r="46" spans="1:2" x14ac:dyDescent="0.25">
      <c r="A46" s="179" t="s">
        <v>452</v>
      </c>
      <c r="B46" s="168" t="s">
        <v>460</v>
      </c>
    </row>
    <row r="47" spans="1:2" x14ac:dyDescent="0.25">
      <c r="A47" s="179" t="s">
        <v>452</v>
      </c>
      <c r="B47" s="168" t="s">
        <v>461</v>
      </c>
    </row>
    <row r="48" spans="1:2" x14ac:dyDescent="0.25">
      <c r="A48" s="179" t="s">
        <v>452</v>
      </c>
      <c r="B48" s="168" t="s">
        <v>462</v>
      </c>
    </row>
    <row r="49" spans="1:2" x14ac:dyDescent="0.25">
      <c r="A49" s="179" t="s">
        <v>452</v>
      </c>
      <c r="B49" s="168" t="s">
        <v>463</v>
      </c>
    </row>
    <row r="50" spans="1:2" ht="28.5" x14ac:dyDescent="0.25">
      <c r="A50" s="179" t="s">
        <v>452</v>
      </c>
      <c r="B50" s="168" t="s">
        <v>464</v>
      </c>
    </row>
    <row r="51" spans="1:2" x14ac:dyDescent="0.25">
      <c r="A51" s="179" t="s">
        <v>452</v>
      </c>
      <c r="B51" s="168" t="s">
        <v>213</v>
      </c>
    </row>
    <row r="52" spans="1:2" ht="28.5" x14ac:dyDescent="0.25">
      <c r="A52" s="179" t="s">
        <v>452</v>
      </c>
      <c r="B52" s="168" t="s">
        <v>465</v>
      </c>
    </row>
    <row r="53" spans="1:2" x14ac:dyDescent="0.25">
      <c r="A53" s="179" t="s">
        <v>452</v>
      </c>
      <c r="B53" s="168" t="s">
        <v>466</v>
      </c>
    </row>
    <row r="54" spans="1:2" x14ac:dyDescent="0.25">
      <c r="A54" s="180" t="s">
        <v>467</v>
      </c>
      <c r="B54" s="168" t="s">
        <v>468</v>
      </c>
    </row>
    <row r="55" spans="1:2" x14ac:dyDescent="0.25">
      <c r="A55" s="180" t="s">
        <v>467</v>
      </c>
      <c r="B55" s="168" t="s">
        <v>469</v>
      </c>
    </row>
    <row r="56" spans="1:2" x14ac:dyDescent="0.25">
      <c r="A56" s="180" t="s">
        <v>467</v>
      </c>
      <c r="B56" s="168" t="s">
        <v>470</v>
      </c>
    </row>
    <row r="57" spans="1:2" x14ac:dyDescent="0.25">
      <c r="A57" s="180" t="s">
        <v>467</v>
      </c>
      <c r="B57" s="168" t="s">
        <v>471</v>
      </c>
    </row>
    <row r="58" spans="1:2" x14ac:dyDescent="0.25">
      <c r="A58" s="180" t="s">
        <v>467</v>
      </c>
      <c r="B58" s="168" t="s">
        <v>472</v>
      </c>
    </row>
    <row r="59" spans="1:2" ht="28.5" x14ac:dyDescent="0.25">
      <c r="A59" s="180" t="s">
        <v>467</v>
      </c>
      <c r="B59" s="168" t="s">
        <v>473</v>
      </c>
    </row>
    <row r="60" spans="1:2" x14ac:dyDescent="0.25">
      <c r="A60" s="180" t="s">
        <v>467</v>
      </c>
      <c r="B60" s="168" t="s">
        <v>474</v>
      </c>
    </row>
  </sheetData>
  <mergeCells count="2">
    <mergeCell ref="A2:G2"/>
    <mergeCell ref="G4:H4"/>
  </mergeCells>
  <pageMargins left="0.7" right="0.7" top="0.75" bottom="0.75" header="0.3" footer="0.3"/>
  <pageSetup orientation="portrait" r:id="rId1"/>
  <headerFooter>
    <oddFooter>&amp;L&amp;1#&amp;"Calibri"&amp;10&amp;K000000©Nemak | Internal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8AE1C-AD1E-480D-B26B-29E01566F54A}">
  <dimension ref="A1:F48"/>
  <sheetViews>
    <sheetView workbookViewId="0">
      <selection activeCell="A20" sqref="A20"/>
    </sheetView>
  </sheetViews>
  <sheetFormatPr defaultColWidth="9.140625" defaultRowHeight="15" x14ac:dyDescent="0.25"/>
  <cols>
    <col min="1" max="1" width="62.7109375" customWidth="1"/>
    <col min="2" max="2" width="55.7109375" customWidth="1"/>
    <col min="4" max="4" width="46" customWidth="1"/>
    <col min="6" max="6" width="48.28515625" customWidth="1"/>
    <col min="7" max="7" width="32.5703125" customWidth="1"/>
  </cols>
  <sheetData>
    <row r="1" spans="1:6" ht="18" customHeight="1" thickBot="1" x14ac:dyDescent="0.35">
      <c r="A1" s="246" t="s">
        <v>285</v>
      </c>
      <c r="B1" s="247"/>
      <c r="D1" s="248" t="s">
        <v>286</v>
      </c>
    </row>
    <row r="2" spans="1:6" ht="30.75" thickBot="1" x14ac:dyDescent="0.3">
      <c r="A2" s="145"/>
      <c r="B2" s="145" t="s">
        <v>287</v>
      </c>
      <c r="C2" s="147"/>
      <c r="D2" s="249"/>
    </row>
    <row r="3" spans="1:6" x14ac:dyDescent="0.25">
      <c r="A3" s="148" t="s">
        <v>289</v>
      </c>
      <c r="C3" s="150"/>
      <c r="D3" s="149" t="s">
        <v>291</v>
      </c>
      <c r="F3" s="150"/>
    </row>
    <row r="4" spans="1:6" x14ac:dyDescent="0.25">
      <c r="A4" s="151" t="s">
        <v>292</v>
      </c>
      <c r="C4" s="150"/>
      <c r="D4" s="149" t="s">
        <v>294</v>
      </c>
    </row>
    <row r="5" spans="1:6" x14ac:dyDescent="0.25">
      <c r="A5" s="151" t="s">
        <v>295</v>
      </c>
      <c r="C5" s="150"/>
      <c r="D5" s="152" t="s">
        <v>297</v>
      </c>
    </row>
    <row r="6" spans="1:6" ht="102.75" x14ac:dyDescent="0.25">
      <c r="A6" s="151" t="s">
        <v>298</v>
      </c>
      <c r="B6" s="189" t="s">
        <v>495</v>
      </c>
      <c r="C6" s="150"/>
      <c r="D6" s="9" t="s">
        <v>300</v>
      </c>
      <c r="F6" s="150" t="s">
        <v>493</v>
      </c>
    </row>
    <row r="7" spans="1:6" x14ac:dyDescent="0.25">
      <c r="A7" s="151" t="s">
        <v>301</v>
      </c>
      <c r="B7" t="s">
        <v>494</v>
      </c>
      <c r="C7" s="150"/>
      <c r="D7" s="9" t="s">
        <v>303</v>
      </c>
    </row>
    <row r="8" spans="1:6" x14ac:dyDescent="0.25">
      <c r="A8" s="151" t="s">
        <v>304</v>
      </c>
      <c r="C8" s="150"/>
      <c r="D8" s="9" t="s">
        <v>306</v>
      </c>
    </row>
    <row r="9" spans="1:6" x14ac:dyDescent="0.25">
      <c r="A9" s="151" t="s">
        <v>307</v>
      </c>
      <c r="C9" s="150"/>
      <c r="D9" s="9" t="s">
        <v>309</v>
      </c>
    </row>
    <row r="10" spans="1:6" x14ac:dyDescent="0.25">
      <c r="A10" s="155" t="s">
        <v>310</v>
      </c>
      <c r="C10" s="150"/>
      <c r="D10" s="9" t="s">
        <v>312</v>
      </c>
    </row>
    <row r="11" spans="1:6" x14ac:dyDescent="0.25">
      <c r="A11" s="151" t="s">
        <v>313</v>
      </c>
      <c r="C11" s="150"/>
      <c r="D11" s="149" t="s">
        <v>315</v>
      </c>
    </row>
    <row r="12" spans="1:6" x14ac:dyDescent="0.25">
      <c r="A12" s="151" t="s">
        <v>316</v>
      </c>
      <c r="C12" s="150"/>
      <c r="D12" s="149" t="s">
        <v>317</v>
      </c>
    </row>
    <row r="13" spans="1:6" x14ac:dyDescent="0.25">
      <c r="A13" s="156" t="s">
        <v>318</v>
      </c>
      <c r="C13" s="150"/>
      <c r="D13" s="149" t="s">
        <v>320</v>
      </c>
    </row>
    <row r="14" spans="1:6" x14ac:dyDescent="0.25">
      <c r="A14" s="151" t="s">
        <v>321</v>
      </c>
      <c r="C14" s="150"/>
      <c r="D14" s="149" t="s">
        <v>323</v>
      </c>
    </row>
    <row r="15" spans="1:6" x14ac:dyDescent="0.25">
      <c r="A15" s="156" t="s">
        <v>324</v>
      </c>
      <c r="C15" s="150"/>
      <c r="D15" s="149" t="s">
        <v>326</v>
      </c>
    </row>
    <row r="16" spans="1:6" x14ac:dyDescent="0.25">
      <c r="A16" s="156" t="s">
        <v>327</v>
      </c>
      <c r="C16" s="150"/>
      <c r="D16" s="149" t="s">
        <v>329</v>
      </c>
    </row>
    <row r="17" spans="1:4" x14ac:dyDescent="0.25">
      <c r="A17" s="156" t="s">
        <v>330</v>
      </c>
      <c r="C17" s="150"/>
      <c r="D17" s="149" t="s">
        <v>332</v>
      </c>
    </row>
    <row r="18" spans="1:4" x14ac:dyDescent="0.25">
      <c r="A18" s="156" t="s">
        <v>333</v>
      </c>
      <c r="C18" s="150"/>
      <c r="D18" s="149" t="s">
        <v>335</v>
      </c>
    </row>
    <row r="19" spans="1:4" x14ac:dyDescent="0.25">
      <c r="A19" s="156" t="s">
        <v>336</v>
      </c>
      <c r="C19" s="150"/>
      <c r="D19" s="149" t="s">
        <v>338</v>
      </c>
    </row>
    <row r="20" spans="1:4" x14ac:dyDescent="0.25">
      <c r="A20" s="156" t="s">
        <v>339</v>
      </c>
      <c r="C20" s="150"/>
      <c r="D20" s="149" t="s">
        <v>341</v>
      </c>
    </row>
    <row r="21" spans="1:4" x14ac:dyDescent="0.25">
      <c r="A21" s="156" t="s">
        <v>342</v>
      </c>
      <c r="C21" s="150"/>
      <c r="D21" s="149" t="s">
        <v>344</v>
      </c>
    </row>
    <row r="22" spans="1:4" ht="30" x14ac:dyDescent="0.25">
      <c r="A22" s="157" t="s">
        <v>345</v>
      </c>
      <c r="B22" s="150"/>
      <c r="C22" s="150"/>
      <c r="D22" s="149" t="s">
        <v>490</v>
      </c>
    </row>
    <row r="23" spans="1:4" x14ac:dyDescent="0.25">
      <c r="A23" s="151" t="s">
        <v>347</v>
      </c>
      <c r="C23" s="150"/>
      <c r="D23" s="149" t="s">
        <v>349</v>
      </c>
    </row>
    <row r="24" spans="1:4" ht="30" x14ac:dyDescent="0.25">
      <c r="A24" s="151" t="s">
        <v>350</v>
      </c>
      <c r="C24" s="150"/>
      <c r="D24" s="149" t="s">
        <v>352</v>
      </c>
    </row>
    <row r="25" spans="1:4" ht="15.75" thickBot="1" x14ac:dyDescent="0.3">
      <c r="A25" s="159" t="s">
        <v>353</v>
      </c>
      <c r="C25" s="150"/>
      <c r="D25" s="149" t="s">
        <v>354</v>
      </c>
    </row>
    <row r="26" spans="1:4" x14ac:dyDescent="0.25">
      <c r="A26" s="146"/>
      <c r="B26" s="146" t="s">
        <v>288</v>
      </c>
      <c r="C26" s="150"/>
      <c r="D26" s="149" t="s">
        <v>355</v>
      </c>
    </row>
    <row r="27" spans="1:4" x14ac:dyDescent="0.25">
      <c r="A27" s="149" t="s">
        <v>290</v>
      </c>
      <c r="B27" s="150"/>
      <c r="C27" s="150"/>
      <c r="D27" s="149" t="s">
        <v>356</v>
      </c>
    </row>
    <row r="28" spans="1:4" ht="30" x14ac:dyDescent="0.25">
      <c r="A28" s="149" t="s">
        <v>293</v>
      </c>
      <c r="B28" s="150"/>
      <c r="C28" s="150"/>
      <c r="D28" s="160" t="s">
        <v>357</v>
      </c>
    </row>
    <row r="29" spans="1:4" x14ac:dyDescent="0.25">
      <c r="A29" s="149" t="s">
        <v>296</v>
      </c>
      <c r="B29" s="150"/>
      <c r="C29" s="150"/>
      <c r="D29" s="159" t="s">
        <v>358</v>
      </c>
    </row>
    <row r="30" spans="1:4" x14ac:dyDescent="0.25">
      <c r="A30" s="149" t="s">
        <v>299</v>
      </c>
      <c r="B30" s="150"/>
      <c r="C30" s="150"/>
      <c r="D30" s="159" t="s">
        <v>359</v>
      </c>
    </row>
    <row r="31" spans="1:4" x14ac:dyDescent="0.25">
      <c r="A31" s="153" t="s">
        <v>302</v>
      </c>
      <c r="B31" s="150"/>
      <c r="C31" s="150"/>
      <c r="D31" s="161" t="s">
        <v>360</v>
      </c>
    </row>
    <row r="32" spans="1:4" x14ac:dyDescent="0.25">
      <c r="A32" s="154" t="s">
        <v>305</v>
      </c>
      <c r="B32" s="150"/>
      <c r="C32" s="150"/>
      <c r="D32" s="159" t="s">
        <v>361</v>
      </c>
    </row>
    <row r="33" spans="1:4" x14ac:dyDescent="0.25">
      <c r="A33" s="154" t="s">
        <v>308</v>
      </c>
      <c r="B33" s="150"/>
      <c r="C33" s="150"/>
      <c r="D33" s="161" t="s">
        <v>362</v>
      </c>
    </row>
    <row r="34" spans="1:4" x14ac:dyDescent="0.25">
      <c r="A34" s="154" t="s">
        <v>311</v>
      </c>
      <c r="D34" s="159" t="s">
        <v>363</v>
      </c>
    </row>
    <row r="35" spans="1:4" ht="30" x14ac:dyDescent="0.25">
      <c r="A35" s="154" t="s">
        <v>314</v>
      </c>
      <c r="D35" s="159" t="s">
        <v>364</v>
      </c>
    </row>
    <row r="36" spans="1:4" ht="30" x14ac:dyDescent="0.25">
      <c r="A36" s="153" t="s">
        <v>492</v>
      </c>
      <c r="D36" s="159" t="s">
        <v>365</v>
      </c>
    </row>
    <row r="37" spans="1:4" x14ac:dyDescent="0.25">
      <c r="A37" s="154" t="s">
        <v>319</v>
      </c>
    </row>
    <row r="38" spans="1:4" x14ac:dyDescent="0.25">
      <c r="A38" s="153" t="s">
        <v>322</v>
      </c>
    </row>
    <row r="39" spans="1:4" x14ac:dyDescent="0.25">
      <c r="A39" s="153" t="s">
        <v>325</v>
      </c>
    </row>
    <row r="40" spans="1:4" x14ac:dyDescent="0.25">
      <c r="A40" s="153" t="s">
        <v>328</v>
      </c>
    </row>
    <row r="41" spans="1:4" x14ac:dyDescent="0.25">
      <c r="A41" s="154" t="s">
        <v>331</v>
      </c>
    </row>
    <row r="42" spans="1:4" x14ac:dyDescent="0.25">
      <c r="A42" s="154" t="s">
        <v>334</v>
      </c>
    </row>
    <row r="43" spans="1:4" x14ac:dyDescent="0.25">
      <c r="A43" s="154" t="s">
        <v>337</v>
      </c>
    </row>
    <row r="44" spans="1:4" x14ac:dyDescent="0.25">
      <c r="A44" s="154" t="s">
        <v>340</v>
      </c>
    </row>
    <row r="45" spans="1:4" x14ac:dyDescent="0.25">
      <c r="A45" s="154" t="s">
        <v>343</v>
      </c>
    </row>
    <row r="46" spans="1:4" x14ac:dyDescent="0.25">
      <c r="A46" s="154" t="s">
        <v>346</v>
      </c>
    </row>
    <row r="47" spans="1:4" x14ac:dyDescent="0.25">
      <c r="A47" s="153" t="s">
        <v>348</v>
      </c>
    </row>
    <row r="48" spans="1:4" x14ac:dyDescent="0.25">
      <c r="A48" s="158" t="s">
        <v>351</v>
      </c>
    </row>
  </sheetData>
  <mergeCells count="2">
    <mergeCell ref="A1:B1"/>
    <mergeCell ref="D1: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1881B1-5BD6-4C28-AECD-D9B0FFF711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Dashboard</vt:lpstr>
      <vt:lpstr>Matriz</vt:lpstr>
      <vt:lpstr>Sheet7</vt:lpstr>
      <vt:lpstr>Estandares Implementados</vt:lpstr>
      <vt:lpstr>Peligros Identificados</vt:lpstr>
      <vt:lpstr>Grafica Área</vt:lpstr>
      <vt:lpstr>Graficas Nivel Riesgo y Estatus</vt:lpstr>
      <vt:lpstr>1.-Inventario para HRN</vt:lpstr>
      <vt:lpstr>2.-HRN</vt:lpstr>
      <vt:lpstr>Tablas</vt:lpstr>
      <vt:lpstr>Instrucciones-Concepto del HRN</vt:lpstr>
      <vt:lpstr>Tablas de cálculo</vt:lpstr>
      <vt:lpstr>Catálogo Peligros</vt:lpstr>
      <vt:lpstr>Contr &amp; Def</vt:lpstr>
      <vt:lpstr>'1.-Inventario para HRN'!Print_Area</vt:lpstr>
      <vt:lpstr>'2.-HRN'!Print_Area</vt:lpstr>
      <vt:lpstr>'Instrucciones-Concepto del HRN'!Print_Area</vt:lpstr>
      <vt:lpstr>'Tablas de cálculo'!Print_Area</vt:lpstr>
      <vt:lpstr>'1.-Inventario para HRN'!Print_Titles</vt:lpstr>
      <vt:lpstr>'2.-HRN'!Print_Titles</vt:lpstr>
      <vt:lpstr>'Instrucciones-Concepto del HRN'!Print_Titles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Gastelum Ramos, Jorge Ivan</dc:creator>
  <cp:lastModifiedBy>Seguridad Sabinas</cp:lastModifiedBy>
  <cp:lastPrinted>2024-09-04T15:59:11Z</cp:lastPrinted>
  <dcterms:created xsi:type="dcterms:W3CDTF">2024-04-11T16:55:55Z</dcterms:created>
  <dcterms:modified xsi:type="dcterms:W3CDTF">2025-08-20T20:59:46Z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78999b9-6b98-43c3-8b2f-c8c319f2e1ec_Enabled">
    <vt:lpwstr>true</vt:lpwstr>
  </property>
  <property fmtid="{D5CDD505-2E9C-101B-9397-08002B2CF9AE}" pid="3" name="MSIP_Label_578999b9-6b98-43c3-8b2f-c8c319f2e1ec_SetDate">
    <vt:lpwstr>2024-09-02T20:32:47Z</vt:lpwstr>
  </property>
  <property fmtid="{D5CDD505-2E9C-101B-9397-08002B2CF9AE}" pid="4" name="MSIP_Label_578999b9-6b98-43c3-8b2f-c8c319f2e1ec_Method">
    <vt:lpwstr>Privileged</vt:lpwstr>
  </property>
  <property fmtid="{D5CDD505-2E9C-101B-9397-08002B2CF9AE}" pid="5" name="MSIP_Label_578999b9-6b98-43c3-8b2f-c8c319f2e1ec_Name">
    <vt:lpwstr>03Confidential.</vt:lpwstr>
  </property>
  <property fmtid="{D5CDD505-2E9C-101B-9397-08002B2CF9AE}" pid="6" name="MSIP_Label_578999b9-6b98-43c3-8b2f-c8c319f2e1ec_SiteId">
    <vt:lpwstr>3205c38a-2aa0-4681-8dc0-61687b1d331b</vt:lpwstr>
  </property>
  <property fmtid="{D5CDD505-2E9C-101B-9397-08002B2CF9AE}" pid="7" name="MSIP_Label_578999b9-6b98-43c3-8b2f-c8c319f2e1ec_ActionId">
    <vt:lpwstr>e5ec0bba-8ef2-4ea0-aff7-77c226d9c8f7</vt:lpwstr>
  </property>
  <property fmtid="{D5CDD505-2E9C-101B-9397-08002B2CF9AE}" pid="8" name="MSIP_Label_578999b9-6b98-43c3-8b2f-c8c319f2e1ec_ContentBits">
    <vt:lpwstr>0</vt:lpwstr>
  </property>
</Properties>
</file>